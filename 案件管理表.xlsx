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案件管理" sheetId="2" state="visible" r:id="rId4"/>
    <sheet name="工数明細" sheetId="3" state="visible" r:id="rId5"/>
    <sheet name="ダッシュボード" sheetId="4" state="visible" r:id="rId6"/>
    <sheet name="マスタ" sheetId="5" state="visible" r:id="rId7"/>
  </sheets>
  <definedNames>
    <definedName function="false" hidden="true" localSheetId="2" name="_xlnm._FilterDatabase" vbProcedure="false">工数明細!$A$2:$H$302</definedName>
    <definedName function="false" hidden="true" localSheetId="1" name="_xlnm._FilterDatabase" vbProcedure="false">案件管理!$A$2:$AA$202</definedName>
    <definedName function="false" hidden="false" name="OwnerList" vbProcedure="false">マスタ!$G$4:$G$23</definedName>
    <definedName function="false" hidden="false" name="PhaseList" vbProcedure="false">マスタ!$F$4:$F$16</definedName>
    <definedName function="false" hidden="false" name="ProbList" vbProcedure="false">マスタ!$I$4:$I$9</definedName>
    <definedName function="false" hidden="false" name="StatusList" vbProcedure="false">マスタ!$E$4:$E$13</definedName>
    <definedName function="false" hidden="false" name="TypeList" vbProcedure="false">マスタ!$H$4:$H$13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重複しない番号。工数明細と紐づくキーです（例</t>
        </r>
        <r>
          <rPr>
            <sz val="10"/>
            <rFont val="Arial"/>
            <family val="2"/>
          </rPr>
          <t xml:space="preserve">: P-001</t>
        </r>
        <r>
          <rPr>
            <sz val="10"/>
            <rFont val="WenQuanYi Zen Hei"/>
            <family val="2"/>
          </rPr>
          <t xml:space="preserve">）</t>
        </r>
      </text>
    </comment>
    <comment ref="D2" authorId="0">
      <text>
        <r>
          <rPr>
            <sz val="10"/>
            <rFont val="WenQuanYi Zen Hei"/>
            <family val="2"/>
          </rPr>
          <t xml:space="preserve">マスタのリストから選択</t>
        </r>
      </text>
    </comment>
    <comment ref="F2" authorId="0">
      <text>
        <r>
          <rPr>
            <sz val="10"/>
            <rFont val="WenQuanYi Zen Hei"/>
            <family val="2"/>
          </rPr>
          <t xml:space="preserve">見込み案件の確からしさ。加重金額の計算に使います</t>
        </r>
      </text>
    </comment>
    <comment ref="G2" authorId="0">
      <text>
        <r>
          <rPr>
            <sz val="10"/>
            <rFont val="WenQuanYi Zen Hei"/>
            <family val="2"/>
          </rPr>
          <t xml:space="preserve">未着手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進行中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保留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完了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失注</t>
        </r>
      </text>
    </comment>
    <comment ref="H2" authorId="0">
      <text>
        <r>
          <rPr>
            <sz val="10"/>
            <rFont val="WenQuanYi Zen Hei"/>
            <family val="2"/>
          </rPr>
          <t xml:space="preserve">いま案件のどこをやっているか</t>
        </r>
      </text>
    </comment>
    <comment ref="I2" authorId="0">
      <text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100% </t>
        </r>
        <r>
          <rPr>
            <sz val="10"/>
            <rFont val="WenQuanYi Zen Hei"/>
            <family val="2"/>
          </rPr>
          <t xml:space="preserve">で入力</t>
        </r>
      </text>
    </comment>
    <comment ref="J2" authorId="0">
      <text>
        <r>
          <rPr>
            <sz val="10"/>
            <rFont val="WenQuanYi Zen Hei"/>
            <family val="2"/>
          </rPr>
          <t xml:space="preserve">この日付から年度・クォーターを自動判定します</t>
        </r>
      </text>
    </comment>
    <comment ref="P2" authorId="0">
      <text>
        <r>
          <rPr>
            <sz val="10"/>
            <rFont val="WenQuanYi Zen Hei"/>
            <family val="2"/>
          </rPr>
          <t xml:space="preserve">税抜の受注（見込）金額</t>
        </r>
      </text>
    </comment>
    <comment ref="R2" authorId="0">
      <text>
        <r>
          <rPr>
            <sz val="10"/>
            <rFont val="WenQuanYi Zen Hei"/>
            <family val="2"/>
          </rPr>
          <t xml:space="preserve">外注費・仕入など</t>
        </r>
      </text>
    </comment>
    <comment ref="U2" authorId="0">
      <text>
        <r>
          <rPr>
            <sz val="10"/>
            <rFont val="WenQuanYi Zen Hei"/>
            <family val="2"/>
          </rPr>
          <t xml:space="preserve">人日で入力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WenQuanYi Zen Hei"/>
            <family val="2"/>
          </rPr>
          <t xml:space="preserve">案件管理シートに登録済みの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を入力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選択してください</t>
        </r>
      </text>
    </comment>
    <comment ref="F2" authorId="0">
      <text>
        <r>
          <rPr>
            <sz val="10"/>
            <rFont val="WenQuanYi Zen Hei"/>
            <family val="2"/>
          </rPr>
          <t xml:space="preserve">その日にかけた時間を入力</t>
        </r>
      </text>
    </comment>
  </commentList>
</comments>
</file>

<file path=xl/sharedStrings.xml><?xml version="1.0" encoding="utf-8"?>
<sst xmlns="http://schemas.openxmlformats.org/spreadsheetml/2006/main" count="225" uniqueCount="153">
  <si>
    <t xml:space="preserve">使い方とルール</t>
  </si>
  <si>
    <t xml:space="preserve">■ 入力する場所</t>
  </si>
  <si>
    <t xml:space="preserve">案件管理</t>
  </si>
  <si>
    <r>
      <rPr>
        <sz val="10"/>
        <color rgb="FF000000"/>
        <rFont val="WenQuanYi Zen Hei"/>
        <family val="2"/>
      </rPr>
      <t xml:space="preserve">案件を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行で登録します。青文字＋うすい黄色の列だけ入力してください。</t>
    </r>
  </si>
  <si>
    <r>
      <rPr>
        <sz val="10"/>
        <color rgb="FF404040"/>
        <rFont val="WenQuanYi Zen Hei"/>
        <family val="2"/>
      </rPr>
      <t xml:space="preserve">グレー背景の列（年度・クォーター・粗利・実績工数など）は自動計算なので触らなくて</t>
    </r>
    <r>
      <rPr>
        <sz val="10"/>
        <color rgb="FF404040"/>
        <rFont val="Arial"/>
        <family val="0"/>
        <charset val="1"/>
      </rPr>
      <t xml:space="preserve">OK</t>
    </r>
    <r>
      <rPr>
        <sz val="10"/>
        <color rgb="FF404040"/>
        <rFont val="WenQuanYi Zen Hei"/>
        <family val="2"/>
      </rPr>
      <t xml:space="preserve">です。</t>
    </r>
  </si>
  <si>
    <t xml:space="preserve">工数明細</t>
  </si>
  <si>
    <r>
      <rPr>
        <sz val="10"/>
        <color rgb="FF000000"/>
        <rFont val="WenQuanYi Zen Hei"/>
        <family val="2"/>
      </rPr>
      <t xml:space="preserve">日々の工数を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行ずつ入れます。案件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を選ぶと、案件管理の「実績工数」に自動で合算されます。</t>
    </r>
  </si>
  <si>
    <t xml:space="preserve">マスタ</t>
  </si>
  <si>
    <r>
      <rPr>
        <sz val="10"/>
        <color rgb="FF000000"/>
        <rFont val="WenQuanYi Zen Hei"/>
        <family val="2"/>
      </rPr>
      <t xml:space="preserve">年度開始月（初期値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人日あたりの時間（初期値</t>
    </r>
    <r>
      <rPr>
        <sz val="10"/>
        <color rgb="FF000000"/>
        <rFont val="Arial"/>
        <family val="0"/>
        <charset val="1"/>
      </rPr>
      <t xml:space="preserve">8h</t>
    </r>
    <r>
      <rPr>
        <sz val="10"/>
        <color rgb="FF000000"/>
        <rFont val="WenQuanYi Zen Hei"/>
        <family val="2"/>
      </rPr>
      <t xml:space="preserve">）、プルダウンの選択肢を変えられます。</t>
    </r>
  </si>
  <si>
    <t xml:space="preserve">ダッシュボード</t>
  </si>
  <si>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WenQuanYi Zen Hei"/>
        <family val="2"/>
      </rPr>
      <t xml:space="preserve">に年度を入れると、クォーター別・ステータス別・担当者別・作業ステップ別に自動集計します。</t>
    </r>
  </si>
  <si>
    <t xml:space="preserve">■ 色のルール</t>
  </si>
  <si>
    <t xml:space="preserve">青文字</t>
  </si>
  <si>
    <t xml:space="preserve">自分で入力するセル</t>
  </si>
  <si>
    <t xml:space="preserve">黒文字＋グレー背景</t>
  </si>
  <si>
    <t xml:space="preserve">数式による自動計算。上書きすると壊れるので編集しないでください。</t>
  </si>
  <si>
    <t xml:space="preserve">緑文字</t>
  </si>
  <si>
    <t xml:space="preserve">ほかのシートを参照している自動計算</t>
  </si>
  <si>
    <t xml:space="preserve">黄色の塗り</t>
  </si>
  <si>
    <t xml:space="preserve">設定値。会社のルールに合わせて変更してください（マスタシート）。</t>
  </si>
  <si>
    <t xml:space="preserve">うすい緑の行</t>
  </si>
  <si>
    <t xml:space="preserve">サンプル行です。書き換えるか、行ごと削除してからお使いください。</t>
  </si>
  <si>
    <t xml:space="preserve">■ 自動でやってくれること</t>
  </si>
  <si>
    <t xml:space="preserve">クォーター判定</t>
  </si>
  <si>
    <r>
      <rPr>
        <sz val="10"/>
        <color rgb="FF000000"/>
        <rFont val="WenQuanYi Zen Hei"/>
        <family val="2"/>
      </rPr>
      <t xml:space="preserve">「受注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予定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日」から年度と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を自動判定します（年度開始月は マスタ</t>
    </r>
    <r>
      <rPr>
        <sz val="10"/>
        <color rgb="FF000000"/>
        <rFont val="Arial"/>
        <family val="0"/>
        <charset val="1"/>
      </rPr>
      <t xml:space="preserve">!B4 </t>
    </r>
    <r>
      <rPr>
        <sz val="10"/>
        <color rgb="FF000000"/>
        <rFont val="WenQuanYi Zen Hei"/>
        <family val="2"/>
      </rPr>
      <t xml:space="preserve">で変更可）。</t>
    </r>
  </si>
  <si>
    <t xml:space="preserve">金額まわり</t>
  </si>
  <si>
    <r>
      <rPr>
        <sz val="10"/>
        <color rgb="FF000000"/>
        <rFont val="WenQuanYi Zen Hei"/>
        <family val="2"/>
      </rPr>
      <t xml:space="preserve">粗利＝受注金額−原価、粗利率＝粗利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受注金額、加重金額＝受注金額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受注確度。</t>
    </r>
  </si>
  <si>
    <t xml:space="preserve">工数まわり</t>
  </si>
  <si>
    <r>
      <rPr>
        <sz val="10"/>
        <color rgb="FF000000"/>
        <rFont val="WenQuanYi Zen Hei"/>
        <family val="2"/>
      </rPr>
      <t xml:space="preserve">実績工数は工数明細から自動集計。残工数・消化率・予実判定（適正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注意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超過）も自動です。</t>
    </r>
  </si>
  <si>
    <t xml:space="preserve">進行状況</t>
  </si>
  <si>
    <t xml:space="preserve">ステータスは色分け表示、進捗率はデータバー、失注行は打ち消し線になります。</t>
  </si>
  <si>
    <t xml:space="preserve">遅延の検知</t>
  </si>
  <si>
    <t xml:space="preserve">完了予定日を過ぎて未完了の案件は「遅延日数」が赤く表示されます。</t>
  </si>
  <si>
    <t xml:space="preserve">■ 行が足りなくなったら</t>
  </si>
  <si>
    <t xml:space="preserve">オートフィル</t>
  </si>
  <si>
    <r>
      <rPr>
        <sz val="10"/>
        <color rgb="FF000000"/>
        <rFont val="WenQuanYi Zen Hei"/>
        <family val="2"/>
      </rPr>
      <t xml:space="preserve">案件管理は</t>
    </r>
    <r>
      <rPr>
        <sz val="10"/>
        <color rgb="FF000000"/>
        <rFont val="Arial"/>
        <family val="0"/>
        <charset val="1"/>
      </rPr>
      <t xml:space="preserve">202</t>
    </r>
    <r>
      <rPr>
        <sz val="10"/>
        <color rgb="FF000000"/>
        <rFont val="WenQuanYi Zen Hei"/>
        <family val="2"/>
      </rPr>
      <t xml:space="preserve">行目、工数明細は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WenQuanYi Zen Hei"/>
        <family val="2"/>
      </rPr>
      <t xml:space="preserve">行目まで数式が入っています。</t>
    </r>
  </si>
  <si>
    <t xml:space="preserve">最終行を選択して右下を下へドラッグすると、数式・書式・プルダウンごと増やせます。</t>
  </si>
  <si>
    <t xml:space="preserve">■ 前提としている値</t>
  </si>
  <si>
    <t xml:space="preserve">年度開始月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</si>
  <si>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月（日本の一般的な年度）。マスタ</t>
    </r>
    <r>
      <rPr>
        <sz val="10"/>
        <color rgb="FF000000"/>
        <rFont val="Arial"/>
        <family val="0"/>
        <charset val="1"/>
      </rPr>
      <t xml:space="preserve">!B4 </t>
    </r>
    <r>
      <rPr>
        <sz val="10"/>
        <color rgb="FF000000"/>
        <rFont val="WenQuanYi Zen Hei"/>
        <family val="2"/>
      </rPr>
      <t xml:space="preserve">で変更できます。</t>
    </r>
  </si>
  <si>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人日</t>
    </r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</si>
  <si>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時間。マスタ</t>
    </r>
    <r>
      <rPr>
        <sz val="10"/>
        <color rgb="FF000000"/>
        <rFont val="Arial"/>
        <family val="0"/>
        <charset val="1"/>
      </rPr>
      <t xml:space="preserve">!B5 </t>
    </r>
    <r>
      <rPr>
        <sz val="10"/>
        <color rgb="FF000000"/>
        <rFont val="WenQuanYi Zen Hei"/>
        <family val="2"/>
      </rPr>
      <t xml:space="preserve">で変更できます。</t>
    </r>
  </si>
  <si>
    <t xml:space="preserve">金額</t>
  </si>
  <si>
    <t xml:space="preserve">すべて税抜・円で入力する前提です。</t>
  </si>
  <si>
    <t xml:space="preserve">サンプルの数値</t>
  </si>
  <si>
    <t xml:space="preserve">案件管理・工数明細のサンプル行の数値はすべて説明用の架空データです。</t>
  </si>
  <si>
    <t xml:space="preserve">入力するセルの見た目</t>
  </si>
  <si>
    <t xml:space="preserve">自動計算セルの見た目</t>
  </si>
  <si>
    <t xml:space="preserve">他シート参照の見た目</t>
  </si>
  <si>
    <t xml:space="preserve">設定値セルの見た目</t>
  </si>
  <si>
    <t xml:space="preserve">サンプル行の見た目</t>
  </si>
  <si>
    <t xml:space="preserve">案件管理表　│　金額・クォーター・工数・進行状況をまとめて管理</t>
  </si>
  <si>
    <r>
      <rPr>
        <b val="true"/>
        <sz val="10"/>
        <color rgb="FFFFFFFF"/>
        <rFont val="WenQuanYi Zen Hei"/>
        <family val="2"/>
      </rPr>
      <t xml:space="preserve">案件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</si>
  <si>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案件名</t>
  </si>
  <si>
    <t xml:space="preserve">顧客名</t>
  </si>
  <si>
    <t xml:space="preserve">担当者</t>
  </si>
  <si>
    <t xml:space="preserve">案件区分</t>
  </si>
  <si>
    <t xml:space="preserve">受注確度</t>
  </si>
  <si>
    <t xml:space="preserve">ステータス</t>
  </si>
  <si>
    <t xml:space="preserve">現在の作業ステップ</t>
  </si>
  <si>
    <t xml:space="preserve">進捗率</t>
  </si>
  <si>
    <r>
      <rPr>
        <b val="true"/>
        <sz val="10"/>
        <color rgb="FFFFFFFF"/>
        <rFont val="WenQuanYi Zen Hei"/>
        <family val="2"/>
      </rPr>
      <t xml:space="preserve">受注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予定</t>
    </r>
    <r>
      <rPr>
        <b val="true"/>
        <sz val="10"/>
        <color rgb="FFFFFFFF"/>
        <rFont val="Arial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日</t>
    </r>
  </si>
  <si>
    <t xml:space="preserve">着手日</t>
  </si>
  <si>
    <t xml:space="preserve">完了予定日</t>
  </si>
  <si>
    <t xml:space="preserve">完了日</t>
  </si>
  <si>
    <t xml:space="preserve">年度</t>
  </si>
  <si>
    <t xml:space="preserve">クォーター</t>
  </si>
  <si>
    <t xml:space="preserve">受注金額</t>
  </si>
  <si>
    <t xml:space="preserve">加重金額</t>
  </si>
  <si>
    <t xml:space="preserve">原価</t>
  </si>
  <si>
    <t xml:space="preserve">粗利</t>
  </si>
  <si>
    <t xml:space="preserve">粗利率</t>
  </si>
  <si>
    <t xml:space="preserve">予定工数</t>
  </si>
  <si>
    <t xml:space="preserve">実績工数</t>
  </si>
  <si>
    <t xml:space="preserve">残工数</t>
  </si>
  <si>
    <t xml:space="preserve">工数消化率</t>
  </si>
  <si>
    <t xml:space="preserve">予実判定</t>
  </si>
  <si>
    <t xml:space="preserve">遅延日数</t>
  </si>
  <si>
    <t xml:space="preserve">備考</t>
  </si>
  <si>
    <t xml:space="preserve">P-001</t>
  </si>
  <si>
    <t xml:space="preserve">社内ネットワーク更改</t>
  </si>
  <si>
    <t xml:space="preserve">株式会社アルファ商事</t>
  </si>
  <si>
    <t xml:space="preserve">山田 太郎</t>
  </si>
  <si>
    <t xml:space="preserve">新規</t>
  </si>
  <si>
    <t xml:space="preserve">進行中</t>
  </si>
  <si>
    <t xml:space="preserve">開発・構築</t>
  </si>
  <si>
    <t xml:space="preserve">※サンプル行です。中身を書き換えるか、行ごと削除してお使いください。</t>
  </si>
  <si>
    <t xml:space="preserve">P-002</t>
  </si>
  <si>
    <t xml:space="preserve">基幹システム保守（年間）</t>
  </si>
  <si>
    <t xml:space="preserve">ベータ工業株式会社</t>
  </si>
  <si>
    <t xml:space="preserve">佐藤 花子</t>
  </si>
  <si>
    <t xml:space="preserve">保守・運用</t>
  </si>
  <si>
    <t xml:space="preserve">完了</t>
  </si>
  <si>
    <t xml:space="preserve">※サンプル行です。</t>
  </si>
  <si>
    <t xml:space="preserve">P-003</t>
  </si>
  <si>
    <r>
      <rPr>
        <sz val="10"/>
        <color rgb="FF0000FF"/>
        <rFont val="Arial"/>
        <family val="0"/>
        <charset val="1"/>
      </rPr>
      <t xml:space="preserve">Web</t>
    </r>
    <r>
      <rPr>
        <sz val="10"/>
        <color rgb="FF0000FF"/>
        <rFont val="WenQuanYi Zen Hei"/>
        <family val="2"/>
      </rPr>
      <t xml:space="preserve">サイトリニューアル</t>
    </r>
  </si>
  <si>
    <t xml:space="preserve">ガンマデザイン合同会社</t>
  </si>
  <si>
    <t xml:space="preserve">鈴木 一郎</t>
  </si>
  <si>
    <t xml:space="preserve">未着手</t>
  </si>
  <si>
    <t xml:space="preserve">要件定義</t>
  </si>
  <si>
    <r>
      <rPr>
        <sz val="10"/>
        <color rgb="FF0000FF"/>
        <rFont val="WenQuanYi Zen Hei"/>
        <family val="2"/>
      </rPr>
      <t xml:space="preserve">※サンプル行です。提案中のため確度</t>
    </r>
    <r>
      <rPr>
        <sz val="10"/>
        <color rgb="FF0000FF"/>
        <rFont val="Arial"/>
        <family val="0"/>
        <charset val="1"/>
      </rPr>
      <t xml:space="preserve">50%</t>
    </r>
    <r>
      <rPr>
        <sz val="10"/>
        <color rgb="FF0000FF"/>
        <rFont val="WenQuanYi Zen Hei"/>
        <family val="2"/>
      </rPr>
      <t xml:space="preserve">。</t>
    </r>
  </si>
  <si>
    <t xml:space="preserve">凡例：</t>
  </si>
  <si>
    <t xml:space="preserve">青文字＝入力する欄</t>
  </si>
  <si>
    <t xml:space="preserve">黒文字（グレー背景）＝自動計算。編集しないでください</t>
  </si>
  <si>
    <t xml:space="preserve">緑文字＝工数明細シートから自動集計</t>
  </si>
  <si>
    <t xml:space="preserve">行が足りなくなったら、最終行を選んで下にドラッグ（オートフィル）すると数式ごと増やせます。</t>
  </si>
  <si>
    <t xml:space="preserve">工数明細　│　ここに日々の工数を入れると案件管理シートの「実績工数」に自動で積み上がります</t>
  </si>
  <si>
    <t xml:space="preserve">日付</t>
  </si>
  <si>
    <t xml:space="preserve">作業ステップ</t>
  </si>
  <si>
    <r>
      <rPr>
        <b val="true"/>
        <sz val="10"/>
        <color rgb="FFFFFFFF"/>
        <rFont val="WenQuanYi Zen Hei"/>
        <family val="2"/>
      </rPr>
      <t xml:space="preserve">工数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</si>
  <si>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工数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人日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</si>
  <si>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作業内容・メモ</t>
  </si>
  <si>
    <r>
      <rPr>
        <sz val="10"/>
        <color rgb="FF0000FF"/>
        <rFont val="Arial"/>
        <family val="0"/>
        <charset val="1"/>
      </rPr>
      <t xml:space="preserve">L3</t>
    </r>
    <r>
      <rPr>
        <sz val="10"/>
        <color rgb="FF0000FF"/>
        <rFont val="WenQuanYi Zen Hei"/>
        <family val="2"/>
      </rPr>
      <t xml:space="preserve">スイッチ設定・疎通確認（※サンプル行）</t>
    </r>
  </si>
  <si>
    <t xml:space="preserve">配線作業（※サンプル行）</t>
  </si>
  <si>
    <t xml:space="preserve">テスト</t>
  </si>
  <si>
    <t xml:space="preserve">定期点検レポート作成（※サンプル行）</t>
  </si>
  <si>
    <r>
      <rPr>
        <sz val="9"/>
        <color rgb="FF595959"/>
        <rFont val="WenQuanYi Zen Hei"/>
        <family val="2"/>
      </rPr>
      <t xml:space="preserve">「工数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人日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」＝ 工数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時間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マスタ</t>
    </r>
    <r>
      <rPr>
        <sz val="9"/>
        <color rgb="FF595959"/>
        <rFont val="Arial"/>
        <family val="0"/>
        <charset val="1"/>
      </rPr>
      <t xml:space="preserve">!B5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人日あたりの時間）</t>
    </r>
  </si>
  <si>
    <t xml:space="preserve">ダッシュボード　│　年度を選ぶと自動で集計されます</t>
  </si>
  <si>
    <t xml:space="preserve">集計対象の年度</t>
  </si>
  <si>
    <r>
      <rPr>
        <sz val="9"/>
        <color rgb="FF595959"/>
        <rFont val="WenQuanYi Zen Hei"/>
        <family val="2"/>
      </rPr>
      <t xml:space="preserve">← マスタ</t>
    </r>
    <r>
      <rPr>
        <sz val="9"/>
        <color rgb="FF595959"/>
        <rFont val="Arial"/>
        <family val="0"/>
        <charset val="1"/>
      </rPr>
      <t xml:space="preserve">!B6 </t>
    </r>
    <r>
      <rPr>
        <sz val="9"/>
        <color rgb="FF595959"/>
        <rFont val="WenQuanYi Zen Hei"/>
        <family val="2"/>
      </rPr>
      <t xml:space="preserve">の値を見ています。ここに直接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などと入力して切り替えても</t>
    </r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です。</t>
    </r>
  </si>
  <si>
    <t xml:space="preserve">■ クォーター別サマリ</t>
  </si>
  <si>
    <t xml:space="preserve">項目</t>
  </si>
  <si>
    <t xml:space="preserve">Q1</t>
  </si>
  <si>
    <t xml:space="preserve">Q2</t>
  </si>
  <si>
    <t xml:space="preserve">Q3</t>
  </si>
  <si>
    <t xml:space="preserve">Q4</t>
  </si>
  <si>
    <t xml:space="preserve">年度合計</t>
  </si>
  <si>
    <t xml:space="preserve">案件数</t>
  </si>
  <si>
    <t xml:space="preserve">加重金額（確度反映）</t>
  </si>
  <si>
    <t xml:space="preserve">■ ステータス別（対象年度）</t>
  </si>
  <si>
    <t xml:space="preserve">保留</t>
  </si>
  <si>
    <t xml:space="preserve">失注</t>
  </si>
  <si>
    <t xml:space="preserve">■ 担当者別（対象年度）</t>
  </si>
  <si>
    <t xml:space="preserve">（未定）</t>
  </si>
  <si>
    <t xml:space="preserve">■ いまどの作業ステップにいるか（対象年度／失注をのぞく）</t>
  </si>
  <si>
    <t xml:space="preserve">基本設計</t>
  </si>
  <si>
    <t xml:space="preserve">詳細設計</t>
  </si>
  <si>
    <t xml:space="preserve">納品・導入</t>
  </si>
  <si>
    <t xml:space="preserve">検収待ち</t>
  </si>
  <si>
    <r>
      <rPr>
        <sz val="9"/>
        <color rgb="FF595959"/>
        <rFont val="WenQuanYi Zen Hei"/>
        <family val="2"/>
      </rPr>
      <t xml:space="preserve">※ 集計は「受注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予定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日」から判定した年度・クォーターを基準にしています（年度開始月は マスタ</t>
    </r>
    <r>
      <rPr>
        <sz val="9"/>
        <color rgb="FF595959"/>
        <rFont val="Arial"/>
        <family val="0"/>
        <charset val="1"/>
      </rPr>
      <t xml:space="preserve">!B4</t>
    </r>
    <r>
      <rPr>
        <sz val="9"/>
        <color rgb="FF595959"/>
        <rFont val="WenQuanYi Zen Hei"/>
        <family val="2"/>
      </rPr>
      <t xml:space="preserve">）。</t>
    </r>
  </si>
  <si>
    <t xml:space="preserve">マスタ（設定値とプルダウンの選択肢）</t>
  </si>
  <si>
    <t xml:space="preserve">■ 設定値（黄色いセルを自分の会社に合わせて変更してください）</t>
  </si>
  <si>
    <t xml:space="preserve">■ プルダウンの選択肢（行を足せば選択肢が増えます）</t>
  </si>
  <si>
    <t xml:space="preserve">設定項目</t>
  </si>
  <si>
    <t xml:space="preserve">値</t>
  </si>
  <si>
    <t xml:space="preserve">説明</t>
  </si>
  <si>
    <r>
      <rPr>
        <sz val="9"/>
        <color rgb="FF595959"/>
        <rFont val="WenQuanYi Zen Hei"/>
        <family val="2"/>
      </rPr>
      <t xml:space="preserve">日本の一般的な年度（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月開始）です。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月開始なら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に変更。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</si>
  <si>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人日あたりの時間</t>
    </r>
  </si>
  <si>
    <t xml:space="preserve">工数明細の「時間」を「人日」に換算するときの分母です。</t>
  </si>
  <si>
    <t xml:space="preserve">既存拡大</t>
  </si>
  <si>
    <t xml:space="preserve">当年度（ダッシュボード初期値）</t>
  </si>
  <si>
    <t xml:space="preserve">ダッシュボードの集計対象年度の初期値。</t>
  </si>
  <si>
    <t xml:space="preserve">社内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</si>
</sst>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@"/>
    <numFmt numFmtId="166" formatCode="0%"/>
    <numFmt numFmtId="167" formatCode="0.0%;\(0.0%\);\-"/>
    <numFmt numFmtId="168" formatCode="yyyy/mm/dd"/>
    <numFmt numFmtId="169" formatCode="0&quot;年度&quot;"/>
    <numFmt numFmtId="170" formatCode="\¥#,##0;[RED]&quot;(¥&quot;#,##0\);\-"/>
    <numFmt numFmtId="171" formatCode="#,##0.0&quot;人日&quot;;\(#,##0.0\);\-"/>
    <numFmt numFmtId="172" formatCode="#,##0&quot;日 遅延&quot;;#,##0&quot;日 前倒し&quot;;&quot;予定どおり&quot;"/>
    <numFmt numFmtId="173" formatCode="#,##0.0\h;\(#,##0.0\);\-"/>
    <numFmt numFmtId="174" formatCode="#,##0;\(#,##0\);\-"/>
    <numFmt numFmtId="175" formatCode="0\月"/>
    <numFmt numFmtId="176" formatCode="0.0\h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b val="true"/>
      <sz val="11"/>
      <color rgb="FF1F3864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404040"/>
      <name val="WenQuanYi Zen Hei"/>
      <family val="2"/>
    </font>
    <font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b val="true"/>
      <sz val="10"/>
      <color rgb="FF0000FF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595959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sz val="9"/>
      <color rgb="FF595959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000000"/>
      <name val="WenQuanYi Zen Hei"/>
      <family val="2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9E6"/>
        <bgColor rgb="FFFFFFFF"/>
      </patternFill>
    </fill>
    <fill>
      <patternFill patternType="solid">
        <fgColor rgb="FFF2F2F2"/>
        <bgColor rgb="FFEAF3EA"/>
      </patternFill>
    </fill>
    <fill>
      <patternFill patternType="solid">
        <fgColor rgb="FFFFFF00"/>
        <bgColor rgb="FFFFFF00"/>
      </patternFill>
    </fill>
    <fill>
      <patternFill patternType="solid">
        <fgColor rgb="FFEAF3EA"/>
        <bgColor rgb="FFF2F2F2"/>
      </patternFill>
    </fill>
    <fill>
      <patternFill patternType="solid">
        <fgColor rgb="FF375623"/>
        <bgColor rgb="FF404040"/>
      </patternFill>
    </fill>
    <fill>
      <patternFill patternType="solid">
        <fgColor rgb="FFD9E2F3"/>
        <bgColor rgb="FFD9D9D9"/>
      </patternFill>
    </fill>
    <fill>
      <patternFill patternType="solid">
        <fgColor rgb="FFE2EFDA"/>
        <bgColor rgb="FFEAF3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AF3EA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1F3864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808080"/>
        <sz val="10"/>
      </font>
      <fill>
        <patternFill>
          <bgColor rgb="FFD9D9D9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strike val="1"/>
        <color rgb="FFA6A6A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6"/>
      <rgbColor rgb="FFEAF3E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D9D9D9"/>
      <rgbColor rgb="FFF2F2F2"/>
      <rgbColor rgb="FFD9E2F3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6100"/>
      <rgbColor rgb="FF375623"/>
      <rgbColor rgb="FF9C57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00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</row>
    <row r="5" customFormat="false" ht="15" hidden="false" customHeight="false" outlineLevel="0" collapsed="false">
      <c r="C5" s="5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  <row r="8" customFormat="false" ht="15" hidden="false" customHeight="false" outlineLevel="0" collapsed="false">
      <c r="B8" s="3" t="s">
        <v>9</v>
      </c>
      <c r="C8" s="6" t="s">
        <v>10</v>
      </c>
    </row>
    <row r="10" customFormat="false" ht="15" hidden="false" customHeight="false" outlineLevel="0" collapsed="false">
      <c r="B10" s="2" t="s">
        <v>11</v>
      </c>
    </row>
    <row r="11" customFormat="false" ht="15" hidden="false" customHeight="false" outlineLevel="0" collapsed="false">
      <c r="B11" s="3" t="s">
        <v>12</v>
      </c>
      <c r="C11" s="4" t="s">
        <v>13</v>
      </c>
    </row>
    <row r="12" customFormat="false" ht="15" hidden="false" customHeight="false" outlineLevel="0" collapsed="false">
      <c r="B12" s="3" t="s">
        <v>14</v>
      </c>
      <c r="C12" s="4" t="s">
        <v>15</v>
      </c>
    </row>
    <row r="13" customFormat="false" ht="15" hidden="false" customHeight="false" outlineLevel="0" collapsed="false">
      <c r="B13" s="3" t="s">
        <v>16</v>
      </c>
      <c r="C13" s="4" t="s">
        <v>17</v>
      </c>
    </row>
    <row r="14" customFormat="false" ht="15" hidden="false" customHeight="false" outlineLevel="0" collapsed="false">
      <c r="B14" s="3" t="s">
        <v>18</v>
      </c>
      <c r="C14" s="4" t="s">
        <v>19</v>
      </c>
    </row>
    <row r="15" customFormat="false" ht="15" hidden="false" customHeight="false" outlineLevel="0" collapsed="false">
      <c r="B15" s="3" t="s">
        <v>20</v>
      </c>
      <c r="C15" s="4" t="s">
        <v>21</v>
      </c>
    </row>
    <row r="17" customFormat="false" ht="15" hidden="false" customHeight="false" outlineLevel="0" collapsed="false">
      <c r="B17" s="2" t="s">
        <v>22</v>
      </c>
    </row>
    <row r="18" customFormat="false" ht="15" hidden="false" customHeight="false" outlineLevel="0" collapsed="false">
      <c r="B18" s="3" t="s">
        <v>23</v>
      </c>
      <c r="C18" s="4" t="s">
        <v>24</v>
      </c>
    </row>
    <row r="19" customFormat="false" ht="15" hidden="false" customHeight="false" outlineLevel="0" collapsed="false">
      <c r="B19" s="3" t="s">
        <v>25</v>
      </c>
      <c r="C19" s="4" t="s">
        <v>26</v>
      </c>
    </row>
    <row r="20" customFormat="false" ht="15" hidden="false" customHeight="false" outlineLevel="0" collapsed="false">
      <c r="B20" s="3" t="s">
        <v>27</v>
      </c>
      <c r="C20" s="4" t="s">
        <v>28</v>
      </c>
    </row>
    <row r="21" customFormat="false" ht="15" hidden="false" customHeight="false" outlineLevel="0" collapsed="false">
      <c r="B21" s="3" t="s">
        <v>29</v>
      </c>
      <c r="C21" s="4" t="s">
        <v>30</v>
      </c>
    </row>
    <row r="22" customFormat="false" ht="15" hidden="false" customHeight="false" outlineLevel="0" collapsed="false">
      <c r="B22" s="3" t="s">
        <v>31</v>
      </c>
      <c r="C22" s="4" t="s">
        <v>32</v>
      </c>
    </row>
    <row r="24" customFormat="false" ht="15" hidden="false" customHeight="false" outlineLevel="0" collapsed="false">
      <c r="B24" s="2" t="s">
        <v>33</v>
      </c>
    </row>
    <row r="25" customFormat="false" ht="15" hidden="false" customHeight="false" outlineLevel="0" collapsed="false">
      <c r="B25" s="3" t="s">
        <v>34</v>
      </c>
      <c r="C25" s="4" t="s">
        <v>35</v>
      </c>
    </row>
    <row r="26" customFormat="false" ht="15" hidden="false" customHeight="false" outlineLevel="0" collapsed="false">
      <c r="C26" s="5" t="s">
        <v>36</v>
      </c>
    </row>
    <row r="28" customFormat="false" ht="15" hidden="false" customHeight="false" outlineLevel="0" collapsed="false">
      <c r="B28" s="2" t="s">
        <v>37</v>
      </c>
    </row>
    <row r="29" customFormat="false" ht="15" hidden="false" customHeight="false" outlineLevel="0" collapsed="false">
      <c r="B29" s="3" t="s">
        <v>38</v>
      </c>
      <c r="C29" s="6" t="s">
        <v>39</v>
      </c>
    </row>
    <row r="30" customFormat="false" ht="15" hidden="false" customHeight="false" outlineLevel="0" collapsed="false">
      <c r="B30" s="7" t="s">
        <v>40</v>
      </c>
      <c r="C30" s="6" t="s">
        <v>41</v>
      </c>
    </row>
    <row r="31" customFormat="false" ht="15" hidden="false" customHeight="false" outlineLevel="0" collapsed="false">
      <c r="B31" s="3" t="s">
        <v>42</v>
      </c>
      <c r="C31" s="4" t="s">
        <v>43</v>
      </c>
    </row>
    <row r="32" customFormat="false" ht="15" hidden="false" customHeight="false" outlineLevel="0" collapsed="false">
      <c r="B32" s="3" t="s">
        <v>44</v>
      </c>
      <c r="C32" s="4" t="s">
        <v>45</v>
      </c>
    </row>
    <row r="34" customFormat="false" ht="15" hidden="false" customHeight="false" outlineLevel="0" collapsed="false">
      <c r="B34" s="8" t="s">
        <v>46</v>
      </c>
    </row>
    <row r="35" customFormat="false" ht="15" hidden="false" customHeight="false" outlineLevel="0" collapsed="false">
      <c r="B35" s="9" t="s">
        <v>47</v>
      </c>
    </row>
    <row r="36" customFormat="false" ht="15" hidden="false" customHeight="false" outlineLevel="0" collapsed="false">
      <c r="B36" s="10" t="s">
        <v>48</v>
      </c>
    </row>
    <row r="37" customFormat="false" ht="15" hidden="false" customHeight="false" outlineLevel="0" collapsed="false">
      <c r="B37" s="11" t="s">
        <v>49</v>
      </c>
    </row>
    <row r="38" customFormat="false" ht="15" hidden="false" customHeight="false" outlineLevel="0" collapsed="false">
      <c r="B38" s="12" t="s">
        <v>50</v>
      </c>
    </row>
  </sheetData>
  <mergeCells count="1">
    <mergeCell ref="B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9" min="9" style="0" width="9"/>
    <col collapsed="false" customWidth="true" hidden="false" outlineLevel="0" max="13" min="10" style="0" width="12"/>
    <col collapsed="false" customWidth="true" hidden="false" outlineLevel="0" max="15" min="14" style="0" width="10"/>
    <col collapsed="false" customWidth="true" hidden="false" outlineLevel="0" max="19" min="16" style="0" width="14"/>
    <col collapsed="false" customWidth="true" hidden="false" outlineLevel="0" max="20" min="20" style="0" width="9"/>
    <col collapsed="false" customWidth="true" hidden="false" outlineLevel="0" max="24" min="21" style="0" width="11"/>
    <col collapsed="false" customWidth="true" hidden="false" outlineLevel="0" max="26" min="25" style="0" width="10"/>
    <col collapsed="false" customWidth="true" hidden="false" outlineLevel="0" max="27" min="27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33.75" hidden="false" customHeight="true" outlineLevel="0" collapsed="false">
      <c r="A2" s="13" t="s">
        <v>52</v>
      </c>
      <c r="B2" s="13" t="s">
        <v>53</v>
      </c>
      <c r="C2" s="13" t="s">
        <v>54</v>
      </c>
      <c r="D2" s="13" t="s">
        <v>55</v>
      </c>
      <c r="E2" s="13" t="s">
        <v>56</v>
      </c>
      <c r="F2" s="13" t="s">
        <v>57</v>
      </c>
      <c r="G2" s="13" t="s">
        <v>58</v>
      </c>
      <c r="H2" s="13" t="s">
        <v>59</v>
      </c>
      <c r="I2" s="13" t="s">
        <v>60</v>
      </c>
      <c r="J2" s="13" t="s">
        <v>61</v>
      </c>
      <c r="K2" s="13" t="s">
        <v>62</v>
      </c>
      <c r="L2" s="13" t="s">
        <v>63</v>
      </c>
      <c r="M2" s="13" t="s">
        <v>64</v>
      </c>
      <c r="N2" s="14" t="s">
        <v>65</v>
      </c>
      <c r="O2" s="14" t="s">
        <v>66</v>
      </c>
      <c r="P2" s="13" t="s">
        <v>67</v>
      </c>
      <c r="Q2" s="14" t="s">
        <v>68</v>
      </c>
      <c r="R2" s="13" t="s">
        <v>69</v>
      </c>
      <c r="S2" s="14" t="s">
        <v>70</v>
      </c>
      <c r="T2" s="14" t="s">
        <v>71</v>
      </c>
      <c r="U2" s="13" t="s">
        <v>72</v>
      </c>
      <c r="V2" s="14" t="s">
        <v>73</v>
      </c>
      <c r="W2" s="14" t="s">
        <v>74</v>
      </c>
      <c r="X2" s="14" t="s">
        <v>75</v>
      </c>
      <c r="Y2" s="14" t="s">
        <v>76</v>
      </c>
      <c r="Z2" s="14" t="s">
        <v>77</v>
      </c>
      <c r="AA2" s="13" t="s">
        <v>78</v>
      </c>
    </row>
    <row r="3" customFormat="false" ht="18" hidden="false" customHeight="true" outlineLevel="0" collapsed="false">
      <c r="A3" s="15" t="s">
        <v>79</v>
      </c>
      <c r="B3" s="12" t="s">
        <v>80</v>
      </c>
      <c r="C3" s="12" t="s">
        <v>81</v>
      </c>
      <c r="D3" s="12" t="s">
        <v>82</v>
      </c>
      <c r="E3" s="12" t="s">
        <v>83</v>
      </c>
      <c r="F3" s="16" t="n">
        <v>1</v>
      </c>
      <c r="G3" s="12" t="s">
        <v>84</v>
      </c>
      <c r="H3" s="12" t="s">
        <v>85</v>
      </c>
      <c r="I3" s="17" t="n">
        <v>0.45</v>
      </c>
      <c r="J3" s="18" t="n">
        <v>46162</v>
      </c>
      <c r="K3" s="18" t="n">
        <v>46174</v>
      </c>
      <c r="L3" s="18" t="n">
        <v>46265</v>
      </c>
      <c r="M3" s="18"/>
      <c r="N3" s="19" t="n">
        <f aca="false">IF($J3="","",YEAR($J3)-IF(MONTH($J3)&lt;マスタ!$B$4,1,0))</f>
        <v>2026</v>
      </c>
      <c r="O3" s="20" t="str">
        <f aca="false">IF($J3="","","Q"&amp;(INT(MOD(MONTH($J3)-マスタ!$B$4+12,12)/3)+1))</f>
        <v>Q1</v>
      </c>
      <c r="P3" s="21" t="n">
        <v>4800000</v>
      </c>
      <c r="Q3" s="22" t="n">
        <f aca="false">IF($P3="","",$P3*N($F3))</f>
        <v>4800000</v>
      </c>
      <c r="R3" s="21" t="n">
        <v>2600000</v>
      </c>
      <c r="S3" s="22" t="n">
        <f aca="false">IF($P3="","",$P3-N($R3))</f>
        <v>2200000</v>
      </c>
      <c r="T3" s="23" t="n">
        <f aca="false">IF(N($P3)=0,"",$S3/$P3)</f>
        <v>0.458333333333333</v>
      </c>
      <c r="U3" s="24" t="n">
        <v>45</v>
      </c>
      <c r="V3" s="25" t="n">
        <f aca="false">IF($A3="","",SUMIFS(工数明細!$G$3:$G$302,工数明細!$B$3:$B$302,$A3))</f>
        <v>1.75</v>
      </c>
      <c r="W3" s="26" t="n">
        <f aca="false">IF($U3="","",$U3-N($V3))</f>
        <v>43.25</v>
      </c>
      <c r="X3" s="23" t="n">
        <f aca="false">IF(N($U3)=0,"",$V3/$U3)</f>
        <v>0.0388888888888889</v>
      </c>
      <c r="Y3" s="20" t="str">
        <f aca="false">IF(N($U3)=0,"",IF($V3&gt;$U3,"超過",IF($V3&gt;=$U3*0.9,"注意","適正")))</f>
        <v>適正</v>
      </c>
      <c r="Z3" s="27" t="n">
        <f aca="true">IF($L3="","",IF($M3&lt;&gt;"",$M3-$L3,IF(TODAY()&gt;$L3,TODAY()-$L3,0)))</f>
        <v>15</v>
      </c>
      <c r="AA3" s="28" t="s">
        <v>86</v>
      </c>
    </row>
    <row r="4" customFormat="false" ht="18" hidden="false" customHeight="true" outlineLevel="0" collapsed="false">
      <c r="A4" s="15" t="s">
        <v>87</v>
      </c>
      <c r="B4" s="12" t="s">
        <v>88</v>
      </c>
      <c r="C4" s="12" t="s">
        <v>89</v>
      </c>
      <c r="D4" s="12" t="s">
        <v>90</v>
      </c>
      <c r="E4" s="12" t="s">
        <v>91</v>
      </c>
      <c r="F4" s="16" t="n">
        <v>1</v>
      </c>
      <c r="G4" s="12" t="s">
        <v>92</v>
      </c>
      <c r="H4" s="12" t="s">
        <v>92</v>
      </c>
      <c r="I4" s="17" t="n">
        <v>1</v>
      </c>
      <c r="J4" s="18" t="n">
        <v>46122</v>
      </c>
      <c r="K4" s="18" t="n">
        <v>46127</v>
      </c>
      <c r="L4" s="18" t="n">
        <v>46203</v>
      </c>
      <c r="M4" s="18" t="n">
        <v>46201</v>
      </c>
      <c r="N4" s="19" t="n">
        <f aca="false">IF($J4="","",YEAR($J4)-IF(MONTH($J4)&lt;マスタ!$B$4,1,0))</f>
        <v>2026</v>
      </c>
      <c r="O4" s="20" t="str">
        <f aca="false">IF($J4="","","Q"&amp;(INT(MOD(MONTH($J4)-マスタ!$B$4+12,12)/3)+1))</f>
        <v>Q1</v>
      </c>
      <c r="P4" s="21" t="n">
        <v>1200000</v>
      </c>
      <c r="Q4" s="22" t="n">
        <f aca="false">IF($P4="","",$P4*N($F4))</f>
        <v>1200000</v>
      </c>
      <c r="R4" s="21" t="n">
        <v>480000</v>
      </c>
      <c r="S4" s="22" t="n">
        <f aca="false">IF($P4="","",$P4-N($R4))</f>
        <v>720000</v>
      </c>
      <c r="T4" s="23" t="n">
        <f aca="false">IF(N($P4)=0,"",$S4/$P4)</f>
        <v>0.6</v>
      </c>
      <c r="U4" s="24" t="n">
        <v>12</v>
      </c>
      <c r="V4" s="25" t="n">
        <f aca="false">IF($A4="","",SUMIFS(工数明細!$G$3:$G$302,工数明細!$B$3:$B$302,$A4))</f>
        <v>0.5</v>
      </c>
      <c r="W4" s="26" t="n">
        <f aca="false">IF($U4="","",$U4-N($V4))</f>
        <v>11.5</v>
      </c>
      <c r="X4" s="23" t="n">
        <f aca="false">IF(N($U4)=0,"",$V4/$U4)</f>
        <v>0.0416666666666667</v>
      </c>
      <c r="Y4" s="20" t="str">
        <f aca="false">IF(N($U4)=0,"",IF($V4&gt;$U4,"超過",IF($V4&gt;=$U4*0.9,"注意","適正")))</f>
        <v>適正</v>
      </c>
      <c r="Z4" s="27" t="n">
        <f aca="true">IF($L4="","",IF($M4&lt;&gt;"",$M4-$L4,IF(TODAY()&gt;$L4,TODAY()-$L4,0)))</f>
        <v>-2</v>
      </c>
      <c r="AA4" s="28" t="s">
        <v>93</v>
      </c>
    </row>
    <row r="5" customFormat="false" ht="18" hidden="false" customHeight="true" outlineLevel="0" collapsed="false">
      <c r="A5" s="15" t="s">
        <v>94</v>
      </c>
      <c r="B5" s="29" t="s">
        <v>95</v>
      </c>
      <c r="C5" s="12" t="s">
        <v>96</v>
      </c>
      <c r="D5" s="12" t="s">
        <v>97</v>
      </c>
      <c r="E5" s="12" t="s">
        <v>83</v>
      </c>
      <c r="F5" s="16" t="n">
        <v>0.5</v>
      </c>
      <c r="G5" s="12" t="s">
        <v>98</v>
      </c>
      <c r="H5" s="12" t="s">
        <v>99</v>
      </c>
      <c r="I5" s="17" t="n">
        <v>0.1</v>
      </c>
      <c r="J5" s="18" t="n">
        <v>46331</v>
      </c>
      <c r="K5" s="18"/>
      <c r="L5" s="18" t="n">
        <v>46446</v>
      </c>
      <c r="M5" s="18"/>
      <c r="N5" s="19" t="n">
        <f aca="false">IF($J5="","",YEAR($J5)-IF(MONTH($J5)&lt;マスタ!$B$4,1,0))</f>
        <v>2026</v>
      </c>
      <c r="O5" s="20" t="str">
        <f aca="false">IF($J5="","","Q"&amp;(INT(MOD(MONTH($J5)-マスタ!$B$4+12,12)/3)+1))</f>
        <v>Q3</v>
      </c>
      <c r="P5" s="21" t="n">
        <v>3000000</v>
      </c>
      <c r="Q5" s="22" t="n">
        <f aca="false">IF($P5="","",$P5*N($F5))</f>
        <v>1500000</v>
      </c>
      <c r="R5" s="21" t="n">
        <v>1500000</v>
      </c>
      <c r="S5" s="22" t="n">
        <f aca="false">IF($P5="","",$P5-N($R5))</f>
        <v>1500000</v>
      </c>
      <c r="T5" s="23" t="n">
        <f aca="false">IF(N($P5)=0,"",$S5/$P5)</f>
        <v>0.5</v>
      </c>
      <c r="U5" s="24" t="n">
        <v>30</v>
      </c>
      <c r="V5" s="25" t="n">
        <f aca="false">IF($A5="","",SUMIFS(工数明細!$G$3:$G$302,工数明細!$B$3:$B$302,$A5))</f>
        <v>0</v>
      </c>
      <c r="W5" s="26" t="n">
        <f aca="false">IF($U5="","",$U5-N($V5))</f>
        <v>30</v>
      </c>
      <c r="X5" s="23" t="n">
        <f aca="false">IF(N($U5)=0,"",$V5/$U5)</f>
        <v>0</v>
      </c>
      <c r="Y5" s="20" t="str">
        <f aca="false">IF(N($U5)=0,"",IF($V5&gt;$U5,"超過",IF($V5&gt;=$U5*0.9,"注意","適正")))</f>
        <v>適正</v>
      </c>
      <c r="Z5" s="27" t="n">
        <f aca="true">IF($L5="","",IF($M5&lt;&gt;"",$M5-$L5,IF(TODAY()&gt;$L5,TODAY()-$L5,0)))</f>
        <v>0</v>
      </c>
      <c r="AA5" s="28" t="s">
        <v>100</v>
      </c>
    </row>
    <row r="6" customFormat="false" ht="18" hidden="false" customHeight="true" outlineLevel="0" collapsed="false">
      <c r="A6" s="30"/>
      <c r="B6" s="31"/>
      <c r="C6" s="31"/>
      <c r="D6" s="31"/>
      <c r="E6" s="31"/>
      <c r="F6" s="32"/>
      <c r="G6" s="31"/>
      <c r="H6" s="31"/>
      <c r="I6" s="33"/>
      <c r="J6" s="34"/>
      <c r="K6" s="34"/>
      <c r="L6" s="34"/>
      <c r="M6" s="34"/>
      <c r="N6" s="19" t="str">
        <f aca="false">IF($J6="","",YEAR($J6)-IF(MONTH($J6)&lt;マスタ!$B$4,1,0))</f>
        <v/>
      </c>
      <c r="O6" s="20" t="str">
        <f aca="false">IF($J6="","","Q"&amp;(INT(MOD(MONTH($J6)-マスタ!$B$4+12,12)/3)+1))</f>
        <v/>
      </c>
      <c r="P6" s="35"/>
      <c r="Q6" s="22" t="str">
        <f aca="false">IF($P6="","",$P6*N($F6))</f>
        <v/>
      </c>
      <c r="R6" s="35"/>
      <c r="S6" s="22" t="str">
        <f aca="false">IF($P6="","",$P6-N($R6))</f>
        <v/>
      </c>
      <c r="T6" s="23" t="str">
        <f aca="false">IF(N($P6)=0,"",$S6/$P6)</f>
        <v/>
      </c>
      <c r="U6" s="36"/>
      <c r="V6" s="25" t="str">
        <f aca="false">IF($A6="","",SUMIFS(工数明細!$G$3:$G$302,工数明細!$B$3:$B$302,$A6))</f>
        <v/>
      </c>
      <c r="W6" s="26" t="str">
        <f aca="false">IF($U6="","",$U6-N($V6))</f>
        <v/>
      </c>
      <c r="X6" s="23" t="str">
        <f aca="false">IF(N($U6)=0,"",$V6/$U6)</f>
        <v/>
      </c>
      <c r="Y6" s="20" t="str">
        <f aca="false">IF(N($U6)=0,"",IF($V6&gt;$U6,"超過",IF($V6&gt;=$U6*0.9,"注意","適正")))</f>
        <v/>
      </c>
      <c r="Z6" s="27" t="str">
        <f aca="true">IF($L6="","",IF($M6&lt;&gt;"",$M6-$L6,IF(TODAY()&gt;$L6,TODAY()-$L6,0)))</f>
        <v/>
      </c>
      <c r="AA6" s="37"/>
    </row>
    <row r="7" customFormat="false" ht="18" hidden="false" customHeight="true" outlineLevel="0" collapsed="false">
      <c r="A7" s="30"/>
      <c r="B7" s="31"/>
      <c r="C7" s="31"/>
      <c r="D7" s="31"/>
      <c r="E7" s="31"/>
      <c r="F7" s="32"/>
      <c r="G7" s="31"/>
      <c r="H7" s="31"/>
      <c r="I7" s="33"/>
      <c r="J7" s="34"/>
      <c r="K7" s="34"/>
      <c r="L7" s="34"/>
      <c r="M7" s="34"/>
      <c r="N7" s="19" t="str">
        <f aca="false">IF($J7="","",YEAR($J7)-IF(MONTH($J7)&lt;マスタ!$B$4,1,0))</f>
        <v/>
      </c>
      <c r="O7" s="20" t="str">
        <f aca="false">IF($J7="","","Q"&amp;(INT(MOD(MONTH($J7)-マスタ!$B$4+12,12)/3)+1))</f>
        <v/>
      </c>
      <c r="P7" s="35"/>
      <c r="Q7" s="22" t="str">
        <f aca="false">IF($P7="","",$P7*N($F7))</f>
        <v/>
      </c>
      <c r="R7" s="35"/>
      <c r="S7" s="22" t="str">
        <f aca="false">IF($P7="","",$P7-N($R7))</f>
        <v/>
      </c>
      <c r="T7" s="23" t="str">
        <f aca="false">IF(N($P7)=0,"",$S7/$P7)</f>
        <v/>
      </c>
      <c r="U7" s="36"/>
      <c r="V7" s="25" t="str">
        <f aca="false">IF($A7="","",SUMIFS(工数明細!$G$3:$G$302,工数明細!$B$3:$B$302,$A7))</f>
        <v/>
      </c>
      <c r="W7" s="26" t="str">
        <f aca="false">IF($U7="","",$U7-N($V7))</f>
        <v/>
      </c>
      <c r="X7" s="23" t="str">
        <f aca="false">IF(N($U7)=0,"",$V7/$U7)</f>
        <v/>
      </c>
      <c r="Y7" s="20" t="str">
        <f aca="false">IF(N($U7)=0,"",IF($V7&gt;$U7,"超過",IF($V7&gt;=$U7*0.9,"注意","適正")))</f>
        <v/>
      </c>
      <c r="Z7" s="27" t="str">
        <f aca="true">IF($L7="","",IF($M7&lt;&gt;"",$M7-$L7,IF(TODAY()&gt;$L7,TODAY()-$L7,0)))</f>
        <v/>
      </c>
      <c r="AA7" s="37"/>
    </row>
    <row r="8" customFormat="false" ht="18" hidden="false" customHeight="true" outlineLevel="0" collapsed="false">
      <c r="A8" s="30"/>
      <c r="B8" s="31"/>
      <c r="C8" s="31"/>
      <c r="D8" s="31"/>
      <c r="E8" s="31"/>
      <c r="F8" s="32"/>
      <c r="G8" s="31"/>
      <c r="H8" s="31"/>
      <c r="I8" s="33"/>
      <c r="J8" s="34"/>
      <c r="K8" s="34"/>
      <c r="L8" s="34"/>
      <c r="M8" s="34"/>
      <c r="N8" s="19" t="str">
        <f aca="false">IF($J8="","",YEAR($J8)-IF(MONTH($J8)&lt;マスタ!$B$4,1,0))</f>
        <v/>
      </c>
      <c r="O8" s="20" t="str">
        <f aca="false">IF($J8="","","Q"&amp;(INT(MOD(MONTH($J8)-マスタ!$B$4+12,12)/3)+1))</f>
        <v/>
      </c>
      <c r="P8" s="35"/>
      <c r="Q8" s="22" t="str">
        <f aca="false">IF($P8="","",$P8*N($F8))</f>
        <v/>
      </c>
      <c r="R8" s="35"/>
      <c r="S8" s="22" t="str">
        <f aca="false">IF($P8="","",$P8-N($R8))</f>
        <v/>
      </c>
      <c r="T8" s="23" t="str">
        <f aca="false">IF(N($P8)=0,"",$S8/$P8)</f>
        <v/>
      </c>
      <c r="U8" s="36"/>
      <c r="V8" s="25" t="str">
        <f aca="false">IF($A8="","",SUMIFS(工数明細!$G$3:$G$302,工数明細!$B$3:$B$302,$A8))</f>
        <v/>
      </c>
      <c r="W8" s="26" t="str">
        <f aca="false">IF($U8="","",$U8-N($V8))</f>
        <v/>
      </c>
      <c r="X8" s="23" t="str">
        <f aca="false">IF(N($U8)=0,"",$V8/$U8)</f>
        <v/>
      </c>
      <c r="Y8" s="20" t="str">
        <f aca="false">IF(N($U8)=0,"",IF($V8&gt;$U8,"超過",IF($V8&gt;=$U8*0.9,"注意","適正")))</f>
        <v/>
      </c>
      <c r="Z8" s="27" t="str">
        <f aca="true">IF($L8="","",IF($M8&lt;&gt;"",$M8-$L8,IF(TODAY()&gt;$L8,TODAY()-$L8,0)))</f>
        <v/>
      </c>
      <c r="AA8" s="37"/>
    </row>
    <row r="9" customFormat="false" ht="18" hidden="false" customHeight="true" outlineLevel="0" collapsed="false">
      <c r="A9" s="30"/>
      <c r="B9" s="31"/>
      <c r="C9" s="31"/>
      <c r="D9" s="31"/>
      <c r="E9" s="31"/>
      <c r="F9" s="32"/>
      <c r="G9" s="31"/>
      <c r="H9" s="31"/>
      <c r="I9" s="33"/>
      <c r="J9" s="34"/>
      <c r="K9" s="34"/>
      <c r="L9" s="34"/>
      <c r="M9" s="34"/>
      <c r="N9" s="19" t="str">
        <f aca="false">IF($J9="","",YEAR($J9)-IF(MONTH($J9)&lt;マスタ!$B$4,1,0))</f>
        <v/>
      </c>
      <c r="O9" s="20" t="str">
        <f aca="false">IF($J9="","","Q"&amp;(INT(MOD(MONTH($J9)-マスタ!$B$4+12,12)/3)+1))</f>
        <v/>
      </c>
      <c r="P9" s="35"/>
      <c r="Q9" s="22" t="str">
        <f aca="false">IF($P9="","",$P9*N($F9))</f>
        <v/>
      </c>
      <c r="R9" s="35"/>
      <c r="S9" s="22" t="str">
        <f aca="false">IF($P9="","",$P9-N($R9))</f>
        <v/>
      </c>
      <c r="T9" s="23" t="str">
        <f aca="false">IF(N($P9)=0,"",$S9/$P9)</f>
        <v/>
      </c>
      <c r="U9" s="36"/>
      <c r="V9" s="25" t="str">
        <f aca="false">IF($A9="","",SUMIFS(工数明細!$G$3:$G$302,工数明細!$B$3:$B$302,$A9))</f>
        <v/>
      </c>
      <c r="W9" s="26" t="str">
        <f aca="false">IF($U9="","",$U9-N($V9))</f>
        <v/>
      </c>
      <c r="X9" s="23" t="str">
        <f aca="false">IF(N($U9)=0,"",$V9/$U9)</f>
        <v/>
      </c>
      <c r="Y9" s="20" t="str">
        <f aca="false">IF(N($U9)=0,"",IF($V9&gt;$U9,"超過",IF($V9&gt;=$U9*0.9,"注意","適正")))</f>
        <v/>
      </c>
      <c r="Z9" s="27" t="str">
        <f aca="true">IF($L9="","",IF($M9&lt;&gt;"",$M9-$L9,IF(TODAY()&gt;$L9,TODAY()-$L9,0)))</f>
        <v/>
      </c>
      <c r="AA9" s="37"/>
    </row>
    <row r="10" customFormat="false" ht="18" hidden="false" customHeight="true" outlineLevel="0" collapsed="false">
      <c r="A10" s="30"/>
      <c r="B10" s="31"/>
      <c r="C10" s="31"/>
      <c r="D10" s="31"/>
      <c r="E10" s="31"/>
      <c r="F10" s="32"/>
      <c r="G10" s="31"/>
      <c r="H10" s="31"/>
      <c r="I10" s="33"/>
      <c r="J10" s="34"/>
      <c r="K10" s="34"/>
      <c r="L10" s="34"/>
      <c r="M10" s="34"/>
      <c r="N10" s="19" t="str">
        <f aca="false">IF($J10="","",YEAR($J10)-IF(MONTH($J10)&lt;マスタ!$B$4,1,0))</f>
        <v/>
      </c>
      <c r="O10" s="20" t="str">
        <f aca="false">IF($J10="","","Q"&amp;(INT(MOD(MONTH($J10)-マスタ!$B$4+12,12)/3)+1))</f>
        <v/>
      </c>
      <c r="P10" s="35"/>
      <c r="Q10" s="22" t="str">
        <f aca="false">IF($P10="","",$P10*N($F10))</f>
        <v/>
      </c>
      <c r="R10" s="35"/>
      <c r="S10" s="22" t="str">
        <f aca="false">IF($P10="","",$P10-N($R10))</f>
        <v/>
      </c>
      <c r="T10" s="23" t="str">
        <f aca="false">IF(N($P10)=0,"",$S10/$P10)</f>
        <v/>
      </c>
      <c r="U10" s="36"/>
      <c r="V10" s="25" t="str">
        <f aca="false">IF($A10="","",SUMIFS(工数明細!$G$3:$G$302,工数明細!$B$3:$B$302,$A10))</f>
        <v/>
      </c>
      <c r="W10" s="26" t="str">
        <f aca="false">IF($U10="","",$U10-N($V10))</f>
        <v/>
      </c>
      <c r="X10" s="23" t="str">
        <f aca="false">IF(N($U10)=0,"",$V10/$U10)</f>
        <v/>
      </c>
      <c r="Y10" s="20" t="str">
        <f aca="false">IF(N($U10)=0,"",IF($V10&gt;$U10,"超過",IF($V10&gt;=$U10*0.9,"注意","適正")))</f>
        <v/>
      </c>
      <c r="Z10" s="27" t="str">
        <f aca="true">IF($L10="","",IF($M10&lt;&gt;"",$M10-$L10,IF(TODAY()&gt;$L10,TODAY()-$L10,0)))</f>
        <v/>
      </c>
      <c r="AA10" s="37"/>
    </row>
    <row r="11" customFormat="false" ht="18" hidden="false" customHeight="true" outlineLevel="0" collapsed="false">
      <c r="A11" s="30"/>
      <c r="B11" s="31"/>
      <c r="C11" s="31"/>
      <c r="D11" s="31"/>
      <c r="E11" s="31"/>
      <c r="F11" s="32"/>
      <c r="G11" s="31"/>
      <c r="H11" s="31"/>
      <c r="I11" s="33"/>
      <c r="J11" s="34"/>
      <c r="K11" s="34"/>
      <c r="L11" s="34"/>
      <c r="M11" s="34"/>
      <c r="N11" s="19" t="str">
        <f aca="false">IF($J11="","",YEAR($J11)-IF(MONTH($J11)&lt;マスタ!$B$4,1,0))</f>
        <v/>
      </c>
      <c r="O11" s="20" t="str">
        <f aca="false">IF($J11="","","Q"&amp;(INT(MOD(MONTH($J11)-マスタ!$B$4+12,12)/3)+1))</f>
        <v/>
      </c>
      <c r="P11" s="35"/>
      <c r="Q11" s="22" t="str">
        <f aca="false">IF($P11="","",$P11*N($F11))</f>
        <v/>
      </c>
      <c r="R11" s="35"/>
      <c r="S11" s="22" t="str">
        <f aca="false">IF($P11="","",$P11-N($R11))</f>
        <v/>
      </c>
      <c r="T11" s="23" t="str">
        <f aca="false">IF(N($P11)=0,"",$S11/$P11)</f>
        <v/>
      </c>
      <c r="U11" s="36"/>
      <c r="V11" s="25" t="str">
        <f aca="false">IF($A11="","",SUMIFS(工数明細!$G$3:$G$302,工数明細!$B$3:$B$302,$A11))</f>
        <v/>
      </c>
      <c r="W11" s="26" t="str">
        <f aca="false">IF($U11="","",$U11-N($V11))</f>
        <v/>
      </c>
      <c r="X11" s="23" t="str">
        <f aca="false">IF(N($U11)=0,"",$V11/$U11)</f>
        <v/>
      </c>
      <c r="Y11" s="20" t="str">
        <f aca="false">IF(N($U11)=0,"",IF($V11&gt;$U11,"超過",IF($V11&gt;=$U11*0.9,"注意","適正")))</f>
        <v/>
      </c>
      <c r="Z11" s="27" t="str">
        <f aca="true">IF($L11="","",IF($M11&lt;&gt;"",$M11-$L11,IF(TODAY()&gt;$L11,TODAY()-$L11,0)))</f>
        <v/>
      </c>
      <c r="AA11" s="37"/>
    </row>
    <row r="12" customFormat="false" ht="18" hidden="false" customHeight="true" outlineLevel="0" collapsed="false">
      <c r="A12" s="30"/>
      <c r="B12" s="31"/>
      <c r="C12" s="31"/>
      <c r="D12" s="31"/>
      <c r="E12" s="31"/>
      <c r="F12" s="32"/>
      <c r="G12" s="31"/>
      <c r="H12" s="31"/>
      <c r="I12" s="33"/>
      <c r="J12" s="34"/>
      <c r="K12" s="34"/>
      <c r="L12" s="34"/>
      <c r="M12" s="34"/>
      <c r="N12" s="19" t="str">
        <f aca="false">IF($J12="","",YEAR($J12)-IF(MONTH($J12)&lt;マスタ!$B$4,1,0))</f>
        <v/>
      </c>
      <c r="O12" s="20" t="str">
        <f aca="false">IF($J12="","","Q"&amp;(INT(MOD(MONTH($J12)-マスタ!$B$4+12,12)/3)+1))</f>
        <v/>
      </c>
      <c r="P12" s="35"/>
      <c r="Q12" s="22" t="str">
        <f aca="false">IF($P12="","",$P12*N($F12))</f>
        <v/>
      </c>
      <c r="R12" s="35"/>
      <c r="S12" s="22" t="str">
        <f aca="false">IF($P12="","",$P12-N($R12))</f>
        <v/>
      </c>
      <c r="T12" s="23" t="str">
        <f aca="false">IF(N($P12)=0,"",$S12/$P12)</f>
        <v/>
      </c>
      <c r="U12" s="36"/>
      <c r="V12" s="25" t="str">
        <f aca="false">IF($A12="","",SUMIFS(工数明細!$G$3:$G$302,工数明細!$B$3:$B$302,$A12))</f>
        <v/>
      </c>
      <c r="W12" s="26" t="str">
        <f aca="false">IF($U12="","",$U12-N($V12))</f>
        <v/>
      </c>
      <c r="X12" s="23" t="str">
        <f aca="false">IF(N($U12)=0,"",$V12/$U12)</f>
        <v/>
      </c>
      <c r="Y12" s="20" t="str">
        <f aca="false">IF(N($U12)=0,"",IF($V12&gt;$U12,"超過",IF($V12&gt;=$U12*0.9,"注意","適正")))</f>
        <v/>
      </c>
      <c r="Z12" s="27" t="str">
        <f aca="true">IF($L12="","",IF($M12&lt;&gt;"",$M12-$L12,IF(TODAY()&gt;$L12,TODAY()-$L12,0)))</f>
        <v/>
      </c>
      <c r="AA12" s="37"/>
    </row>
    <row r="13" customFormat="false" ht="18" hidden="false" customHeight="true" outlineLevel="0" collapsed="false">
      <c r="A13" s="30"/>
      <c r="B13" s="31"/>
      <c r="C13" s="31"/>
      <c r="D13" s="31"/>
      <c r="E13" s="31"/>
      <c r="F13" s="32"/>
      <c r="G13" s="31"/>
      <c r="H13" s="31"/>
      <c r="I13" s="33"/>
      <c r="J13" s="34"/>
      <c r="K13" s="34"/>
      <c r="L13" s="34"/>
      <c r="M13" s="34"/>
      <c r="N13" s="19" t="str">
        <f aca="false">IF($J13="","",YEAR($J13)-IF(MONTH($J13)&lt;マスタ!$B$4,1,0))</f>
        <v/>
      </c>
      <c r="O13" s="20" t="str">
        <f aca="false">IF($J13="","","Q"&amp;(INT(MOD(MONTH($J13)-マスタ!$B$4+12,12)/3)+1))</f>
        <v/>
      </c>
      <c r="P13" s="35"/>
      <c r="Q13" s="22" t="str">
        <f aca="false">IF($P13="","",$P13*N($F13))</f>
        <v/>
      </c>
      <c r="R13" s="35"/>
      <c r="S13" s="22" t="str">
        <f aca="false">IF($P13="","",$P13-N($R13))</f>
        <v/>
      </c>
      <c r="T13" s="23" t="str">
        <f aca="false">IF(N($P13)=0,"",$S13/$P13)</f>
        <v/>
      </c>
      <c r="U13" s="36"/>
      <c r="V13" s="25" t="str">
        <f aca="false">IF($A13="","",SUMIFS(工数明細!$G$3:$G$302,工数明細!$B$3:$B$302,$A13))</f>
        <v/>
      </c>
      <c r="W13" s="26" t="str">
        <f aca="false">IF($U13="","",$U13-N($V13))</f>
        <v/>
      </c>
      <c r="X13" s="23" t="str">
        <f aca="false">IF(N($U13)=0,"",$V13/$U13)</f>
        <v/>
      </c>
      <c r="Y13" s="20" t="str">
        <f aca="false">IF(N($U13)=0,"",IF($V13&gt;$U13,"超過",IF($V13&gt;=$U13*0.9,"注意","適正")))</f>
        <v/>
      </c>
      <c r="Z13" s="27" t="str">
        <f aca="true">IF($L13="","",IF($M13&lt;&gt;"",$M13-$L13,IF(TODAY()&gt;$L13,TODAY()-$L13,0)))</f>
        <v/>
      </c>
      <c r="AA13" s="37"/>
    </row>
    <row r="14" customFormat="false" ht="18" hidden="false" customHeight="true" outlineLevel="0" collapsed="false">
      <c r="A14" s="30"/>
      <c r="B14" s="31"/>
      <c r="C14" s="31"/>
      <c r="D14" s="31"/>
      <c r="E14" s="31"/>
      <c r="F14" s="32"/>
      <c r="G14" s="31"/>
      <c r="H14" s="31"/>
      <c r="I14" s="33"/>
      <c r="J14" s="34"/>
      <c r="K14" s="34"/>
      <c r="L14" s="34"/>
      <c r="M14" s="34"/>
      <c r="N14" s="19" t="str">
        <f aca="false">IF($J14="","",YEAR($J14)-IF(MONTH($J14)&lt;マスタ!$B$4,1,0))</f>
        <v/>
      </c>
      <c r="O14" s="20" t="str">
        <f aca="false">IF($J14="","","Q"&amp;(INT(MOD(MONTH($J14)-マスタ!$B$4+12,12)/3)+1))</f>
        <v/>
      </c>
      <c r="P14" s="35"/>
      <c r="Q14" s="22" t="str">
        <f aca="false">IF($P14="","",$P14*N($F14))</f>
        <v/>
      </c>
      <c r="R14" s="35"/>
      <c r="S14" s="22" t="str">
        <f aca="false">IF($P14="","",$P14-N($R14))</f>
        <v/>
      </c>
      <c r="T14" s="23" t="str">
        <f aca="false">IF(N($P14)=0,"",$S14/$P14)</f>
        <v/>
      </c>
      <c r="U14" s="36"/>
      <c r="V14" s="25" t="str">
        <f aca="false">IF($A14="","",SUMIFS(工数明細!$G$3:$G$302,工数明細!$B$3:$B$302,$A14))</f>
        <v/>
      </c>
      <c r="W14" s="26" t="str">
        <f aca="false">IF($U14="","",$U14-N($V14))</f>
        <v/>
      </c>
      <c r="X14" s="23" t="str">
        <f aca="false">IF(N($U14)=0,"",$V14/$U14)</f>
        <v/>
      </c>
      <c r="Y14" s="20" t="str">
        <f aca="false">IF(N($U14)=0,"",IF($V14&gt;$U14,"超過",IF($V14&gt;=$U14*0.9,"注意","適正")))</f>
        <v/>
      </c>
      <c r="Z14" s="27" t="str">
        <f aca="true">IF($L14="","",IF($M14&lt;&gt;"",$M14-$L14,IF(TODAY()&gt;$L14,TODAY()-$L14,0)))</f>
        <v/>
      </c>
      <c r="AA14" s="37"/>
    </row>
    <row r="15" customFormat="false" ht="18" hidden="false" customHeight="true" outlineLevel="0" collapsed="false">
      <c r="A15" s="30"/>
      <c r="B15" s="31"/>
      <c r="C15" s="31"/>
      <c r="D15" s="31"/>
      <c r="E15" s="31"/>
      <c r="F15" s="32"/>
      <c r="G15" s="31"/>
      <c r="H15" s="31"/>
      <c r="I15" s="33"/>
      <c r="J15" s="34"/>
      <c r="K15" s="34"/>
      <c r="L15" s="34"/>
      <c r="M15" s="34"/>
      <c r="N15" s="19" t="str">
        <f aca="false">IF($J15="","",YEAR($J15)-IF(MONTH($J15)&lt;マスタ!$B$4,1,0))</f>
        <v/>
      </c>
      <c r="O15" s="20" t="str">
        <f aca="false">IF($J15="","","Q"&amp;(INT(MOD(MONTH($J15)-マスタ!$B$4+12,12)/3)+1))</f>
        <v/>
      </c>
      <c r="P15" s="35"/>
      <c r="Q15" s="22" t="str">
        <f aca="false">IF($P15="","",$P15*N($F15))</f>
        <v/>
      </c>
      <c r="R15" s="35"/>
      <c r="S15" s="22" t="str">
        <f aca="false">IF($P15="","",$P15-N($R15))</f>
        <v/>
      </c>
      <c r="T15" s="23" t="str">
        <f aca="false">IF(N($P15)=0,"",$S15/$P15)</f>
        <v/>
      </c>
      <c r="U15" s="36"/>
      <c r="V15" s="25" t="str">
        <f aca="false">IF($A15="","",SUMIFS(工数明細!$G$3:$G$302,工数明細!$B$3:$B$302,$A15))</f>
        <v/>
      </c>
      <c r="W15" s="26" t="str">
        <f aca="false">IF($U15="","",$U15-N($V15))</f>
        <v/>
      </c>
      <c r="X15" s="23" t="str">
        <f aca="false">IF(N($U15)=0,"",$V15/$U15)</f>
        <v/>
      </c>
      <c r="Y15" s="20" t="str">
        <f aca="false">IF(N($U15)=0,"",IF($V15&gt;$U15,"超過",IF($V15&gt;=$U15*0.9,"注意","適正")))</f>
        <v/>
      </c>
      <c r="Z15" s="27" t="str">
        <f aca="true">IF($L15="","",IF($M15&lt;&gt;"",$M15-$L15,IF(TODAY()&gt;$L15,TODAY()-$L15,0)))</f>
        <v/>
      </c>
      <c r="AA15" s="37"/>
    </row>
    <row r="16" customFormat="false" ht="18" hidden="false" customHeight="true" outlineLevel="0" collapsed="false">
      <c r="A16" s="30"/>
      <c r="B16" s="31"/>
      <c r="C16" s="31"/>
      <c r="D16" s="31"/>
      <c r="E16" s="31"/>
      <c r="F16" s="32"/>
      <c r="G16" s="31"/>
      <c r="H16" s="31"/>
      <c r="I16" s="33"/>
      <c r="J16" s="34"/>
      <c r="K16" s="34"/>
      <c r="L16" s="34"/>
      <c r="M16" s="34"/>
      <c r="N16" s="19" t="str">
        <f aca="false">IF($J16="","",YEAR($J16)-IF(MONTH($J16)&lt;マスタ!$B$4,1,0))</f>
        <v/>
      </c>
      <c r="O16" s="20" t="str">
        <f aca="false">IF($J16="","","Q"&amp;(INT(MOD(MONTH($J16)-マスタ!$B$4+12,12)/3)+1))</f>
        <v/>
      </c>
      <c r="P16" s="35"/>
      <c r="Q16" s="22" t="str">
        <f aca="false">IF($P16="","",$P16*N($F16))</f>
        <v/>
      </c>
      <c r="R16" s="35"/>
      <c r="S16" s="22" t="str">
        <f aca="false">IF($P16="","",$P16-N($R16))</f>
        <v/>
      </c>
      <c r="T16" s="23" t="str">
        <f aca="false">IF(N($P16)=0,"",$S16/$P16)</f>
        <v/>
      </c>
      <c r="U16" s="36"/>
      <c r="V16" s="25" t="str">
        <f aca="false">IF($A16="","",SUMIFS(工数明細!$G$3:$G$302,工数明細!$B$3:$B$302,$A16))</f>
        <v/>
      </c>
      <c r="W16" s="26" t="str">
        <f aca="false">IF($U16="","",$U16-N($V16))</f>
        <v/>
      </c>
      <c r="X16" s="23" t="str">
        <f aca="false">IF(N($U16)=0,"",$V16/$U16)</f>
        <v/>
      </c>
      <c r="Y16" s="20" t="str">
        <f aca="false">IF(N($U16)=0,"",IF($V16&gt;$U16,"超過",IF($V16&gt;=$U16*0.9,"注意","適正")))</f>
        <v/>
      </c>
      <c r="Z16" s="27" t="str">
        <f aca="true">IF($L16="","",IF($M16&lt;&gt;"",$M16-$L16,IF(TODAY()&gt;$L16,TODAY()-$L16,0)))</f>
        <v/>
      </c>
      <c r="AA16" s="37"/>
    </row>
    <row r="17" customFormat="false" ht="18" hidden="false" customHeight="true" outlineLevel="0" collapsed="false">
      <c r="A17" s="30"/>
      <c r="B17" s="31"/>
      <c r="C17" s="31"/>
      <c r="D17" s="31"/>
      <c r="E17" s="31"/>
      <c r="F17" s="32"/>
      <c r="G17" s="31"/>
      <c r="H17" s="31"/>
      <c r="I17" s="33"/>
      <c r="J17" s="34"/>
      <c r="K17" s="34"/>
      <c r="L17" s="34"/>
      <c r="M17" s="34"/>
      <c r="N17" s="19" t="str">
        <f aca="false">IF($J17="","",YEAR($J17)-IF(MONTH($J17)&lt;マスタ!$B$4,1,0))</f>
        <v/>
      </c>
      <c r="O17" s="20" t="str">
        <f aca="false">IF($J17="","","Q"&amp;(INT(MOD(MONTH($J17)-マスタ!$B$4+12,12)/3)+1))</f>
        <v/>
      </c>
      <c r="P17" s="35"/>
      <c r="Q17" s="22" t="str">
        <f aca="false">IF($P17="","",$P17*N($F17))</f>
        <v/>
      </c>
      <c r="R17" s="35"/>
      <c r="S17" s="22" t="str">
        <f aca="false">IF($P17="","",$P17-N($R17))</f>
        <v/>
      </c>
      <c r="T17" s="23" t="str">
        <f aca="false">IF(N($P17)=0,"",$S17/$P17)</f>
        <v/>
      </c>
      <c r="U17" s="36"/>
      <c r="V17" s="25" t="str">
        <f aca="false">IF($A17="","",SUMIFS(工数明細!$G$3:$G$302,工数明細!$B$3:$B$302,$A17))</f>
        <v/>
      </c>
      <c r="W17" s="26" t="str">
        <f aca="false">IF($U17="","",$U17-N($V17))</f>
        <v/>
      </c>
      <c r="X17" s="23" t="str">
        <f aca="false">IF(N($U17)=0,"",$V17/$U17)</f>
        <v/>
      </c>
      <c r="Y17" s="20" t="str">
        <f aca="false">IF(N($U17)=0,"",IF($V17&gt;$U17,"超過",IF($V17&gt;=$U17*0.9,"注意","適正")))</f>
        <v/>
      </c>
      <c r="Z17" s="27" t="str">
        <f aca="true">IF($L17="","",IF($M17&lt;&gt;"",$M17-$L17,IF(TODAY()&gt;$L17,TODAY()-$L17,0)))</f>
        <v/>
      </c>
      <c r="AA17" s="37"/>
    </row>
    <row r="18" customFormat="false" ht="18" hidden="false" customHeight="true" outlineLevel="0" collapsed="false">
      <c r="A18" s="30"/>
      <c r="B18" s="31"/>
      <c r="C18" s="31"/>
      <c r="D18" s="31"/>
      <c r="E18" s="31"/>
      <c r="F18" s="32"/>
      <c r="G18" s="31"/>
      <c r="H18" s="31"/>
      <c r="I18" s="33"/>
      <c r="J18" s="34"/>
      <c r="K18" s="34"/>
      <c r="L18" s="34"/>
      <c r="M18" s="34"/>
      <c r="N18" s="19" t="str">
        <f aca="false">IF($J18="","",YEAR($J18)-IF(MONTH($J18)&lt;マスタ!$B$4,1,0))</f>
        <v/>
      </c>
      <c r="O18" s="20" t="str">
        <f aca="false">IF($J18="","","Q"&amp;(INT(MOD(MONTH($J18)-マスタ!$B$4+12,12)/3)+1))</f>
        <v/>
      </c>
      <c r="P18" s="35"/>
      <c r="Q18" s="22" t="str">
        <f aca="false">IF($P18="","",$P18*N($F18))</f>
        <v/>
      </c>
      <c r="R18" s="35"/>
      <c r="S18" s="22" t="str">
        <f aca="false">IF($P18="","",$P18-N($R18))</f>
        <v/>
      </c>
      <c r="T18" s="23" t="str">
        <f aca="false">IF(N($P18)=0,"",$S18/$P18)</f>
        <v/>
      </c>
      <c r="U18" s="36"/>
      <c r="V18" s="25" t="str">
        <f aca="false">IF($A18="","",SUMIFS(工数明細!$G$3:$G$302,工数明細!$B$3:$B$302,$A18))</f>
        <v/>
      </c>
      <c r="W18" s="26" t="str">
        <f aca="false">IF($U18="","",$U18-N($V18))</f>
        <v/>
      </c>
      <c r="X18" s="23" t="str">
        <f aca="false">IF(N($U18)=0,"",$V18/$U18)</f>
        <v/>
      </c>
      <c r="Y18" s="20" t="str">
        <f aca="false">IF(N($U18)=0,"",IF($V18&gt;$U18,"超過",IF($V18&gt;=$U18*0.9,"注意","適正")))</f>
        <v/>
      </c>
      <c r="Z18" s="27" t="str">
        <f aca="true">IF($L18="","",IF($M18&lt;&gt;"",$M18-$L18,IF(TODAY()&gt;$L18,TODAY()-$L18,0)))</f>
        <v/>
      </c>
      <c r="AA18" s="37"/>
    </row>
    <row r="19" customFormat="false" ht="18" hidden="false" customHeight="true" outlineLevel="0" collapsed="false">
      <c r="A19" s="30"/>
      <c r="B19" s="31"/>
      <c r="C19" s="31"/>
      <c r="D19" s="31"/>
      <c r="E19" s="31"/>
      <c r="F19" s="32"/>
      <c r="G19" s="31"/>
      <c r="H19" s="31"/>
      <c r="I19" s="33"/>
      <c r="J19" s="34"/>
      <c r="K19" s="34"/>
      <c r="L19" s="34"/>
      <c r="M19" s="34"/>
      <c r="N19" s="19" t="str">
        <f aca="false">IF($J19="","",YEAR($J19)-IF(MONTH($J19)&lt;マスタ!$B$4,1,0))</f>
        <v/>
      </c>
      <c r="O19" s="20" t="str">
        <f aca="false">IF($J19="","","Q"&amp;(INT(MOD(MONTH($J19)-マスタ!$B$4+12,12)/3)+1))</f>
        <v/>
      </c>
      <c r="P19" s="35"/>
      <c r="Q19" s="22" t="str">
        <f aca="false">IF($P19="","",$P19*N($F19))</f>
        <v/>
      </c>
      <c r="R19" s="35"/>
      <c r="S19" s="22" t="str">
        <f aca="false">IF($P19="","",$P19-N($R19))</f>
        <v/>
      </c>
      <c r="T19" s="23" t="str">
        <f aca="false">IF(N($P19)=0,"",$S19/$P19)</f>
        <v/>
      </c>
      <c r="U19" s="36"/>
      <c r="V19" s="25" t="str">
        <f aca="false">IF($A19="","",SUMIFS(工数明細!$G$3:$G$302,工数明細!$B$3:$B$302,$A19))</f>
        <v/>
      </c>
      <c r="W19" s="26" t="str">
        <f aca="false">IF($U19="","",$U19-N($V19))</f>
        <v/>
      </c>
      <c r="X19" s="23" t="str">
        <f aca="false">IF(N($U19)=0,"",$V19/$U19)</f>
        <v/>
      </c>
      <c r="Y19" s="20" t="str">
        <f aca="false">IF(N($U19)=0,"",IF($V19&gt;$U19,"超過",IF($V19&gt;=$U19*0.9,"注意","適正")))</f>
        <v/>
      </c>
      <c r="Z19" s="27" t="str">
        <f aca="true">IF($L19="","",IF($M19&lt;&gt;"",$M19-$L19,IF(TODAY()&gt;$L19,TODAY()-$L19,0)))</f>
        <v/>
      </c>
      <c r="AA19" s="37"/>
    </row>
    <row r="20" customFormat="false" ht="18" hidden="false" customHeight="true" outlineLevel="0" collapsed="false">
      <c r="A20" s="30"/>
      <c r="B20" s="31"/>
      <c r="C20" s="31"/>
      <c r="D20" s="31"/>
      <c r="E20" s="31"/>
      <c r="F20" s="32"/>
      <c r="G20" s="31"/>
      <c r="H20" s="31"/>
      <c r="I20" s="33"/>
      <c r="J20" s="34"/>
      <c r="K20" s="34"/>
      <c r="L20" s="34"/>
      <c r="M20" s="34"/>
      <c r="N20" s="19" t="str">
        <f aca="false">IF($J20="","",YEAR($J20)-IF(MONTH($J20)&lt;マスタ!$B$4,1,0))</f>
        <v/>
      </c>
      <c r="O20" s="20" t="str">
        <f aca="false">IF($J20="","","Q"&amp;(INT(MOD(MONTH($J20)-マスタ!$B$4+12,12)/3)+1))</f>
        <v/>
      </c>
      <c r="P20" s="35"/>
      <c r="Q20" s="22" t="str">
        <f aca="false">IF($P20="","",$P20*N($F20))</f>
        <v/>
      </c>
      <c r="R20" s="35"/>
      <c r="S20" s="22" t="str">
        <f aca="false">IF($P20="","",$P20-N($R20))</f>
        <v/>
      </c>
      <c r="T20" s="23" t="str">
        <f aca="false">IF(N($P20)=0,"",$S20/$P20)</f>
        <v/>
      </c>
      <c r="U20" s="36"/>
      <c r="V20" s="25" t="str">
        <f aca="false">IF($A20="","",SUMIFS(工数明細!$G$3:$G$302,工数明細!$B$3:$B$302,$A20))</f>
        <v/>
      </c>
      <c r="W20" s="26" t="str">
        <f aca="false">IF($U20="","",$U20-N($V20))</f>
        <v/>
      </c>
      <c r="X20" s="23" t="str">
        <f aca="false">IF(N($U20)=0,"",$V20/$U20)</f>
        <v/>
      </c>
      <c r="Y20" s="20" t="str">
        <f aca="false">IF(N($U20)=0,"",IF($V20&gt;$U20,"超過",IF($V20&gt;=$U20*0.9,"注意","適正")))</f>
        <v/>
      </c>
      <c r="Z20" s="27" t="str">
        <f aca="true">IF($L20="","",IF($M20&lt;&gt;"",$M20-$L20,IF(TODAY()&gt;$L20,TODAY()-$L20,0)))</f>
        <v/>
      </c>
      <c r="AA20" s="37"/>
    </row>
    <row r="21" customFormat="false" ht="18" hidden="false" customHeight="true" outlineLevel="0" collapsed="false">
      <c r="A21" s="30"/>
      <c r="B21" s="31"/>
      <c r="C21" s="31"/>
      <c r="D21" s="31"/>
      <c r="E21" s="31"/>
      <c r="F21" s="32"/>
      <c r="G21" s="31"/>
      <c r="H21" s="31"/>
      <c r="I21" s="33"/>
      <c r="J21" s="34"/>
      <c r="K21" s="34"/>
      <c r="L21" s="34"/>
      <c r="M21" s="34"/>
      <c r="N21" s="19" t="str">
        <f aca="false">IF($J21="","",YEAR($J21)-IF(MONTH($J21)&lt;マスタ!$B$4,1,0))</f>
        <v/>
      </c>
      <c r="O21" s="20" t="str">
        <f aca="false">IF($J21="","","Q"&amp;(INT(MOD(MONTH($J21)-マスタ!$B$4+12,12)/3)+1))</f>
        <v/>
      </c>
      <c r="P21" s="35"/>
      <c r="Q21" s="22" t="str">
        <f aca="false">IF($P21="","",$P21*N($F21))</f>
        <v/>
      </c>
      <c r="R21" s="35"/>
      <c r="S21" s="22" t="str">
        <f aca="false">IF($P21="","",$P21-N($R21))</f>
        <v/>
      </c>
      <c r="T21" s="23" t="str">
        <f aca="false">IF(N($P21)=0,"",$S21/$P21)</f>
        <v/>
      </c>
      <c r="U21" s="36"/>
      <c r="V21" s="25" t="str">
        <f aca="false">IF($A21="","",SUMIFS(工数明細!$G$3:$G$302,工数明細!$B$3:$B$302,$A21))</f>
        <v/>
      </c>
      <c r="W21" s="26" t="str">
        <f aca="false">IF($U21="","",$U21-N($V21))</f>
        <v/>
      </c>
      <c r="X21" s="23" t="str">
        <f aca="false">IF(N($U21)=0,"",$V21/$U21)</f>
        <v/>
      </c>
      <c r="Y21" s="20" t="str">
        <f aca="false">IF(N($U21)=0,"",IF($V21&gt;$U21,"超過",IF($V21&gt;=$U21*0.9,"注意","適正")))</f>
        <v/>
      </c>
      <c r="Z21" s="27" t="str">
        <f aca="true">IF($L21="","",IF($M21&lt;&gt;"",$M21-$L21,IF(TODAY()&gt;$L21,TODAY()-$L21,0)))</f>
        <v/>
      </c>
      <c r="AA21" s="37"/>
    </row>
    <row r="22" customFormat="false" ht="18" hidden="false" customHeight="true" outlineLevel="0" collapsed="false">
      <c r="A22" s="30"/>
      <c r="B22" s="31"/>
      <c r="C22" s="31"/>
      <c r="D22" s="31"/>
      <c r="E22" s="31"/>
      <c r="F22" s="32"/>
      <c r="G22" s="31"/>
      <c r="H22" s="31"/>
      <c r="I22" s="33"/>
      <c r="J22" s="34"/>
      <c r="K22" s="34"/>
      <c r="L22" s="34"/>
      <c r="M22" s="34"/>
      <c r="N22" s="19" t="str">
        <f aca="false">IF($J22="","",YEAR($J22)-IF(MONTH($J22)&lt;マスタ!$B$4,1,0))</f>
        <v/>
      </c>
      <c r="O22" s="20" t="str">
        <f aca="false">IF($J22="","","Q"&amp;(INT(MOD(MONTH($J22)-マスタ!$B$4+12,12)/3)+1))</f>
        <v/>
      </c>
      <c r="P22" s="35"/>
      <c r="Q22" s="22" t="str">
        <f aca="false">IF($P22="","",$P22*N($F22))</f>
        <v/>
      </c>
      <c r="R22" s="35"/>
      <c r="S22" s="22" t="str">
        <f aca="false">IF($P22="","",$P22-N($R22))</f>
        <v/>
      </c>
      <c r="T22" s="23" t="str">
        <f aca="false">IF(N($P22)=0,"",$S22/$P22)</f>
        <v/>
      </c>
      <c r="U22" s="36"/>
      <c r="V22" s="25" t="str">
        <f aca="false">IF($A22="","",SUMIFS(工数明細!$G$3:$G$302,工数明細!$B$3:$B$302,$A22))</f>
        <v/>
      </c>
      <c r="W22" s="26" t="str">
        <f aca="false">IF($U22="","",$U22-N($V22))</f>
        <v/>
      </c>
      <c r="X22" s="23" t="str">
        <f aca="false">IF(N($U22)=0,"",$V22/$U22)</f>
        <v/>
      </c>
      <c r="Y22" s="20" t="str">
        <f aca="false">IF(N($U22)=0,"",IF($V22&gt;$U22,"超過",IF($V22&gt;=$U22*0.9,"注意","適正")))</f>
        <v/>
      </c>
      <c r="Z22" s="27" t="str">
        <f aca="true">IF($L22="","",IF($M22&lt;&gt;"",$M22-$L22,IF(TODAY()&gt;$L22,TODAY()-$L22,0)))</f>
        <v/>
      </c>
      <c r="AA22" s="37"/>
    </row>
    <row r="23" customFormat="false" ht="18" hidden="false" customHeight="true" outlineLevel="0" collapsed="false">
      <c r="A23" s="30"/>
      <c r="B23" s="31"/>
      <c r="C23" s="31"/>
      <c r="D23" s="31"/>
      <c r="E23" s="31"/>
      <c r="F23" s="32"/>
      <c r="G23" s="31"/>
      <c r="H23" s="31"/>
      <c r="I23" s="33"/>
      <c r="J23" s="34"/>
      <c r="K23" s="34"/>
      <c r="L23" s="34"/>
      <c r="M23" s="34"/>
      <c r="N23" s="19" t="str">
        <f aca="false">IF($J23="","",YEAR($J23)-IF(MONTH($J23)&lt;マスタ!$B$4,1,0))</f>
        <v/>
      </c>
      <c r="O23" s="20" t="str">
        <f aca="false">IF($J23="","","Q"&amp;(INT(MOD(MONTH($J23)-マスタ!$B$4+12,12)/3)+1))</f>
        <v/>
      </c>
      <c r="P23" s="35"/>
      <c r="Q23" s="22" t="str">
        <f aca="false">IF($P23="","",$P23*N($F23))</f>
        <v/>
      </c>
      <c r="R23" s="35"/>
      <c r="S23" s="22" t="str">
        <f aca="false">IF($P23="","",$P23-N($R23))</f>
        <v/>
      </c>
      <c r="T23" s="23" t="str">
        <f aca="false">IF(N($P23)=0,"",$S23/$P23)</f>
        <v/>
      </c>
      <c r="U23" s="36"/>
      <c r="V23" s="25" t="str">
        <f aca="false">IF($A23="","",SUMIFS(工数明細!$G$3:$G$302,工数明細!$B$3:$B$302,$A23))</f>
        <v/>
      </c>
      <c r="W23" s="26" t="str">
        <f aca="false">IF($U23="","",$U23-N($V23))</f>
        <v/>
      </c>
      <c r="X23" s="23" t="str">
        <f aca="false">IF(N($U23)=0,"",$V23/$U23)</f>
        <v/>
      </c>
      <c r="Y23" s="20" t="str">
        <f aca="false">IF(N($U23)=0,"",IF($V23&gt;$U23,"超過",IF($V23&gt;=$U23*0.9,"注意","適正")))</f>
        <v/>
      </c>
      <c r="Z23" s="27" t="str">
        <f aca="true">IF($L23="","",IF($M23&lt;&gt;"",$M23-$L23,IF(TODAY()&gt;$L23,TODAY()-$L23,0)))</f>
        <v/>
      </c>
      <c r="AA23" s="37"/>
    </row>
    <row r="24" customFormat="false" ht="18" hidden="false" customHeight="true" outlineLevel="0" collapsed="false">
      <c r="A24" s="30"/>
      <c r="B24" s="31"/>
      <c r="C24" s="31"/>
      <c r="D24" s="31"/>
      <c r="E24" s="31"/>
      <c r="F24" s="32"/>
      <c r="G24" s="31"/>
      <c r="H24" s="31"/>
      <c r="I24" s="33"/>
      <c r="J24" s="34"/>
      <c r="K24" s="34"/>
      <c r="L24" s="34"/>
      <c r="M24" s="34"/>
      <c r="N24" s="19" t="str">
        <f aca="false">IF($J24="","",YEAR($J24)-IF(MONTH($J24)&lt;マスタ!$B$4,1,0))</f>
        <v/>
      </c>
      <c r="O24" s="20" t="str">
        <f aca="false">IF($J24="","","Q"&amp;(INT(MOD(MONTH($J24)-マスタ!$B$4+12,12)/3)+1))</f>
        <v/>
      </c>
      <c r="P24" s="35"/>
      <c r="Q24" s="22" t="str">
        <f aca="false">IF($P24="","",$P24*N($F24))</f>
        <v/>
      </c>
      <c r="R24" s="35"/>
      <c r="S24" s="22" t="str">
        <f aca="false">IF($P24="","",$P24-N($R24))</f>
        <v/>
      </c>
      <c r="T24" s="23" t="str">
        <f aca="false">IF(N($P24)=0,"",$S24/$P24)</f>
        <v/>
      </c>
      <c r="U24" s="36"/>
      <c r="V24" s="25" t="str">
        <f aca="false">IF($A24="","",SUMIFS(工数明細!$G$3:$G$302,工数明細!$B$3:$B$302,$A24))</f>
        <v/>
      </c>
      <c r="W24" s="26" t="str">
        <f aca="false">IF($U24="","",$U24-N($V24))</f>
        <v/>
      </c>
      <c r="X24" s="23" t="str">
        <f aca="false">IF(N($U24)=0,"",$V24/$U24)</f>
        <v/>
      </c>
      <c r="Y24" s="20" t="str">
        <f aca="false">IF(N($U24)=0,"",IF($V24&gt;$U24,"超過",IF($V24&gt;=$U24*0.9,"注意","適正")))</f>
        <v/>
      </c>
      <c r="Z24" s="27" t="str">
        <f aca="true">IF($L24="","",IF($M24&lt;&gt;"",$M24-$L24,IF(TODAY()&gt;$L24,TODAY()-$L24,0)))</f>
        <v/>
      </c>
      <c r="AA24" s="37"/>
    </row>
    <row r="25" customFormat="false" ht="18" hidden="false" customHeight="true" outlineLevel="0" collapsed="false">
      <c r="A25" s="30"/>
      <c r="B25" s="31"/>
      <c r="C25" s="31"/>
      <c r="D25" s="31"/>
      <c r="E25" s="31"/>
      <c r="F25" s="32"/>
      <c r="G25" s="31"/>
      <c r="H25" s="31"/>
      <c r="I25" s="33"/>
      <c r="J25" s="34"/>
      <c r="K25" s="34"/>
      <c r="L25" s="34"/>
      <c r="M25" s="34"/>
      <c r="N25" s="19" t="str">
        <f aca="false">IF($J25="","",YEAR($J25)-IF(MONTH($J25)&lt;マスタ!$B$4,1,0))</f>
        <v/>
      </c>
      <c r="O25" s="20" t="str">
        <f aca="false">IF($J25="","","Q"&amp;(INT(MOD(MONTH($J25)-マスタ!$B$4+12,12)/3)+1))</f>
        <v/>
      </c>
      <c r="P25" s="35"/>
      <c r="Q25" s="22" t="str">
        <f aca="false">IF($P25="","",$P25*N($F25))</f>
        <v/>
      </c>
      <c r="R25" s="35"/>
      <c r="S25" s="22" t="str">
        <f aca="false">IF($P25="","",$P25-N($R25))</f>
        <v/>
      </c>
      <c r="T25" s="23" t="str">
        <f aca="false">IF(N($P25)=0,"",$S25/$P25)</f>
        <v/>
      </c>
      <c r="U25" s="36"/>
      <c r="V25" s="25" t="str">
        <f aca="false">IF($A25="","",SUMIFS(工数明細!$G$3:$G$302,工数明細!$B$3:$B$302,$A25))</f>
        <v/>
      </c>
      <c r="W25" s="26" t="str">
        <f aca="false">IF($U25="","",$U25-N($V25))</f>
        <v/>
      </c>
      <c r="X25" s="23" t="str">
        <f aca="false">IF(N($U25)=0,"",$V25/$U25)</f>
        <v/>
      </c>
      <c r="Y25" s="20" t="str">
        <f aca="false">IF(N($U25)=0,"",IF($V25&gt;$U25,"超過",IF($V25&gt;=$U25*0.9,"注意","適正")))</f>
        <v/>
      </c>
      <c r="Z25" s="27" t="str">
        <f aca="true">IF($L25="","",IF($M25&lt;&gt;"",$M25-$L25,IF(TODAY()&gt;$L25,TODAY()-$L25,0)))</f>
        <v/>
      </c>
      <c r="AA25" s="37"/>
    </row>
    <row r="26" customFormat="false" ht="18" hidden="false" customHeight="true" outlineLevel="0" collapsed="false">
      <c r="A26" s="30"/>
      <c r="B26" s="31"/>
      <c r="C26" s="31"/>
      <c r="D26" s="31"/>
      <c r="E26" s="31"/>
      <c r="F26" s="32"/>
      <c r="G26" s="31"/>
      <c r="H26" s="31"/>
      <c r="I26" s="33"/>
      <c r="J26" s="34"/>
      <c r="K26" s="34"/>
      <c r="L26" s="34"/>
      <c r="M26" s="34"/>
      <c r="N26" s="19" t="str">
        <f aca="false">IF($J26="","",YEAR($J26)-IF(MONTH($J26)&lt;マスタ!$B$4,1,0))</f>
        <v/>
      </c>
      <c r="O26" s="20" t="str">
        <f aca="false">IF($J26="","","Q"&amp;(INT(MOD(MONTH($J26)-マスタ!$B$4+12,12)/3)+1))</f>
        <v/>
      </c>
      <c r="P26" s="35"/>
      <c r="Q26" s="22" t="str">
        <f aca="false">IF($P26="","",$P26*N($F26))</f>
        <v/>
      </c>
      <c r="R26" s="35"/>
      <c r="S26" s="22" t="str">
        <f aca="false">IF($P26="","",$P26-N($R26))</f>
        <v/>
      </c>
      <c r="T26" s="23" t="str">
        <f aca="false">IF(N($P26)=0,"",$S26/$P26)</f>
        <v/>
      </c>
      <c r="U26" s="36"/>
      <c r="V26" s="25" t="str">
        <f aca="false">IF($A26="","",SUMIFS(工数明細!$G$3:$G$302,工数明細!$B$3:$B$302,$A26))</f>
        <v/>
      </c>
      <c r="W26" s="26" t="str">
        <f aca="false">IF($U26="","",$U26-N($V26))</f>
        <v/>
      </c>
      <c r="X26" s="23" t="str">
        <f aca="false">IF(N($U26)=0,"",$V26/$U26)</f>
        <v/>
      </c>
      <c r="Y26" s="20" t="str">
        <f aca="false">IF(N($U26)=0,"",IF($V26&gt;$U26,"超過",IF($V26&gt;=$U26*0.9,"注意","適正")))</f>
        <v/>
      </c>
      <c r="Z26" s="27" t="str">
        <f aca="true">IF($L26="","",IF($M26&lt;&gt;"",$M26-$L26,IF(TODAY()&gt;$L26,TODAY()-$L26,0)))</f>
        <v/>
      </c>
      <c r="AA26" s="37"/>
    </row>
    <row r="27" customFormat="false" ht="18" hidden="false" customHeight="true" outlineLevel="0" collapsed="false">
      <c r="A27" s="30"/>
      <c r="B27" s="31"/>
      <c r="C27" s="31"/>
      <c r="D27" s="31"/>
      <c r="E27" s="31"/>
      <c r="F27" s="32"/>
      <c r="G27" s="31"/>
      <c r="H27" s="31"/>
      <c r="I27" s="33"/>
      <c r="J27" s="34"/>
      <c r="K27" s="34"/>
      <c r="L27" s="34"/>
      <c r="M27" s="34"/>
      <c r="N27" s="19" t="str">
        <f aca="false">IF($J27="","",YEAR($J27)-IF(MONTH($J27)&lt;マスタ!$B$4,1,0))</f>
        <v/>
      </c>
      <c r="O27" s="20" t="str">
        <f aca="false">IF($J27="","","Q"&amp;(INT(MOD(MONTH($J27)-マスタ!$B$4+12,12)/3)+1))</f>
        <v/>
      </c>
      <c r="P27" s="35"/>
      <c r="Q27" s="22" t="str">
        <f aca="false">IF($P27="","",$P27*N($F27))</f>
        <v/>
      </c>
      <c r="R27" s="35"/>
      <c r="S27" s="22" t="str">
        <f aca="false">IF($P27="","",$P27-N($R27))</f>
        <v/>
      </c>
      <c r="T27" s="23" t="str">
        <f aca="false">IF(N($P27)=0,"",$S27/$P27)</f>
        <v/>
      </c>
      <c r="U27" s="36"/>
      <c r="V27" s="25" t="str">
        <f aca="false">IF($A27="","",SUMIFS(工数明細!$G$3:$G$302,工数明細!$B$3:$B$302,$A27))</f>
        <v/>
      </c>
      <c r="W27" s="26" t="str">
        <f aca="false">IF($U27="","",$U27-N($V27))</f>
        <v/>
      </c>
      <c r="X27" s="23" t="str">
        <f aca="false">IF(N($U27)=0,"",$V27/$U27)</f>
        <v/>
      </c>
      <c r="Y27" s="20" t="str">
        <f aca="false">IF(N($U27)=0,"",IF($V27&gt;$U27,"超過",IF($V27&gt;=$U27*0.9,"注意","適正")))</f>
        <v/>
      </c>
      <c r="Z27" s="27" t="str">
        <f aca="true">IF($L27="","",IF($M27&lt;&gt;"",$M27-$L27,IF(TODAY()&gt;$L27,TODAY()-$L27,0)))</f>
        <v/>
      </c>
      <c r="AA27" s="37"/>
    </row>
    <row r="28" customFormat="false" ht="18" hidden="false" customHeight="true" outlineLevel="0" collapsed="false">
      <c r="A28" s="30"/>
      <c r="B28" s="31"/>
      <c r="C28" s="31"/>
      <c r="D28" s="31"/>
      <c r="E28" s="31"/>
      <c r="F28" s="32"/>
      <c r="G28" s="31"/>
      <c r="H28" s="31"/>
      <c r="I28" s="33"/>
      <c r="J28" s="34"/>
      <c r="K28" s="34"/>
      <c r="L28" s="34"/>
      <c r="M28" s="34"/>
      <c r="N28" s="19" t="str">
        <f aca="false">IF($J28="","",YEAR($J28)-IF(MONTH($J28)&lt;マスタ!$B$4,1,0))</f>
        <v/>
      </c>
      <c r="O28" s="20" t="str">
        <f aca="false">IF($J28="","","Q"&amp;(INT(MOD(MONTH($J28)-マスタ!$B$4+12,12)/3)+1))</f>
        <v/>
      </c>
      <c r="P28" s="35"/>
      <c r="Q28" s="22" t="str">
        <f aca="false">IF($P28="","",$P28*N($F28))</f>
        <v/>
      </c>
      <c r="R28" s="35"/>
      <c r="S28" s="22" t="str">
        <f aca="false">IF($P28="","",$P28-N($R28))</f>
        <v/>
      </c>
      <c r="T28" s="23" t="str">
        <f aca="false">IF(N($P28)=0,"",$S28/$P28)</f>
        <v/>
      </c>
      <c r="U28" s="36"/>
      <c r="V28" s="25" t="str">
        <f aca="false">IF($A28="","",SUMIFS(工数明細!$G$3:$G$302,工数明細!$B$3:$B$302,$A28))</f>
        <v/>
      </c>
      <c r="W28" s="26" t="str">
        <f aca="false">IF($U28="","",$U28-N($V28))</f>
        <v/>
      </c>
      <c r="X28" s="23" t="str">
        <f aca="false">IF(N($U28)=0,"",$V28/$U28)</f>
        <v/>
      </c>
      <c r="Y28" s="20" t="str">
        <f aca="false">IF(N($U28)=0,"",IF($V28&gt;$U28,"超過",IF($V28&gt;=$U28*0.9,"注意","適正")))</f>
        <v/>
      </c>
      <c r="Z28" s="27" t="str">
        <f aca="true">IF($L28="","",IF($M28&lt;&gt;"",$M28-$L28,IF(TODAY()&gt;$L28,TODAY()-$L28,0)))</f>
        <v/>
      </c>
      <c r="AA28" s="37"/>
    </row>
    <row r="29" customFormat="false" ht="18" hidden="false" customHeight="true" outlineLevel="0" collapsed="false">
      <c r="A29" s="30"/>
      <c r="B29" s="31"/>
      <c r="C29" s="31"/>
      <c r="D29" s="31"/>
      <c r="E29" s="31"/>
      <c r="F29" s="32"/>
      <c r="G29" s="31"/>
      <c r="H29" s="31"/>
      <c r="I29" s="33"/>
      <c r="J29" s="34"/>
      <c r="K29" s="34"/>
      <c r="L29" s="34"/>
      <c r="M29" s="34"/>
      <c r="N29" s="19" t="str">
        <f aca="false">IF($J29="","",YEAR($J29)-IF(MONTH($J29)&lt;マスタ!$B$4,1,0))</f>
        <v/>
      </c>
      <c r="O29" s="20" t="str">
        <f aca="false">IF($J29="","","Q"&amp;(INT(MOD(MONTH($J29)-マスタ!$B$4+12,12)/3)+1))</f>
        <v/>
      </c>
      <c r="P29" s="35"/>
      <c r="Q29" s="22" t="str">
        <f aca="false">IF($P29="","",$P29*N($F29))</f>
        <v/>
      </c>
      <c r="R29" s="35"/>
      <c r="S29" s="22" t="str">
        <f aca="false">IF($P29="","",$P29-N($R29))</f>
        <v/>
      </c>
      <c r="T29" s="23" t="str">
        <f aca="false">IF(N($P29)=0,"",$S29/$P29)</f>
        <v/>
      </c>
      <c r="U29" s="36"/>
      <c r="V29" s="25" t="str">
        <f aca="false">IF($A29="","",SUMIFS(工数明細!$G$3:$G$302,工数明細!$B$3:$B$302,$A29))</f>
        <v/>
      </c>
      <c r="W29" s="26" t="str">
        <f aca="false">IF($U29="","",$U29-N($V29))</f>
        <v/>
      </c>
      <c r="X29" s="23" t="str">
        <f aca="false">IF(N($U29)=0,"",$V29/$U29)</f>
        <v/>
      </c>
      <c r="Y29" s="20" t="str">
        <f aca="false">IF(N($U29)=0,"",IF($V29&gt;$U29,"超過",IF($V29&gt;=$U29*0.9,"注意","適正")))</f>
        <v/>
      </c>
      <c r="Z29" s="27" t="str">
        <f aca="true">IF($L29="","",IF($M29&lt;&gt;"",$M29-$L29,IF(TODAY()&gt;$L29,TODAY()-$L29,0)))</f>
        <v/>
      </c>
      <c r="AA29" s="37"/>
    </row>
    <row r="30" customFormat="false" ht="18" hidden="false" customHeight="true" outlineLevel="0" collapsed="false">
      <c r="A30" s="30"/>
      <c r="B30" s="31"/>
      <c r="C30" s="31"/>
      <c r="D30" s="31"/>
      <c r="E30" s="31"/>
      <c r="F30" s="32"/>
      <c r="G30" s="31"/>
      <c r="H30" s="31"/>
      <c r="I30" s="33"/>
      <c r="J30" s="34"/>
      <c r="K30" s="34"/>
      <c r="L30" s="34"/>
      <c r="M30" s="34"/>
      <c r="N30" s="19" t="str">
        <f aca="false">IF($J30="","",YEAR($J30)-IF(MONTH($J30)&lt;マスタ!$B$4,1,0))</f>
        <v/>
      </c>
      <c r="O30" s="20" t="str">
        <f aca="false">IF($J30="","","Q"&amp;(INT(MOD(MONTH($J30)-マスタ!$B$4+12,12)/3)+1))</f>
        <v/>
      </c>
      <c r="P30" s="35"/>
      <c r="Q30" s="22" t="str">
        <f aca="false">IF($P30="","",$P30*N($F30))</f>
        <v/>
      </c>
      <c r="R30" s="35"/>
      <c r="S30" s="22" t="str">
        <f aca="false">IF($P30="","",$P30-N($R30))</f>
        <v/>
      </c>
      <c r="T30" s="23" t="str">
        <f aca="false">IF(N($P30)=0,"",$S30/$P30)</f>
        <v/>
      </c>
      <c r="U30" s="36"/>
      <c r="V30" s="25" t="str">
        <f aca="false">IF($A30="","",SUMIFS(工数明細!$G$3:$G$302,工数明細!$B$3:$B$302,$A30))</f>
        <v/>
      </c>
      <c r="W30" s="26" t="str">
        <f aca="false">IF($U30="","",$U30-N($V30))</f>
        <v/>
      </c>
      <c r="X30" s="23" t="str">
        <f aca="false">IF(N($U30)=0,"",$V30/$U30)</f>
        <v/>
      </c>
      <c r="Y30" s="20" t="str">
        <f aca="false">IF(N($U30)=0,"",IF($V30&gt;$U30,"超過",IF($V30&gt;=$U30*0.9,"注意","適正")))</f>
        <v/>
      </c>
      <c r="Z30" s="27" t="str">
        <f aca="true">IF($L30="","",IF($M30&lt;&gt;"",$M30-$L30,IF(TODAY()&gt;$L30,TODAY()-$L30,0)))</f>
        <v/>
      </c>
      <c r="AA30" s="37"/>
    </row>
    <row r="31" customFormat="false" ht="18" hidden="false" customHeight="true" outlineLevel="0" collapsed="false">
      <c r="A31" s="30"/>
      <c r="B31" s="31"/>
      <c r="C31" s="31"/>
      <c r="D31" s="31"/>
      <c r="E31" s="31"/>
      <c r="F31" s="32"/>
      <c r="G31" s="31"/>
      <c r="H31" s="31"/>
      <c r="I31" s="33"/>
      <c r="J31" s="34"/>
      <c r="K31" s="34"/>
      <c r="L31" s="34"/>
      <c r="M31" s="34"/>
      <c r="N31" s="19" t="str">
        <f aca="false">IF($J31="","",YEAR($J31)-IF(MONTH($J31)&lt;マスタ!$B$4,1,0))</f>
        <v/>
      </c>
      <c r="O31" s="20" t="str">
        <f aca="false">IF($J31="","","Q"&amp;(INT(MOD(MONTH($J31)-マスタ!$B$4+12,12)/3)+1))</f>
        <v/>
      </c>
      <c r="P31" s="35"/>
      <c r="Q31" s="22" t="str">
        <f aca="false">IF($P31="","",$P31*N($F31))</f>
        <v/>
      </c>
      <c r="R31" s="35"/>
      <c r="S31" s="22" t="str">
        <f aca="false">IF($P31="","",$P31-N($R31))</f>
        <v/>
      </c>
      <c r="T31" s="23" t="str">
        <f aca="false">IF(N($P31)=0,"",$S31/$P31)</f>
        <v/>
      </c>
      <c r="U31" s="36"/>
      <c r="V31" s="25" t="str">
        <f aca="false">IF($A31="","",SUMIFS(工数明細!$G$3:$G$302,工数明細!$B$3:$B$302,$A31))</f>
        <v/>
      </c>
      <c r="W31" s="26" t="str">
        <f aca="false">IF($U31="","",$U31-N($V31))</f>
        <v/>
      </c>
      <c r="X31" s="23" t="str">
        <f aca="false">IF(N($U31)=0,"",$V31/$U31)</f>
        <v/>
      </c>
      <c r="Y31" s="20" t="str">
        <f aca="false">IF(N($U31)=0,"",IF($V31&gt;$U31,"超過",IF($V31&gt;=$U31*0.9,"注意","適正")))</f>
        <v/>
      </c>
      <c r="Z31" s="27" t="str">
        <f aca="true">IF($L31="","",IF($M31&lt;&gt;"",$M31-$L31,IF(TODAY()&gt;$L31,TODAY()-$L31,0)))</f>
        <v/>
      </c>
      <c r="AA31" s="37"/>
    </row>
    <row r="32" customFormat="false" ht="18" hidden="false" customHeight="true" outlineLevel="0" collapsed="false">
      <c r="A32" s="30"/>
      <c r="B32" s="31"/>
      <c r="C32" s="31"/>
      <c r="D32" s="31"/>
      <c r="E32" s="31"/>
      <c r="F32" s="32"/>
      <c r="G32" s="31"/>
      <c r="H32" s="31"/>
      <c r="I32" s="33"/>
      <c r="J32" s="34"/>
      <c r="K32" s="34"/>
      <c r="L32" s="34"/>
      <c r="M32" s="34"/>
      <c r="N32" s="19" t="str">
        <f aca="false">IF($J32="","",YEAR($J32)-IF(MONTH($J32)&lt;マスタ!$B$4,1,0))</f>
        <v/>
      </c>
      <c r="O32" s="20" t="str">
        <f aca="false">IF($J32="","","Q"&amp;(INT(MOD(MONTH($J32)-マスタ!$B$4+12,12)/3)+1))</f>
        <v/>
      </c>
      <c r="P32" s="35"/>
      <c r="Q32" s="22" t="str">
        <f aca="false">IF($P32="","",$P32*N($F32))</f>
        <v/>
      </c>
      <c r="R32" s="35"/>
      <c r="S32" s="22" t="str">
        <f aca="false">IF($P32="","",$P32-N($R32))</f>
        <v/>
      </c>
      <c r="T32" s="23" t="str">
        <f aca="false">IF(N($P32)=0,"",$S32/$P32)</f>
        <v/>
      </c>
      <c r="U32" s="36"/>
      <c r="V32" s="25" t="str">
        <f aca="false">IF($A32="","",SUMIFS(工数明細!$G$3:$G$302,工数明細!$B$3:$B$302,$A32))</f>
        <v/>
      </c>
      <c r="W32" s="26" t="str">
        <f aca="false">IF($U32="","",$U32-N($V32))</f>
        <v/>
      </c>
      <c r="X32" s="23" t="str">
        <f aca="false">IF(N($U32)=0,"",$V32/$U32)</f>
        <v/>
      </c>
      <c r="Y32" s="20" t="str">
        <f aca="false">IF(N($U32)=0,"",IF($V32&gt;$U32,"超過",IF($V32&gt;=$U32*0.9,"注意","適正")))</f>
        <v/>
      </c>
      <c r="Z32" s="27" t="str">
        <f aca="true">IF($L32="","",IF($M32&lt;&gt;"",$M32-$L32,IF(TODAY()&gt;$L32,TODAY()-$L32,0)))</f>
        <v/>
      </c>
      <c r="AA32" s="37"/>
    </row>
    <row r="33" customFormat="false" ht="18" hidden="false" customHeight="true" outlineLevel="0" collapsed="false">
      <c r="A33" s="30"/>
      <c r="B33" s="31"/>
      <c r="C33" s="31"/>
      <c r="D33" s="31"/>
      <c r="E33" s="31"/>
      <c r="F33" s="32"/>
      <c r="G33" s="31"/>
      <c r="H33" s="31"/>
      <c r="I33" s="33"/>
      <c r="J33" s="34"/>
      <c r="K33" s="34"/>
      <c r="L33" s="34"/>
      <c r="M33" s="34"/>
      <c r="N33" s="19" t="str">
        <f aca="false">IF($J33="","",YEAR($J33)-IF(MONTH($J33)&lt;マスタ!$B$4,1,0))</f>
        <v/>
      </c>
      <c r="O33" s="20" t="str">
        <f aca="false">IF($J33="","","Q"&amp;(INT(MOD(MONTH($J33)-マスタ!$B$4+12,12)/3)+1))</f>
        <v/>
      </c>
      <c r="P33" s="35"/>
      <c r="Q33" s="22" t="str">
        <f aca="false">IF($P33="","",$P33*N($F33))</f>
        <v/>
      </c>
      <c r="R33" s="35"/>
      <c r="S33" s="22" t="str">
        <f aca="false">IF($P33="","",$P33-N($R33))</f>
        <v/>
      </c>
      <c r="T33" s="23" t="str">
        <f aca="false">IF(N($P33)=0,"",$S33/$P33)</f>
        <v/>
      </c>
      <c r="U33" s="36"/>
      <c r="V33" s="25" t="str">
        <f aca="false">IF($A33="","",SUMIFS(工数明細!$G$3:$G$302,工数明細!$B$3:$B$302,$A33))</f>
        <v/>
      </c>
      <c r="W33" s="26" t="str">
        <f aca="false">IF($U33="","",$U33-N($V33))</f>
        <v/>
      </c>
      <c r="X33" s="23" t="str">
        <f aca="false">IF(N($U33)=0,"",$V33/$U33)</f>
        <v/>
      </c>
      <c r="Y33" s="20" t="str">
        <f aca="false">IF(N($U33)=0,"",IF($V33&gt;$U33,"超過",IF($V33&gt;=$U33*0.9,"注意","適正")))</f>
        <v/>
      </c>
      <c r="Z33" s="27" t="str">
        <f aca="true">IF($L33="","",IF($M33&lt;&gt;"",$M33-$L33,IF(TODAY()&gt;$L33,TODAY()-$L33,0)))</f>
        <v/>
      </c>
      <c r="AA33" s="37"/>
    </row>
    <row r="34" customFormat="false" ht="18" hidden="false" customHeight="true" outlineLevel="0" collapsed="false">
      <c r="A34" s="30"/>
      <c r="B34" s="31"/>
      <c r="C34" s="31"/>
      <c r="D34" s="31"/>
      <c r="E34" s="31"/>
      <c r="F34" s="32"/>
      <c r="G34" s="31"/>
      <c r="H34" s="31"/>
      <c r="I34" s="33"/>
      <c r="J34" s="34"/>
      <c r="K34" s="34"/>
      <c r="L34" s="34"/>
      <c r="M34" s="34"/>
      <c r="N34" s="19" t="str">
        <f aca="false">IF($J34="","",YEAR($J34)-IF(MONTH($J34)&lt;マスタ!$B$4,1,0))</f>
        <v/>
      </c>
      <c r="O34" s="20" t="str">
        <f aca="false">IF($J34="","","Q"&amp;(INT(MOD(MONTH($J34)-マスタ!$B$4+12,12)/3)+1))</f>
        <v/>
      </c>
      <c r="P34" s="35"/>
      <c r="Q34" s="22" t="str">
        <f aca="false">IF($P34="","",$P34*N($F34))</f>
        <v/>
      </c>
      <c r="R34" s="35"/>
      <c r="S34" s="22" t="str">
        <f aca="false">IF($P34="","",$P34-N($R34))</f>
        <v/>
      </c>
      <c r="T34" s="23" t="str">
        <f aca="false">IF(N($P34)=0,"",$S34/$P34)</f>
        <v/>
      </c>
      <c r="U34" s="36"/>
      <c r="V34" s="25" t="str">
        <f aca="false">IF($A34="","",SUMIFS(工数明細!$G$3:$G$302,工数明細!$B$3:$B$302,$A34))</f>
        <v/>
      </c>
      <c r="W34" s="26" t="str">
        <f aca="false">IF($U34="","",$U34-N($V34))</f>
        <v/>
      </c>
      <c r="X34" s="23" t="str">
        <f aca="false">IF(N($U34)=0,"",$V34/$U34)</f>
        <v/>
      </c>
      <c r="Y34" s="20" t="str">
        <f aca="false">IF(N($U34)=0,"",IF($V34&gt;$U34,"超過",IF($V34&gt;=$U34*0.9,"注意","適正")))</f>
        <v/>
      </c>
      <c r="Z34" s="27" t="str">
        <f aca="true">IF($L34="","",IF($M34&lt;&gt;"",$M34-$L34,IF(TODAY()&gt;$L34,TODAY()-$L34,0)))</f>
        <v/>
      </c>
      <c r="AA34" s="37"/>
    </row>
    <row r="35" customFormat="false" ht="18" hidden="false" customHeight="true" outlineLevel="0" collapsed="false">
      <c r="A35" s="30"/>
      <c r="B35" s="31"/>
      <c r="C35" s="31"/>
      <c r="D35" s="31"/>
      <c r="E35" s="31"/>
      <c r="F35" s="32"/>
      <c r="G35" s="31"/>
      <c r="H35" s="31"/>
      <c r="I35" s="33"/>
      <c r="J35" s="34"/>
      <c r="K35" s="34"/>
      <c r="L35" s="34"/>
      <c r="M35" s="34"/>
      <c r="N35" s="19" t="str">
        <f aca="false">IF($J35="","",YEAR($J35)-IF(MONTH($J35)&lt;マスタ!$B$4,1,0))</f>
        <v/>
      </c>
      <c r="O35" s="20" t="str">
        <f aca="false">IF($J35="","","Q"&amp;(INT(MOD(MONTH($J35)-マスタ!$B$4+12,12)/3)+1))</f>
        <v/>
      </c>
      <c r="P35" s="35"/>
      <c r="Q35" s="22" t="str">
        <f aca="false">IF($P35="","",$P35*N($F35))</f>
        <v/>
      </c>
      <c r="R35" s="35"/>
      <c r="S35" s="22" t="str">
        <f aca="false">IF($P35="","",$P35-N($R35))</f>
        <v/>
      </c>
      <c r="T35" s="23" t="str">
        <f aca="false">IF(N($P35)=0,"",$S35/$P35)</f>
        <v/>
      </c>
      <c r="U35" s="36"/>
      <c r="V35" s="25" t="str">
        <f aca="false">IF($A35="","",SUMIFS(工数明細!$G$3:$G$302,工数明細!$B$3:$B$302,$A35))</f>
        <v/>
      </c>
      <c r="W35" s="26" t="str">
        <f aca="false">IF($U35="","",$U35-N($V35))</f>
        <v/>
      </c>
      <c r="X35" s="23" t="str">
        <f aca="false">IF(N($U35)=0,"",$V35/$U35)</f>
        <v/>
      </c>
      <c r="Y35" s="20" t="str">
        <f aca="false">IF(N($U35)=0,"",IF($V35&gt;$U35,"超過",IF($V35&gt;=$U35*0.9,"注意","適正")))</f>
        <v/>
      </c>
      <c r="Z35" s="27" t="str">
        <f aca="true">IF($L35="","",IF($M35&lt;&gt;"",$M35-$L35,IF(TODAY()&gt;$L35,TODAY()-$L35,0)))</f>
        <v/>
      </c>
      <c r="AA35" s="37"/>
    </row>
    <row r="36" customFormat="false" ht="18" hidden="false" customHeight="true" outlineLevel="0" collapsed="false">
      <c r="A36" s="30"/>
      <c r="B36" s="31"/>
      <c r="C36" s="31"/>
      <c r="D36" s="31"/>
      <c r="E36" s="31"/>
      <c r="F36" s="32"/>
      <c r="G36" s="31"/>
      <c r="H36" s="31"/>
      <c r="I36" s="33"/>
      <c r="J36" s="34"/>
      <c r="K36" s="34"/>
      <c r="L36" s="34"/>
      <c r="M36" s="34"/>
      <c r="N36" s="19" t="str">
        <f aca="false">IF($J36="","",YEAR($J36)-IF(MONTH($J36)&lt;マスタ!$B$4,1,0))</f>
        <v/>
      </c>
      <c r="O36" s="20" t="str">
        <f aca="false">IF($J36="","","Q"&amp;(INT(MOD(MONTH($J36)-マスタ!$B$4+12,12)/3)+1))</f>
        <v/>
      </c>
      <c r="P36" s="35"/>
      <c r="Q36" s="22" t="str">
        <f aca="false">IF($P36="","",$P36*N($F36))</f>
        <v/>
      </c>
      <c r="R36" s="35"/>
      <c r="S36" s="22" t="str">
        <f aca="false">IF($P36="","",$P36-N($R36))</f>
        <v/>
      </c>
      <c r="T36" s="23" t="str">
        <f aca="false">IF(N($P36)=0,"",$S36/$P36)</f>
        <v/>
      </c>
      <c r="U36" s="36"/>
      <c r="V36" s="25" t="str">
        <f aca="false">IF($A36="","",SUMIFS(工数明細!$G$3:$G$302,工数明細!$B$3:$B$302,$A36))</f>
        <v/>
      </c>
      <c r="W36" s="26" t="str">
        <f aca="false">IF($U36="","",$U36-N($V36))</f>
        <v/>
      </c>
      <c r="X36" s="23" t="str">
        <f aca="false">IF(N($U36)=0,"",$V36/$U36)</f>
        <v/>
      </c>
      <c r="Y36" s="20" t="str">
        <f aca="false">IF(N($U36)=0,"",IF($V36&gt;$U36,"超過",IF($V36&gt;=$U36*0.9,"注意","適正")))</f>
        <v/>
      </c>
      <c r="Z36" s="27" t="str">
        <f aca="true">IF($L36="","",IF($M36&lt;&gt;"",$M36-$L36,IF(TODAY()&gt;$L36,TODAY()-$L36,0)))</f>
        <v/>
      </c>
      <c r="AA36" s="37"/>
    </row>
    <row r="37" customFormat="false" ht="18" hidden="false" customHeight="true" outlineLevel="0" collapsed="false">
      <c r="A37" s="30"/>
      <c r="B37" s="31"/>
      <c r="C37" s="31"/>
      <c r="D37" s="31"/>
      <c r="E37" s="31"/>
      <c r="F37" s="32"/>
      <c r="G37" s="31"/>
      <c r="H37" s="31"/>
      <c r="I37" s="33"/>
      <c r="J37" s="34"/>
      <c r="K37" s="34"/>
      <c r="L37" s="34"/>
      <c r="M37" s="34"/>
      <c r="N37" s="19" t="str">
        <f aca="false">IF($J37="","",YEAR($J37)-IF(MONTH($J37)&lt;マスタ!$B$4,1,0))</f>
        <v/>
      </c>
      <c r="O37" s="20" t="str">
        <f aca="false">IF($J37="","","Q"&amp;(INT(MOD(MONTH($J37)-マスタ!$B$4+12,12)/3)+1))</f>
        <v/>
      </c>
      <c r="P37" s="35"/>
      <c r="Q37" s="22" t="str">
        <f aca="false">IF($P37="","",$P37*N($F37))</f>
        <v/>
      </c>
      <c r="R37" s="35"/>
      <c r="S37" s="22" t="str">
        <f aca="false">IF($P37="","",$P37-N($R37))</f>
        <v/>
      </c>
      <c r="T37" s="23" t="str">
        <f aca="false">IF(N($P37)=0,"",$S37/$P37)</f>
        <v/>
      </c>
      <c r="U37" s="36"/>
      <c r="V37" s="25" t="str">
        <f aca="false">IF($A37="","",SUMIFS(工数明細!$G$3:$G$302,工数明細!$B$3:$B$302,$A37))</f>
        <v/>
      </c>
      <c r="W37" s="26" t="str">
        <f aca="false">IF($U37="","",$U37-N($V37))</f>
        <v/>
      </c>
      <c r="X37" s="23" t="str">
        <f aca="false">IF(N($U37)=0,"",$V37/$U37)</f>
        <v/>
      </c>
      <c r="Y37" s="20" t="str">
        <f aca="false">IF(N($U37)=0,"",IF($V37&gt;$U37,"超過",IF($V37&gt;=$U37*0.9,"注意","適正")))</f>
        <v/>
      </c>
      <c r="Z37" s="27" t="str">
        <f aca="true">IF($L37="","",IF($M37&lt;&gt;"",$M37-$L37,IF(TODAY()&gt;$L37,TODAY()-$L37,0)))</f>
        <v/>
      </c>
      <c r="AA37" s="37"/>
    </row>
    <row r="38" customFormat="false" ht="18" hidden="false" customHeight="true" outlineLevel="0" collapsed="false">
      <c r="A38" s="30"/>
      <c r="B38" s="31"/>
      <c r="C38" s="31"/>
      <c r="D38" s="31"/>
      <c r="E38" s="31"/>
      <c r="F38" s="32"/>
      <c r="G38" s="31"/>
      <c r="H38" s="31"/>
      <c r="I38" s="33"/>
      <c r="J38" s="34"/>
      <c r="K38" s="34"/>
      <c r="L38" s="34"/>
      <c r="M38" s="34"/>
      <c r="N38" s="19" t="str">
        <f aca="false">IF($J38="","",YEAR($J38)-IF(MONTH($J38)&lt;マスタ!$B$4,1,0))</f>
        <v/>
      </c>
      <c r="O38" s="20" t="str">
        <f aca="false">IF($J38="","","Q"&amp;(INT(MOD(MONTH($J38)-マスタ!$B$4+12,12)/3)+1))</f>
        <v/>
      </c>
      <c r="P38" s="35"/>
      <c r="Q38" s="22" t="str">
        <f aca="false">IF($P38="","",$P38*N($F38))</f>
        <v/>
      </c>
      <c r="R38" s="35"/>
      <c r="S38" s="22" t="str">
        <f aca="false">IF($P38="","",$P38-N($R38))</f>
        <v/>
      </c>
      <c r="T38" s="23" t="str">
        <f aca="false">IF(N($P38)=0,"",$S38/$P38)</f>
        <v/>
      </c>
      <c r="U38" s="36"/>
      <c r="V38" s="25" t="str">
        <f aca="false">IF($A38="","",SUMIFS(工数明細!$G$3:$G$302,工数明細!$B$3:$B$302,$A38))</f>
        <v/>
      </c>
      <c r="W38" s="26" t="str">
        <f aca="false">IF($U38="","",$U38-N($V38))</f>
        <v/>
      </c>
      <c r="X38" s="23" t="str">
        <f aca="false">IF(N($U38)=0,"",$V38/$U38)</f>
        <v/>
      </c>
      <c r="Y38" s="20" t="str">
        <f aca="false">IF(N($U38)=0,"",IF($V38&gt;$U38,"超過",IF($V38&gt;=$U38*0.9,"注意","適正")))</f>
        <v/>
      </c>
      <c r="Z38" s="27" t="str">
        <f aca="true">IF($L38="","",IF($M38&lt;&gt;"",$M38-$L38,IF(TODAY()&gt;$L38,TODAY()-$L38,0)))</f>
        <v/>
      </c>
      <c r="AA38" s="37"/>
    </row>
    <row r="39" customFormat="false" ht="18" hidden="false" customHeight="true" outlineLevel="0" collapsed="false">
      <c r="A39" s="30"/>
      <c r="B39" s="31"/>
      <c r="C39" s="31"/>
      <c r="D39" s="31"/>
      <c r="E39" s="31"/>
      <c r="F39" s="32"/>
      <c r="G39" s="31"/>
      <c r="H39" s="31"/>
      <c r="I39" s="33"/>
      <c r="J39" s="34"/>
      <c r="K39" s="34"/>
      <c r="L39" s="34"/>
      <c r="M39" s="34"/>
      <c r="N39" s="19" t="str">
        <f aca="false">IF($J39="","",YEAR($J39)-IF(MONTH($J39)&lt;マスタ!$B$4,1,0))</f>
        <v/>
      </c>
      <c r="O39" s="20" t="str">
        <f aca="false">IF($J39="","","Q"&amp;(INT(MOD(MONTH($J39)-マスタ!$B$4+12,12)/3)+1))</f>
        <v/>
      </c>
      <c r="P39" s="35"/>
      <c r="Q39" s="22" t="str">
        <f aca="false">IF($P39="","",$P39*N($F39))</f>
        <v/>
      </c>
      <c r="R39" s="35"/>
      <c r="S39" s="22" t="str">
        <f aca="false">IF($P39="","",$P39-N($R39))</f>
        <v/>
      </c>
      <c r="T39" s="23" t="str">
        <f aca="false">IF(N($P39)=0,"",$S39/$P39)</f>
        <v/>
      </c>
      <c r="U39" s="36"/>
      <c r="V39" s="25" t="str">
        <f aca="false">IF($A39="","",SUMIFS(工数明細!$G$3:$G$302,工数明細!$B$3:$B$302,$A39))</f>
        <v/>
      </c>
      <c r="W39" s="26" t="str">
        <f aca="false">IF($U39="","",$U39-N($V39))</f>
        <v/>
      </c>
      <c r="X39" s="23" t="str">
        <f aca="false">IF(N($U39)=0,"",$V39/$U39)</f>
        <v/>
      </c>
      <c r="Y39" s="20" t="str">
        <f aca="false">IF(N($U39)=0,"",IF($V39&gt;$U39,"超過",IF($V39&gt;=$U39*0.9,"注意","適正")))</f>
        <v/>
      </c>
      <c r="Z39" s="27" t="str">
        <f aca="true">IF($L39="","",IF($M39&lt;&gt;"",$M39-$L39,IF(TODAY()&gt;$L39,TODAY()-$L39,0)))</f>
        <v/>
      </c>
      <c r="AA39" s="37"/>
    </row>
    <row r="40" customFormat="false" ht="18" hidden="false" customHeight="true" outlineLevel="0" collapsed="false">
      <c r="A40" s="30"/>
      <c r="B40" s="31"/>
      <c r="C40" s="31"/>
      <c r="D40" s="31"/>
      <c r="E40" s="31"/>
      <c r="F40" s="32"/>
      <c r="G40" s="31"/>
      <c r="H40" s="31"/>
      <c r="I40" s="33"/>
      <c r="J40" s="34"/>
      <c r="K40" s="34"/>
      <c r="L40" s="34"/>
      <c r="M40" s="34"/>
      <c r="N40" s="19" t="str">
        <f aca="false">IF($J40="","",YEAR($J40)-IF(MONTH($J40)&lt;マスタ!$B$4,1,0))</f>
        <v/>
      </c>
      <c r="O40" s="20" t="str">
        <f aca="false">IF($J40="","","Q"&amp;(INT(MOD(MONTH($J40)-マスタ!$B$4+12,12)/3)+1))</f>
        <v/>
      </c>
      <c r="P40" s="35"/>
      <c r="Q40" s="22" t="str">
        <f aca="false">IF($P40="","",$P40*N($F40))</f>
        <v/>
      </c>
      <c r="R40" s="35"/>
      <c r="S40" s="22" t="str">
        <f aca="false">IF($P40="","",$P40-N($R40))</f>
        <v/>
      </c>
      <c r="T40" s="23" t="str">
        <f aca="false">IF(N($P40)=0,"",$S40/$P40)</f>
        <v/>
      </c>
      <c r="U40" s="36"/>
      <c r="V40" s="25" t="str">
        <f aca="false">IF($A40="","",SUMIFS(工数明細!$G$3:$G$302,工数明細!$B$3:$B$302,$A40))</f>
        <v/>
      </c>
      <c r="W40" s="26" t="str">
        <f aca="false">IF($U40="","",$U40-N($V40))</f>
        <v/>
      </c>
      <c r="X40" s="23" t="str">
        <f aca="false">IF(N($U40)=0,"",$V40/$U40)</f>
        <v/>
      </c>
      <c r="Y40" s="20" t="str">
        <f aca="false">IF(N($U40)=0,"",IF($V40&gt;$U40,"超過",IF($V40&gt;=$U40*0.9,"注意","適正")))</f>
        <v/>
      </c>
      <c r="Z40" s="27" t="str">
        <f aca="true">IF($L40="","",IF($M40&lt;&gt;"",$M40-$L40,IF(TODAY()&gt;$L40,TODAY()-$L40,0)))</f>
        <v/>
      </c>
      <c r="AA40" s="37"/>
    </row>
    <row r="41" customFormat="false" ht="18" hidden="false" customHeight="true" outlineLevel="0" collapsed="false">
      <c r="A41" s="30"/>
      <c r="B41" s="31"/>
      <c r="C41" s="31"/>
      <c r="D41" s="31"/>
      <c r="E41" s="31"/>
      <c r="F41" s="32"/>
      <c r="G41" s="31"/>
      <c r="H41" s="31"/>
      <c r="I41" s="33"/>
      <c r="J41" s="34"/>
      <c r="K41" s="34"/>
      <c r="L41" s="34"/>
      <c r="M41" s="34"/>
      <c r="N41" s="19" t="str">
        <f aca="false">IF($J41="","",YEAR($J41)-IF(MONTH($J41)&lt;マスタ!$B$4,1,0))</f>
        <v/>
      </c>
      <c r="O41" s="20" t="str">
        <f aca="false">IF($J41="","","Q"&amp;(INT(MOD(MONTH($J41)-マスタ!$B$4+12,12)/3)+1))</f>
        <v/>
      </c>
      <c r="P41" s="35"/>
      <c r="Q41" s="22" t="str">
        <f aca="false">IF($P41="","",$P41*N($F41))</f>
        <v/>
      </c>
      <c r="R41" s="35"/>
      <c r="S41" s="22" t="str">
        <f aca="false">IF($P41="","",$P41-N($R41))</f>
        <v/>
      </c>
      <c r="T41" s="23" t="str">
        <f aca="false">IF(N($P41)=0,"",$S41/$P41)</f>
        <v/>
      </c>
      <c r="U41" s="36"/>
      <c r="V41" s="25" t="str">
        <f aca="false">IF($A41="","",SUMIFS(工数明細!$G$3:$G$302,工数明細!$B$3:$B$302,$A41))</f>
        <v/>
      </c>
      <c r="W41" s="26" t="str">
        <f aca="false">IF($U41="","",$U41-N($V41))</f>
        <v/>
      </c>
      <c r="X41" s="23" t="str">
        <f aca="false">IF(N($U41)=0,"",$V41/$U41)</f>
        <v/>
      </c>
      <c r="Y41" s="20" t="str">
        <f aca="false">IF(N($U41)=0,"",IF($V41&gt;$U41,"超過",IF($V41&gt;=$U41*0.9,"注意","適正")))</f>
        <v/>
      </c>
      <c r="Z41" s="27" t="str">
        <f aca="true">IF($L41="","",IF($M41&lt;&gt;"",$M41-$L41,IF(TODAY()&gt;$L41,TODAY()-$L41,0)))</f>
        <v/>
      </c>
      <c r="AA41" s="37"/>
    </row>
    <row r="42" customFormat="false" ht="18" hidden="false" customHeight="true" outlineLevel="0" collapsed="false">
      <c r="A42" s="30"/>
      <c r="B42" s="31"/>
      <c r="C42" s="31"/>
      <c r="D42" s="31"/>
      <c r="E42" s="31"/>
      <c r="F42" s="32"/>
      <c r="G42" s="31"/>
      <c r="H42" s="31"/>
      <c r="I42" s="33"/>
      <c r="J42" s="34"/>
      <c r="K42" s="34"/>
      <c r="L42" s="34"/>
      <c r="M42" s="34"/>
      <c r="N42" s="19" t="str">
        <f aca="false">IF($J42="","",YEAR($J42)-IF(MONTH($J42)&lt;マスタ!$B$4,1,0))</f>
        <v/>
      </c>
      <c r="O42" s="20" t="str">
        <f aca="false">IF($J42="","","Q"&amp;(INT(MOD(MONTH($J42)-マスタ!$B$4+12,12)/3)+1))</f>
        <v/>
      </c>
      <c r="P42" s="35"/>
      <c r="Q42" s="22" t="str">
        <f aca="false">IF($P42="","",$P42*N($F42))</f>
        <v/>
      </c>
      <c r="R42" s="35"/>
      <c r="S42" s="22" t="str">
        <f aca="false">IF($P42="","",$P42-N($R42))</f>
        <v/>
      </c>
      <c r="T42" s="23" t="str">
        <f aca="false">IF(N($P42)=0,"",$S42/$P42)</f>
        <v/>
      </c>
      <c r="U42" s="36"/>
      <c r="V42" s="25" t="str">
        <f aca="false">IF($A42="","",SUMIFS(工数明細!$G$3:$G$302,工数明細!$B$3:$B$302,$A42))</f>
        <v/>
      </c>
      <c r="W42" s="26" t="str">
        <f aca="false">IF($U42="","",$U42-N($V42))</f>
        <v/>
      </c>
      <c r="X42" s="23" t="str">
        <f aca="false">IF(N($U42)=0,"",$V42/$U42)</f>
        <v/>
      </c>
      <c r="Y42" s="20" t="str">
        <f aca="false">IF(N($U42)=0,"",IF($V42&gt;$U42,"超過",IF($V42&gt;=$U42*0.9,"注意","適正")))</f>
        <v/>
      </c>
      <c r="Z42" s="27" t="str">
        <f aca="true">IF($L42="","",IF($M42&lt;&gt;"",$M42-$L42,IF(TODAY()&gt;$L42,TODAY()-$L42,0)))</f>
        <v/>
      </c>
      <c r="AA42" s="37"/>
    </row>
    <row r="43" customFormat="false" ht="18" hidden="false" customHeight="true" outlineLevel="0" collapsed="false">
      <c r="A43" s="30"/>
      <c r="B43" s="31"/>
      <c r="C43" s="31"/>
      <c r="D43" s="31"/>
      <c r="E43" s="31"/>
      <c r="F43" s="32"/>
      <c r="G43" s="31"/>
      <c r="H43" s="31"/>
      <c r="I43" s="33"/>
      <c r="J43" s="34"/>
      <c r="K43" s="34"/>
      <c r="L43" s="34"/>
      <c r="M43" s="34"/>
      <c r="N43" s="19" t="str">
        <f aca="false">IF($J43="","",YEAR($J43)-IF(MONTH($J43)&lt;マスタ!$B$4,1,0))</f>
        <v/>
      </c>
      <c r="O43" s="20" t="str">
        <f aca="false">IF($J43="","","Q"&amp;(INT(MOD(MONTH($J43)-マスタ!$B$4+12,12)/3)+1))</f>
        <v/>
      </c>
      <c r="P43" s="35"/>
      <c r="Q43" s="22" t="str">
        <f aca="false">IF($P43="","",$P43*N($F43))</f>
        <v/>
      </c>
      <c r="R43" s="35"/>
      <c r="S43" s="22" t="str">
        <f aca="false">IF($P43="","",$P43-N($R43))</f>
        <v/>
      </c>
      <c r="T43" s="23" t="str">
        <f aca="false">IF(N($P43)=0,"",$S43/$P43)</f>
        <v/>
      </c>
      <c r="U43" s="36"/>
      <c r="V43" s="25" t="str">
        <f aca="false">IF($A43="","",SUMIFS(工数明細!$G$3:$G$302,工数明細!$B$3:$B$302,$A43))</f>
        <v/>
      </c>
      <c r="W43" s="26" t="str">
        <f aca="false">IF($U43="","",$U43-N($V43))</f>
        <v/>
      </c>
      <c r="X43" s="23" t="str">
        <f aca="false">IF(N($U43)=0,"",$V43/$U43)</f>
        <v/>
      </c>
      <c r="Y43" s="20" t="str">
        <f aca="false">IF(N($U43)=0,"",IF($V43&gt;$U43,"超過",IF($V43&gt;=$U43*0.9,"注意","適正")))</f>
        <v/>
      </c>
      <c r="Z43" s="27" t="str">
        <f aca="true">IF($L43="","",IF($M43&lt;&gt;"",$M43-$L43,IF(TODAY()&gt;$L43,TODAY()-$L43,0)))</f>
        <v/>
      </c>
      <c r="AA43" s="37"/>
    </row>
    <row r="44" customFormat="false" ht="18" hidden="false" customHeight="true" outlineLevel="0" collapsed="false">
      <c r="A44" s="30"/>
      <c r="B44" s="31"/>
      <c r="C44" s="31"/>
      <c r="D44" s="31"/>
      <c r="E44" s="31"/>
      <c r="F44" s="32"/>
      <c r="G44" s="31"/>
      <c r="H44" s="31"/>
      <c r="I44" s="33"/>
      <c r="J44" s="34"/>
      <c r="K44" s="34"/>
      <c r="L44" s="34"/>
      <c r="M44" s="34"/>
      <c r="N44" s="19" t="str">
        <f aca="false">IF($J44="","",YEAR($J44)-IF(MONTH($J44)&lt;マスタ!$B$4,1,0))</f>
        <v/>
      </c>
      <c r="O44" s="20" t="str">
        <f aca="false">IF($J44="","","Q"&amp;(INT(MOD(MONTH($J44)-マスタ!$B$4+12,12)/3)+1))</f>
        <v/>
      </c>
      <c r="P44" s="35"/>
      <c r="Q44" s="22" t="str">
        <f aca="false">IF($P44="","",$P44*N($F44))</f>
        <v/>
      </c>
      <c r="R44" s="35"/>
      <c r="S44" s="22" t="str">
        <f aca="false">IF($P44="","",$P44-N($R44))</f>
        <v/>
      </c>
      <c r="T44" s="23" t="str">
        <f aca="false">IF(N($P44)=0,"",$S44/$P44)</f>
        <v/>
      </c>
      <c r="U44" s="36"/>
      <c r="V44" s="25" t="str">
        <f aca="false">IF($A44="","",SUMIFS(工数明細!$G$3:$G$302,工数明細!$B$3:$B$302,$A44))</f>
        <v/>
      </c>
      <c r="W44" s="26" t="str">
        <f aca="false">IF($U44="","",$U44-N($V44))</f>
        <v/>
      </c>
      <c r="X44" s="23" t="str">
        <f aca="false">IF(N($U44)=0,"",$V44/$U44)</f>
        <v/>
      </c>
      <c r="Y44" s="20" t="str">
        <f aca="false">IF(N($U44)=0,"",IF($V44&gt;$U44,"超過",IF($V44&gt;=$U44*0.9,"注意","適正")))</f>
        <v/>
      </c>
      <c r="Z44" s="27" t="str">
        <f aca="true">IF($L44="","",IF($M44&lt;&gt;"",$M44-$L44,IF(TODAY()&gt;$L44,TODAY()-$L44,0)))</f>
        <v/>
      </c>
      <c r="AA44" s="37"/>
    </row>
    <row r="45" customFormat="false" ht="18" hidden="false" customHeight="true" outlineLevel="0" collapsed="false">
      <c r="A45" s="30"/>
      <c r="B45" s="31"/>
      <c r="C45" s="31"/>
      <c r="D45" s="31"/>
      <c r="E45" s="31"/>
      <c r="F45" s="32"/>
      <c r="G45" s="31"/>
      <c r="H45" s="31"/>
      <c r="I45" s="33"/>
      <c r="J45" s="34"/>
      <c r="K45" s="34"/>
      <c r="L45" s="34"/>
      <c r="M45" s="34"/>
      <c r="N45" s="19" t="str">
        <f aca="false">IF($J45="","",YEAR($J45)-IF(MONTH($J45)&lt;マスタ!$B$4,1,0))</f>
        <v/>
      </c>
      <c r="O45" s="20" t="str">
        <f aca="false">IF($J45="","","Q"&amp;(INT(MOD(MONTH($J45)-マスタ!$B$4+12,12)/3)+1))</f>
        <v/>
      </c>
      <c r="P45" s="35"/>
      <c r="Q45" s="22" t="str">
        <f aca="false">IF($P45="","",$P45*N($F45))</f>
        <v/>
      </c>
      <c r="R45" s="35"/>
      <c r="S45" s="22" t="str">
        <f aca="false">IF($P45="","",$P45-N($R45))</f>
        <v/>
      </c>
      <c r="T45" s="23" t="str">
        <f aca="false">IF(N($P45)=0,"",$S45/$P45)</f>
        <v/>
      </c>
      <c r="U45" s="36"/>
      <c r="V45" s="25" t="str">
        <f aca="false">IF($A45="","",SUMIFS(工数明細!$G$3:$G$302,工数明細!$B$3:$B$302,$A45))</f>
        <v/>
      </c>
      <c r="W45" s="26" t="str">
        <f aca="false">IF($U45="","",$U45-N($V45))</f>
        <v/>
      </c>
      <c r="X45" s="23" t="str">
        <f aca="false">IF(N($U45)=0,"",$V45/$U45)</f>
        <v/>
      </c>
      <c r="Y45" s="20" t="str">
        <f aca="false">IF(N($U45)=0,"",IF($V45&gt;$U45,"超過",IF($V45&gt;=$U45*0.9,"注意","適正")))</f>
        <v/>
      </c>
      <c r="Z45" s="27" t="str">
        <f aca="true">IF($L45="","",IF($M45&lt;&gt;"",$M45-$L45,IF(TODAY()&gt;$L45,TODAY()-$L45,0)))</f>
        <v/>
      </c>
      <c r="AA45" s="37"/>
    </row>
    <row r="46" customFormat="false" ht="18" hidden="false" customHeight="true" outlineLevel="0" collapsed="false">
      <c r="A46" s="30"/>
      <c r="B46" s="31"/>
      <c r="C46" s="31"/>
      <c r="D46" s="31"/>
      <c r="E46" s="31"/>
      <c r="F46" s="32"/>
      <c r="G46" s="31"/>
      <c r="H46" s="31"/>
      <c r="I46" s="33"/>
      <c r="J46" s="34"/>
      <c r="K46" s="34"/>
      <c r="L46" s="34"/>
      <c r="M46" s="34"/>
      <c r="N46" s="19" t="str">
        <f aca="false">IF($J46="","",YEAR($J46)-IF(MONTH($J46)&lt;マスタ!$B$4,1,0))</f>
        <v/>
      </c>
      <c r="O46" s="20" t="str">
        <f aca="false">IF($J46="","","Q"&amp;(INT(MOD(MONTH($J46)-マスタ!$B$4+12,12)/3)+1))</f>
        <v/>
      </c>
      <c r="P46" s="35"/>
      <c r="Q46" s="22" t="str">
        <f aca="false">IF($P46="","",$P46*N($F46))</f>
        <v/>
      </c>
      <c r="R46" s="35"/>
      <c r="S46" s="22" t="str">
        <f aca="false">IF($P46="","",$P46-N($R46))</f>
        <v/>
      </c>
      <c r="T46" s="23" t="str">
        <f aca="false">IF(N($P46)=0,"",$S46/$P46)</f>
        <v/>
      </c>
      <c r="U46" s="36"/>
      <c r="V46" s="25" t="str">
        <f aca="false">IF($A46="","",SUMIFS(工数明細!$G$3:$G$302,工数明細!$B$3:$B$302,$A46))</f>
        <v/>
      </c>
      <c r="W46" s="26" t="str">
        <f aca="false">IF($U46="","",$U46-N($V46))</f>
        <v/>
      </c>
      <c r="X46" s="23" t="str">
        <f aca="false">IF(N($U46)=0,"",$V46/$U46)</f>
        <v/>
      </c>
      <c r="Y46" s="20" t="str">
        <f aca="false">IF(N($U46)=0,"",IF($V46&gt;$U46,"超過",IF($V46&gt;=$U46*0.9,"注意","適正")))</f>
        <v/>
      </c>
      <c r="Z46" s="27" t="str">
        <f aca="true">IF($L46="","",IF($M46&lt;&gt;"",$M46-$L46,IF(TODAY()&gt;$L46,TODAY()-$L46,0)))</f>
        <v/>
      </c>
      <c r="AA46" s="37"/>
    </row>
    <row r="47" customFormat="false" ht="18" hidden="false" customHeight="true" outlineLevel="0" collapsed="false">
      <c r="A47" s="30"/>
      <c r="B47" s="31"/>
      <c r="C47" s="31"/>
      <c r="D47" s="31"/>
      <c r="E47" s="31"/>
      <c r="F47" s="32"/>
      <c r="G47" s="31"/>
      <c r="H47" s="31"/>
      <c r="I47" s="33"/>
      <c r="J47" s="34"/>
      <c r="K47" s="34"/>
      <c r="L47" s="34"/>
      <c r="M47" s="34"/>
      <c r="N47" s="19" t="str">
        <f aca="false">IF($J47="","",YEAR($J47)-IF(MONTH($J47)&lt;マスタ!$B$4,1,0))</f>
        <v/>
      </c>
      <c r="O47" s="20" t="str">
        <f aca="false">IF($J47="","","Q"&amp;(INT(MOD(MONTH($J47)-マスタ!$B$4+12,12)/3)+1))</f>
        <v/>
      </c>
      <c r="P47" s="35"/>
      <c r="Q47" s="22" t="str">
        <f aca="false">IF($P47="","",$P47*N($F47))</f>
        <v/>
      </c>
      <c r="R47" s="35"/>
      <c r="S47" s="22" t="str">
        <f aca="false">IF($P47="","",$P47-N($R47))</f>
        <v/>
      </c>
      <c r="T47" s="23" t="str">
        <f aca="false">IF(N($P47)=0,"",$S47/$P47)</f>
        <v/>
      </c>
      <c r="U47" s="36"/>
      <c r="V47" s="25" t="str">
        <f aca="false">IF($A47="","",SUMIFS(工数明細!$G$3:$G$302,工数明細!$B$3:$B$302,$A47))</f>
        <v/>
      </c>
      <c r="W47" s="26" t="str">
        <f aca="false">IF($U47="","",$U47-N($V47))</f>
        <v/>
      </c>
      <c r="X47" s="23" t="str">
        <f aca="false">IF(N($U47)=0,"",$V47/$U47)</f>
        <v/>
      </c>
      <c r="Y47" s="20" t="str">
        <f aca="false">IF(N($U47)=0,"",IF($V47&gt;$U47,"超過",IF($V47&gt;=$U47*0.9,"注意","適正")))</f>
        <v/>
      </c>
      <c r="Z47" s="27" t="str">
        <f aca="true">IF($L47="","",IF($M47&lt;&gt;"",$M47-$L47,IF(TODAY()&gt;$L47,TODAY()-$L47,0)))</f>
        <v/>
      </c>
      <c r="AA47" s="37"/>
    </row>
    <row r="48" customFormat="false" ht="18" hidden="false" customHeight="true" outlineLevel="0" collapsed="false">
      <c r="A48" s="30"/>
      <c r="B48" s="31"/>
      <c r="C48" s="31"/>
      <c r="D48" s="31"/>
      <c r="E48" s="31"/>
      <c r="F48" s="32"/>
      <c r="G48" s="31"/>
      <c r="H48" s="31"/>
      <c r="I48" s="33"/>
      <c r="J48" s="34"/>
      <c r="K48" s="34"/>
      <c r="L48" s="34"/>
      <c r="M48" s="34"/>
      <c r="N48" s="19" t="str">
        <f aca="false">IF($J48="","",YEAR($J48)-IF(MONTH($J48)&lt;マスタ!$B$4,1,0))</f>
        <v/>
      </c>
      <c r="O48" s="20" t="str">
        <f aca="false">IF($J48="","","Q"&amp;(INT(MOD(MONTH($J48)-マスタ!$B$4+12,12)/3)+1))</f>
        <v/>
      </c>
      <c r="P48" s="35"/>
      <c r="Q48" s="22" t="str">
        <f aca="false">IF($P48="","",$P48*N($F48))</f>
        <v/>
      </c>
      <c r="R48" s="35"/>
      <c r="S48" s="22" t="str">
        <f aca="false">IF($P48="","",$P48-N($R48))</f>
        <v/>
      </c>
      <c r="T48" s="23" t="str">
        <f aca="false">IF(N($P48)=0,"",$S48/$P48)</f>
        <v/>
      </c>
      <c r="U48" s="36"/>
      <c r="V48" s="25" t="str">
        <f aca="false">IF($A48="","",SUMIFS(工数明細!$G$3:$G$302,工数明細!$B$3:$B$302,$A48))</f>
        <v/>
      </c>
      <c r="W48" s="26" t="str">
        <f aca="false">IF($U48="","",$U48-N($V48))</f>
        <v/>
      </c>
      <c r="X48" s="23" t="str">
        <f aca="false">IF(N($U48)=0,"",$V48/$U48)</f>
        <v/>
      </c>
      <c r="Y48" s="20" t="str">
        <f aca="false">IF(N($U48)=0,"",IF($V48&gt;$U48,"超過",IF($V48&gt;=$U48*0.9,"注意","適正")))</f>
        <v/>
      </c>
      <c r="Z48" s="27" t="str">
        <f aca="true">IF($L48="","",IF($M48&lt;&gt;"",$M48-$L48,IF(TODAY()&gt;$L48,TODAY()-$L48,0)))</f>
        <v/>
      </c>
      <c r="AA48" s="37"/>
    </row>
    <row r="49" customFormat="false" ht="18" hidden="false" customHeight="true" outlineLevel="0" collapsed="false">
      <c r="A49" s="30"/>
      <c r="B49" s="31"/>
      <c r="C49" s="31"/>
      <c r="D49" s="31"/>
      <c r="E49" s="31"/>
      <c r="F49" s="32"/>
      <c r="G49" s="31"/>
      <c r="H49" s="31"/>
      <c r="I49" s="33"/>
      <c r="J49" s="34"/>
      <c r="K49" s="34"/>
      <c r="L49" s="34"/>
      <c r="M49" s="34"/>
      <c r="N49" s="19" t="str">
        <f aca="false">IF($J49="","",YEAR($J49)-IF(MONTH($J49)&lt;マスタ!$B$4,1,0))</f>
        <v/>
      </c>
      <c r="O49" s="20" t="str">
        <f aca="false">IF($J49="","","Q"&amp;(INT(MOD(MONTH($J49)-マスタ!$B$4+12,12)/3)+1))</f>
        <v/>
      </c>
      <c r="P49" s="35"/>
      <c r="Q49" s="22" t="str">
        <f aca="false">IF($P49="","",$P49*N($F49))</f>
        <v/>
      </c>
      <c r="R49" s="35"/>
      <c r="S49" s="22" t="str">
        <f aca="false">IF($P49="","",$P49-N($R49))</f>
        <v/>
      </c>
      <c r="T49" s="23" t="str">
        <f aca="false">IF(N($P49)=0,"",$S49/$P49)</f>
        <v/>
      </c>
      <c r="U49" s="36"/>
      <c r="V49" s="25" t="str">
        <f aca="false">IF($A49="","",SUMIFS(工数明細!$G$3:$G$302,工数明細!$B$3:$B$302,$A49))</f>
        <v/>
      </c>
      <c r="W49" s="26" t="str">
        <f aca="false">IF($U49="","",$U49-N($V49))</f>
        <v/>
      </c>
      <c r="X49" s="23" t="str">
        <f aca="false">IF(N($U49)=0,"",$V49/$U49)</f>
        <v/>
      </c>
      <c r="Y49" s="20" t="str">
        <f aca="false">IF(N($U49)=0,"",IF($V49&gt;$U49,"超過",IF($V49&gt;=$U49*0.9,"注意","適正")))</f>
        <v/>
      </c>
      <c r="Z49" s="27" t="str">
        <f aca="true">IF($L49="","",IF($M49&lt;&gt;"",$M49-$L49,IF(TODAY()&gt;$L49,TODAY()-$L49,0)))</f>
        <v/>
      </c>
      <c r="AA49" s="37"/>
    </row>
    <row r="50" customFormat="false" ht="18" hidden="false" customHeight="true" outlineLevel="0" collapsed="false">
      <c r="A50" s="30"/>
      <c r="B50" s="31"/>
      <c r="C50" s="31"/>
      <c r="D50" s="31"/>
      <c r="E50" s="31"/>
      <c r="F50" s="32"/>
      <c r="G50" s="31"/>
      <c r="H50" s="31"/>
      <c r="I50" s="33"/>
      <c r="J50" s="34"/>
      <c r="K50" s="34"/>
      <c r="L50" s="34"/>
      <c r="M50" s="34"/>
      <c r="N50" s="19" t="str">
        <f aca="false">IF($J50="","",YEAR($J50)-IF(MONTH($J50)&lt;マスタ!$B$4,1,0))</f>
        <v/>
      </c>
      <c r="O50" s="20" t="str">
        <f aca="false">IF($J50="","","Q"&amp;(INT(MOD(MONTH($J50)-マスタ!$B$4+12,12)/3)+1))</f>
        <v/>
      </c>
      <c r="P50" s="35"/>
      <c r="Q50" s="22" t="str">
        <f aca="false">IF($P50="","",$P50*N($F50))</f>
        <v/>
      </c>
      <c r="R50" s="35"/>
      <c r="S50" s="22" t="str">
        <f aca="false">IF($P50="","",$P50-N($R50))</f>
        <v/>
      </c>
      <c r="T50" s="23" t="str">
        <f aca="false">IF(N($P50)=0,"",$S50/$P50)</f>
        <v/>
      </c>
      <c r="U50" s="36"/>
      <c r="V50" s="25" t="str">
        <f aca="false">IF($A50="","",SUMIFS(工数明細!$G$3:$G$302,工数明細!$B$3:$B$302,$A50))</f>
        <v/>
      </c>
      <c r="W50" s="26" t="str">
        <f aca="false">IF($U50="","",$U50-N($V50))</f>
        <v/>
      </c>
      <c r="X50" s="23" t="str">
        <f aca="false">IF(N($U50)=0,"",$V50/$U50)</f>
        <v/>
      </c>
      <c r="Y50" s="20" t="str">
        <f aca="false">IF(N($U50)=0,"",IF($V50&gt;$U50,"超過",IF($V50&gt;=$U50*0.9,"注意","適正")))</f>
        <v/>
      </c>
      <c r="Z50" s="27" t="str">
        <f aca="true">IF($L50="","",IF($M50&lt;&gt;"",$M50-$L50,IF(TODAY()&gt;$L50,TODAY()-$L50,0)))</f>
        <v/>
      </c>
      <c r="AA50" s="37"/>
    </row>
    <row r="51" customFormat="false" ht="18" hidden="false" customHeight="true" outlineLevel="0" collapsed="false">
      <c r="A51" s="30"/>
      <c r="B51" s="31"/>
      <c r="C51" s="31"/>
      <c r="D51" s="31"/>
      <c r="E51" s="31"/>
      <c r="F51" s="32"/>
      <c r="G51" s="31"/>
      <c r="H51" s="31"/>
      <c r="I51" s="33"/>
      <c r="J51" s="34"/>
      <c r="K51" s="34"/>
      <c r="L51" s="34"/>
      <c r="M51" s="34"/>
      <c r="N51" s="19" t="str">
        <f aca="false">IF($J51="","",YEAR($J51)-IF(MONTH($J51)&lt;マスタ!$B$4,1,0))</f>
        <v/>
      </c>
      <c r="O51" s="20" t="str">
        <f aca="false">IF($J51="","","Q"&amp;(INT(MOD(MONTH($J51)-マスタ!$B$4+12,12)/3)+1))</f>
        <v/>
      </c>
      <c r="P51" s="35"/>
      <c r="Q51" s="22" t="str">
        <f aca="false">IF($P51="","",$P51*N($F51))</f>
        <v/>
      </c>
      <c r="R51" s="35"/>
      <c r="S51" s="22" t="str">
        <f aca="false">IF($P51="","",$P51-N($R51))</f>
        <v/>
      </c>
      <c r="T51" s="23" t="str">
        <f aca="false">IF(N($P51)=0,"",$S51/$P51)</f>
        <v/>
      </c>
      <c r="U51" s="36"/>
      <c r="V51" s="25" t="str">
        <f aca="false">IF($A51="","",SUMIFS(工数明細!$G$3:$G$302,工数明細!$B$3:$B$302,$A51))</f>
        <v/>
      </c>
      <c r="W51" s="26" t="str">
        <f aca="false">IF($U51="","",$U51-N($V51))</f>
        <v/>
      </c>
      <c r="X51" s="23" t="str">
        <f aca="false">IF(N($U51)=0,"",$V51/$U51)</f>
        <v/>
      </c>
      <c r="Y51" s="20" t="str">
        <f aca="false">IF(N($U51)=0,"",IF($V51&gt;$U51,"超過",IF($V51&gt;=$U51*0.9,"注意","適正")))</f>
        <v/>
      </c>
      <c r="Z51" s="27" t="str">
        <f aca="true">IF($L51="","",IF($M51&lt;&gt;"",$M51-$L51,IF(TODAY()&gt;$L51,TODAY()-$L51,0)))</f>
        <v/>
      </c>
      <c r="AA51" s="37"/>
    </row>
    <row r="52" customFormat="false" ht="18" hidden="false" customHeight="true" outlineLevel="0" collapsed="false">
      <c r="A52" s="30"/>
      <c r="B52" s="31"/>
      <c r="C52" s="31"/>
      <c r="D52" s="31"/>
      <c r="E52" s="31"/>
      <c r="F52" s="32"/>
      <c r="G52" s="31"/>
      <c r="H52" s="31"/>
      <c r="I52" s="33"/>
      <c r="J52" s="34"/>
      <c r="K52" s="34"/>
      <c r="L52" s="34"/>
      <c r="M52" s="34"/>
      <c r="N52" s="19" t="str">
        <f aca="false">IF($J52="","",YEAR($J52)-IF(MONTH($J52)&lt;マスタ!$B$4,1,0))</f>
        <v/>
      </c>
      <c r="O52" s="20" t="str">
        <f aca="false">IF($J52="","","Q"&amp;(INT(MOD(MONTH($J52)-マスタ!$B$4+12,12)/3)+1))</f>
        <v/>
      </c>
      <c r="P52" s="35"/>
      <c r="Q52" s="22" t="str">
        <f aca="false">IF($P52="","",$P52*N($F52))</f>
        <v/>
      </c>
      <c r="R52" s="35"/>
      <c r="S52" s="22" t="str">
        <f aca="false">IF($P52="","",$P52-N($R52))</f>
        <v/>
      </c>
      <c r="T52" s="23" t="str">
        <f aca="false">IF(N($P52)=0,"",$S52/$P52)</f>
        <v/>
      </c>
      <c r="U52" s="36"/>
      <c r="V52" s="25" t="str">
        <f aca="false">IF($A52="","",SUMIFS(工数明細!$G$3:$G$302,工数明細!$B$3:$B$302,$A52))</f>
        <v/>
      </c>
      <c r="W52" s="26" t="str">
        <f aca="false">IF($U52="","",$U52-N($V52))</f>
        <v/>
      </c>
      <c r="X52" s="23" t="str">
        <f aca="false">IF(N($U52)=0,"",$V52/$U52)</f>
        <v/>
      </c>
      <c r="Y52" s="20" t="str">
        <f aca="false">IF(N($U52)=0,"",IF($V52&gt;$U52,"超過",IF($V52&gt;=$U52*0.9,"注意","適正")))</f>
        <v/>
      </c>
      <c r="Z52" s="27" t="str">
        <f aca="true">IF($L52="","",IF($M52&lt;&gt;"",$M52-$L52,IF(TODAY()&gt;$L52,TODAY()-$L52,0)))</f>
        <v/>
      </c>
      <c r="AA52" s="37"/>
    </row>
    <row r="53" customFormat="false" ht="18" hidden="false" customHeight="true" outlineLevel="0" collapsed="false">
      <c r="A53" s="30"/>
      <c r="B53" s="31"/>
      <c r="C53" s="31"/>
      <c r="D53" s="31"/>
      <c r="E53" s="31"/>
      <c r="F53" s="32"/>
      <c r="G53" s="31"/>
      <c r="H53" s="31"/>
      <c r="I53" s="33"/>
      <c r="J53" s="34"/>
      <c r="K53" s="34"/>
      <c r="L53" s="34"/>
      <c r="M53" s="34"/>
      <c r="N53" s="19" t="str">
        <f aca="false">IF($J53="","",YEAR($J53)-IF(MONTH($J53)&lt;マスタ!$B$4,1,0))</f>
        <v/>
      </c>
      <c r="O53" s="20" t="str">
        <f aca="false">IF($J53="","","Q"&amp;(INT(MOD(MONTH($J53)-マスタ!$B$4+12,12)/3)+1))</f>
        <v/>
      </c>
      <c r="P53" s="35"/>
      <c r="Q53" s="22" t="str">
        <f aca="false">IF($P53="","",$P53*N($F53))</f>
        <v/>
      </c>
      <c r="R53" s="35"/>
      <c r="S53" s="22" t="str">
        <f aca="false">IF($P53="","",$P53-N($R53))</f>
        <v/>
      </c>
      <c r="T53" s="23" t="str">
        <f aca="false">IF(N($P53)=0,"",$S53/$P53)</f>
        <v/>
      </c>
      <c r="U53" s="36"/>
      <c r="V53" s="25" t="str">
        <f aca="false">IF($A53="","",SUMIFS(工数明細!$G$3:$G$302,工数明細!$B$3:$B$302,$A53))</f>
        <v/>
      </c>
      <c r="W53" s="26" t="str">
        <f aca="false">IF($U53="","",$U53-N($V53))</f>
        <v/>
      </c>
      <c r="X53" s="23" t="str">
        <f aca="false">IF(N($U53)=0,"",$V53/$U53)</f>
        <v/>
      </c>
      <c r="Y53" s="20" t="str">
        <f aca="false">IF(N($U53)=0,"",IF($V53&gt;$U53,"超過",IF($V53&gt;=$U53*0.9,"注意","適正")))</f>
        <v/>
      </c>
      <c r="Z53" s="27" t="str">
        <f aca="true">IF($L53="","",IF($M53&lt;&gt;"",$M53-$L53,IF(TODAY()&gt;$L53,TODAY()-$L53,0)))</f>
        <v/>
      </c>
      <c r="AA53" s="37"/>
    </row>
    <row r="54" customFormat="false" ht="18" hidden="false" customHeight="true" outlineLevel="0" collapsed="false">
      <c r="A54" s="30"/>
      <c r="B54" s="31"/>
      <c r="C54" s="31"/>
      <c r="D54" s="31"/>
      <c r="E54" s="31"/>
      <c r="F54" s="32"/>
      <c r="G54" s="31"/>
      <c r="H54" s="31"/>
      <c r="I54" s="33"/>
      <c r="J54" s="34"/>
      <c r="K54" s="34"/>
      <c r="L54" s="34"/>
      <c r="M54" s="34"/>
      <c r="N54" s="19" t="str">
        <f aca="false">IF($J54="","",YEAR($J54)-IF(MONTH($J54)&lt;マスタ!$B$4,1,0))</f>
        <v/>
      </c>
      <c r="O54" s="20" t="str">
        <f aca="false">IF($J54="","","Q"&amp;(INT(MOD(MONTH($J54)-マスタ!$B$4+12,12)/3)+1))</f>
        <v/>
      </c>
      <c r="P54" s="35"/>
      <c r="Q54" s="22" t="str">
        <f aca="false">IF($P54="","",$P54*N($F54))</f>
        <v/>
      </c>
      <c r="R54" s="35"/>
      <c r="S54" s="22" t="str">
        <f aca="false">IF($P54="","",$P54-N($R54))</f>
        <v/>
      </c>
      <c r="T54" s="23" t="str">
        <f aca="false">IF(N($P54)=0,"",$S54/$P54)</f>
        <v/>
      </c>
      <c r="U54" s="36"/>
      <c r="V54" s="25" t="str">
        <f aca="false">IF($A54="","",SUMIFS(工数明細!$G$3:$G$302,工数明細!$B$3:$B$302,$A54))</f>
        <v/>
      </c>
      <c r="W54" s="26" t="str">
        <f aca="false">IF($U54="","",$U54-N($V54))</f>
        <v/>
      </c>
      <c r="X54" s="23" t="str">
        <f aca="false">IF(N($U54)=0,"",$V54/$U54)</f>
        <v/>
      </c>
      <c r="Y54" s="20" t="str">
        <f aca="false">IF(N($U54)=0,"",IF($V54&gt;$U54,"超過",IF($V54&gt;=$U54*0.9,"注意","適正")))</f>
        <v/>
      </c>
      <c r="Z54" s="27" t="str">
        <f aca="true">IF($L54="","",IF($M54&lt;&gt;"",$M54-$L54,IF(TODAY()&gt;$L54,TODAY()-$L54,0)))</f>
        <v/>
      </c>
      <c r="AA54" s="37"/>
    </row>
    <row r="55" customFormat="false" ht="18" hidden="false" customHeight="true" outlineLevel="0" collapsed="false">
      <c r="A55" s="30"/>
      <c r="B55" s="31"/>
      <c r="C55" s="31"/>
      <c r="D55" s="31"/>
      <c r="E55" s="31"/>
      <c r="F55" s="32"/>
      <c r="G55" s="31"/>
      <c r="H55" s="31"/>
      <c r="I55" s="33"/>
      <c r="J55" s="34"/>
      <c r="K55" s="34"/>
      <c r="L55" s="34"/>
      <c r="M55" s="34"/>
      <c r="N55" s="19" t="str">
        <f aca="false">IF($J55="","",YEAR($J55)-IF(MONTH($J55)&lt;マスタ!$B$4,1,0))</f>
        <v/>
      </c>
      <c r="O55" s="20" t="str">
        <f aca="false">IF($J55="","","Q"&amp;(INT(MOD(MONTH($J55)-マスタ!$B$4+12,12)/3)+1))</f>
        <v/>
      </c>
      <c r="P55" s="35"/>
      <c r="Q55" s="22" t="str">
        <f aca="false">IF($P55="","",$P55*N($F55))</f>
        <v/>
      </c>
      <c r="R55" s="35"/>
      <c r="S55" s="22" t="str">
        <f aca="false">IF($P55="","",$P55-N($R55))</f>
        <v/>
      </c>
      <c r="T55" s="23" t="str">
        <f aca="false">IF(N($P55)=0,"",$S55/$P55)</f>
        <v/>
      </c>
      <c r="U55" s="36"/>
      <c r="V55" s="25" t="str">
        <f aca="false">IF($A55="","",SUMIFS(工数明細!$G$3:$G$302,工数明細!$B$3:$B$302,$A55))</f>
        <v/>
      </c>
      <c r="W55" s="26" t="str">
        <f aca="false">IF($U55="","",$U55-N($V55))</f>
        <v/>
      </c>
      <c r="X55" s="23" t="str">
        <f aca="false">IF(N($U55)=0,"",$V55/$U55)</f>
        <v/>
      </c>
      <c r="Y55" s="20" t="str">
        <f aca="false">IF(N($U55)=0,"",IF($V55&gt;$U55,"超過",IF($V55&gt;=$U55*0.9,"注意","適正")))</f>
        <v/>
      </c>
      <c r="Z55" s="27" t="str">
        <f aca="true">IF($L55="","",IF($M55&lt;&gt;"",$M55-$L55,IF(TODAY()&gt;$L55,TODAY()-$L55,0)))</f>
        <v/>
      </c>
      <c r="AA55" s="37"/>
    </row>
    <row r="56" customFormat="false" ht="18" hidden="false" customHeight="true" outlineLevel="0" collapsed="false">
      <c r="A56" s="30"/>
      <c r="B56" s="31"/>
      <c r="C56" s="31"/>
      <c r="D56" s="31"/>
      <c r="E56" s="31"/>
      <c r="F56" s="32"/>
      <c r="G56" s="31"/>
      <c r="H56" s="31"/>
      <c r="I56" s="33"/>
      <c r="J56" s="34"/>
      <c r="K56" s="34"/>
      <c r="L56" s="34"/>
      <c r="M56" s="34"/>
      <c r="N56" s="19" t="str">
        <f aca="false">IF($J56="","",YEAR($J56)-IF(MONTH($J56)&lt;マスタ!$B$4,1,0))</f>
        <v/>
      </c>
      <c r="O56" s="20" t="str">
        <f aca="false">IF($J56="","","Q"&amp;(INT(MOD(MONTH($J56)-マスタ!$B$4+12,12)/3)+1))</f>
        <v/>
      </c>
      <c r="P56" s="35"/>
      <c r="Q56" s="22" t="str">
        <f aca="false">IF($P56="","",$P56*N($F56))</f>
        <v/>
      </c>
      <c r="R56" s="35"/>
      <c r="S56" s="22" t="str">
        <f aca="false">IF($P56="","",$P56-N($R56))</f>
        <v/>
      </c>
      <c r="T56" s="23" t="str">
        <f aca="false">IF(N($P56)=0,"",$S56/$P56)</f>
        <v/>
      </c>
      <c r="U56" s="36"/>
      <c r="V56" s="25" t="str">
        <f aca="false">IF($A56="","",SUMIFS(工数明細!$G$3:$G$302,工数明細!$B$3:$B$302,$A56))</f>
        <v/>
      </c>
      <c r="W56" s="26" t="str">
        <f aca="false">IF($U56="","",$U56-N($V56))</f>
        <v/>
      </c>
      <c r="X56" s="23" t="str">
        <f aca="false">IF(N($U56)=0,"",$V56/$U56)</f>
        <v/>
      </c>
      <c r="Y56" s="20" t="str">
        <f aca="false">IF(N($U56)=0,"",IF($V56&gt;$U56,"超過",IF($V56&gt;=$U56*0.9,"注意","適正")))</f>
        <v/>
      </c>
      <c r="Z56" s="27" t="str">
        <f aca="true">IF($L56="","",IF($M56&lt;&gt;"",$M56-$L56,IF(TODAY()&gt;$L56,TODAY()-$L56,0)))</f>
        <v/>
      </c>
      <c r="AA56" s="37"/>
    </row>
    <row r="57" customFormat="false" ht="18" hidden="false" customHeight="true" outlineLevel="0" collapsed="false">
      <c r="A57" s="30"/>
      <c r="B57" s="31"/>
      <c r="C57" s="31"/>
      <c r="D57" s="31"/>
      <c r="E57" s="31"/>
      <c r="F57" s="32"/>
      <c r="G57" s="31"/>
      <c r="H57" s="31"/>
      <c r="I57" s="33"/>
      <c r="J57" s="34"/>
      <c r="K57" s="34"/>
      <c r="L57" s="34"/>
      <c r="M57" s="34"/>
      <c r="N57" s="19" t="str">
        <f aca="false">IF($J57="","",YEAR($J57)-IF(MONTH($J57)&lt;マスタ!$B$4,1,0))</f>
        <v/>
      </c>
      <c r="O57" s="20" t="str">
        <f aca="false">IF($J57="","","Q"&amp;(INT(MOD(MONTH($J57)-マスタ!$B$4+12,12)/3)+1))</f>
        <v/>
      </c>
      <c r="P57" s="35"/>
      <c r="Q57" s="22" t="str">
        <f aca="false">IF($P57="","",$P57*N($F57))</f>
        <v/>
      </c>
      <c r="R57" s="35"/>
      <c r="S57" s="22" t="str">
        <f aca="false">IF($P57="","",$P57-N($R57))</f>
        <v/>
      </c>
      <c r="T57" s="23" t="str">
        <f aca="false">IF(N($P57)=0,"",$S57/$P57)</f>
        <v/>
      </c>
      <c r="U57" s="36"/>
      <c r="V57" s="25" t="str">
        <f aca="false">IF($A57="","",SUMIFS(工数明細!$G$3:$G$302,工数明細!$B$3:$B$302,$A57))</f>
        <v/>
      </c>
      <c r="W57" s="26" t="str">
        <f aca="false">IF($U57="","",$U57-N($V57))</f>
        <v/>
      </c>
      <c r="X57" s="23" t="str">
        <f aca="false">IF(N($U57)=0,"",$V57/$U57)</f>
        <v/>
      </c>
      <c r="Y57" s="20" t="str">
        <f aca="false">IF(N($U57)=0,"",IF($V57&gt;$U57,"超過",IF($V57&gt;=$U57*0.9,"注意","適正")))</f>
        <v/>
      </c>
      <c r="Z57" s="27" t="str">
        <f aca="true">IF($L57="","",IF($M57&lt;&gt;"",$M57-$L57,IF(TODAY()&gt;$L57,TODAY()-$L57,0)))</f>
        <v/>
      </c>
      <c r="AA57" s="37"/>
    </row>
    <row r="58" customFormat="false" ht="18" hidden="false" customHeight="true" outlineLevel="0" collapsed="false">
      <c r="A58" s="30"/>
      <c r="B58" s="31"/>
      <c r="C58" s="31"/>
      <c r="D58" s="31"/>
      <c r="E58" s="31"/>
      <c r="F58" s="32"/>
      <c r="G58" s="31"/>
      <c r="H58" s="31"/>
      <c r="I58" s="33"/>
      <c r="J58" s="34"/>
      <c r="K58" s="34"/>
      <c r="L58" s="34"/>
      <c r="M58" s="34"/>
      <c r="N58" s="19" t="str">
        <f aca="false">IF($J58="","",YEAR($J58)-IF(MONTH($J58)&lt;マスタ!$B$4,1,0))</f>
        <v/>
      </c>
      <c r="O58" s="20" t="str">
        <f aca="false">IF($J58="","","Q"&amp;(INT(MOD(MONTH($J58)-マスタ!$B$4+12,12)/3)+1))</f>
        <v/>
      </c>
      <c r="P58" s="35"/>
      <c r="Q58" s="22" t="str">
        <f aca="false">IF($P58="","",$P58*N($F58))</f>
        <v/>
      </c>
      <c r="R58" s="35"/>
      <c r="S58" s="22" t="str">
        <f aca="false">IF($P58="","",$P58-N($R58))</f>
        <v/>
      </c>
      <c r="T58" s="23" t="str">
        <f aca="false">IF(N($P58)=0,"",$S58/$P58)</f>
        <v/>
      </c>
      <c r="U58" s="36"/>
      <c r="V58" s="25" t="str">
        <f aca="false">IF($A58="","",SUMIFS(工数明細!$G$3:$G$302,工数明細!$B$3:$B$302,$A58))</f>
        <v/>
      </c>
      <c r="W58" s="26" t="str">
        <f aca="false">IF($U58="","",$U58-N($V58))</f>
        <v/>
      </c>
      <c r="X58" s="23" t="str">
        <f aca="false">IF(N($U58)=0,"",$V58/$U58)</f>
        <v/>
      </c>
      <c r="Y58" s="20" t="str">
        <f aca="false">IF(N($U58)=0,"",IF($V58&gt;$U58,"超過",IF($V58&gt;=$U58*0.9,"注意","適正")))</f>
        <v/>
      </c>
      <c r="Z58" s="27" t="str">
        <f aca="true">IF($L58="","",IF($M58&lt;&gt;"",$M58-$L58,IF(TODAY()&gt;$L58,TODAY()-$L58,0)))</f>
        <v/>
      </c>
      <c r="AA58" s="37"/>
    </row>
    <row r="59" customFormat="false" ht="18" hidden="false" customHeight="true" outlineLevel="0" collapsed="false">
      <c r="A59" s="30"/>
      <c r="B59" s="31"/>
      <c r="C59" s="31"/>
      <c r="D59" s="31"/>
      <c r="E59" s="31"/>
      <c r="F59" s="32"/>
      <c r="G59" s="31"/>
      <c r="H59" s="31"/>
      <c r="I59" s="33"/>
      <c r="J59" s="34"/>
      <c r="K59" s="34"/>
      <c r="L59" s="34"/>
      <c r="M59" s="34"/>
      <c r="N59" s="19" t="str">
        <f aca="false">IF($J59="","",YEAR($J59)-IF(MONTH($J59)&lt;マスタ!$B$4,1,0))</f>
        <v/>
      </c>
      <c r="O59" s="20" t="str">
        <f aca="false">IF($J59="","","Q"&amp;(INT(MOD(MONTH($J59)-マスタ!$B$4+12,12)/3)+1))</f>
        <v/>
      </c>
      <c r="P59" s="35"/>
      <c r="Q59" s="22" t="str">
        <f aca="false">IF($P59="","",$P59*N($F59))</f>
        <v/>
      </c>
      <c r="R59" s="35"/>
      <c r="S59" s="22" t="str">
        <f aca="false">IF($P59="","",$P59-N($R59))</f>
        <v/>
      </c>
      <c r="T59" s="23" t="str">
        <f aca="false">IF(N($P59)=0,"",$S59/$P59)</f>
        <v/>
      </c>
      <c r="U59" s="36"/>
      <c r="V59" s="25" t="str">
        <f aca="false">IF($A59="","",SUMIFS(工数明細!$G$3:$G$302,工数明細!$B$3:$B$302,$A59))</f>
        <v/>
      </c>
      <c r="W59" s="26" t="str">
        <f aca="false">IF($U59="","",$U59-N($V59))</f>
        <v/>
      </c>
      <c r="X59" s="23" t="str">
        <f aca="false">IF(N($U59)=0,"",$V59/$U59)</f>
        <v/>
      </c>
      <c r="Y59" s="20" t="str">
        <f aca="false">IF(N($U59)=0,"",IF($V59&gt;$U59,"超過",IF($V59&gt;=$U59*0.9,"注意","適正")))</f>
        <v/>
      </c>
      <c r="Z59" s="27" t="str">
        <f aca="true">IF($L59="","",IF($M59&lt;&gt;"",$M59-$L59,IF(TODAY()&gt;$L59,TODAY()-$L59,0)))</f>
        <v/>
      </c>
      <c r="AA59" s="37"/>
    </row>
    <row r="60" customFormat="false" ht="18" hidden="false" customHeight="true" outlineLevel="0" collapsed="false">
      <c r="A60" s="30"/>
      <c r="B60" s="31"/>
      <c r="C60" s="31"/>
      <c r="D60" s="31"/>
      <c r="E60" s="31"/>
      <c r="F60" s="32"/>
      <c r="G60" s="31"/>
      <c r="H60" s="31"/>
      <c r="I60" s="33"/>
      <c r="J60" s="34"/>
      <c r="K60" s="34"/>
      <c r="L60" s="34"/>
      <c r="M60" s="34"/>
      <c r="N60" s="19" t="str">
        <f aca="false">IF($J60="","",YEAR($J60)-IF(MONTH($J60)&lt;マスタ!$B$4,1,0))</f>
        <v/>
      </c>
      <c r="O60" s="20" t="str">
        <f aca="false">IF($J60="","","Q"&amp;(INT(MOD(MONTH($J60)-マスタ!$B$4+12,12)/3)+1))</f>
        <v/>
      </c>
      <c r="P60" s="35"/>
      <c r="Q60" s="22" t="str">
        <f aca="false">IF($P60="","",$P60*N($F60))</f>
        <v/>
      </c>
      <c r="R60" s="35"/>
      <c r="S60" s="22" t="str">
        <f aca="false">IF($P60="","",$P60-N($R60))</f>
        <v/>
      </c>
      <c r="T60" s="23" t="str">
        <f aca="false">IF(N($P60)=0,"",$S60/$P60)</f>
        <v/>
      </c>
      <c r="U60" s="36"/>
      <c r="V60" s="25" t="str">
        <f aca="false">IF($A60="","",SUMIFS(工数明細!$G$3:$G$302,工数明細!$B$3:$B$302,$A60))</f>
        <v/>
      </c>
      <c r="W60" s="26" t="str">
        <f aca="false">IF($U60="","",$U60-N($V60))</f>
        <v/>
      </c>
      <c r="X60" s="23" t="str">
        <f aca="false">IF(N($U60)=0,"",$V60/$U60)</f>
        <v/>
      </c>
      <c r="Y60" s="20" t="str">
        <f aca="false">IF(N($U60)=0,"",IF($V60&gt;$U60,"超過",IF($V60&gt;=$U60*0.9,"注意","適正")))</f>
        <v/>
      </c>
      <c r="Z60" s="27" t="str">
        <f aca="true">IF($L60="","",IF($M60&lt;&gt;"",$M60-$L60,IF(TODAY()&gt;$L60,TODAY()-$L60,0)))</f>
        <v/>
      </c>
      <c r="AA60" s="37"/>
    </row>
    <row r="61" customFormat="false" ht="18" hidden="false" customHeight="true" outlineLevel="0" collapsed="false">
      <c r="A61" s="30"/>
      <c r="B61" s="31"/>
      <c r="C61" s="31"/>
      <c r="D61" s="31"/>
      <c r="E61" s="31"/>
      <c r="F61" s="32"/>
      <c r="G61" s="31"/>
      <c r="H61" s="31"/>
      <c r="I61" s="33"/>
      <c r="J61" s="34"/>
      <c r="K61" s="34"/>
      <c r="L61" s="34"/>
      <c r="M61" s="34"/>
      <c r="N61" s="19" t="str">
        <f aca="false">IF($J61="","",YEAR($J61)-IF(MONTH($J61)&lt;マスタ!$B$4,1,0))</f>
        <v/>
      </c>
      <c r="O61" s="20" t="str">
        <f aca="false">IF($J61="","","Q"&amp;(INT(MOD(MONTH($J61)-マスタ!$B$4+12,12)/3)+1))</f>
        <v/>
      </c>
      <c r="P61" s="35"/>
      <c r="Q61" s="22" t="str">
        <f aca="false">IF($P61="","",$P61*N($F61))</f>
        <v/>
      </c>
      <c r="R61" s="35"/>
      <c r="S61" s="22" t="str">
        <f aca="false">IF($P61="","",$P61-N($R61))</f>
        <v/>
      </c>
      <c r="T61" s="23" t="str">
        <f aca="false">IF(N($P61)=0,"",$S61/$P61)</f>
        <v/>
      </c>
      <c r="U61" s="36"/>
      <c r="V61" s="25" t="str">
        <f aca="false">IF($A61="","",SUMIFS(工数明細!$G$3:$G$302,工数明細!$B$3:$B$302,$A61))</f>
        <v/>
      </c>
      <c r="W61" s="26" t="str">
        <f aca="false">IF($U61="","",$U61-N($V61))</f>
        <v/>
      </c>
      <c r="X61" s="23" t="str">
        <f aca="false">IF(N($U61)=0,"",$V61/$U61)</f>
        <v/>
      </c>
      <c r="Y61" s="20" t="str">
        <f aca="false">IF(N($U61)=0,"",IF($V61&gt;$U61,"超過",IF($V61&gt;=$U61*0.9,"注意","適正")))</f>
        <v/>
      </c>
      <c r="Z61" s="27" t="str">
        <f aca="true">IF($L61="","",IF($M61&lt;&gt;"",$M61-$L61,IF(TODAY()&gt;$L61,TODAY()-$L61,0)))</f>
        <v/>
      </c>
      <c r="AA61" s="37"/>
    </row>
    <row r="62" customFormat="false" ht="18" hidden="false" customHeight="true" outlineLevel="0" collapsed="false">
      <c r="A62" s="30"/>
      <c r="B62" s="31"/>
      <c r="C62" s="31"/>
      <c r="D62" s="31"/>
      <c r="E62" s="31"/>
      <c r="F62" s="32"/>
      <c r="G62" s="31"/>
      <c r="H62" s="31"/>
      <c r="I62" s="33"/>
      <c r="J62" s="34"/>
      <c r="K62" s="34"/>
      <c r="L62" s="34"/>
      <c r="M62" s="34"/>
      <c r="N62" s="19" t="str">
        <f aca="false">IF($J62="","",YEAR($J62)-IF(MONTH($J62)&lt;マスタ!$B$4,1,0))</f>
        <v/>
      </c>
      <c r="O62" s="20" t="str">
        <f aca="false">IF($J62="","","Q"&amp;(INT(MOD(MONTH($J62)-マスタ!$B$4+12,12)/3)+1))</f>
        <v/>
      </c>
      <c r="P62" s="35"/>
      <c r="Q62" s="22" t="str">
        <f aca="false">IF($P62="","",$P62*N($F62))</f>
        <v/>
      </c>
      <c r="R62" s="35"/>
      <c r="S62" s="22" t="str">
        <f aca="false">IF($P62="","",$P62-N($R62))</f>
        <v/>
      </c>
      <c r="T62" s="23" t="str">
        <f aca="false">IF(N($P62)=0,"",$S62/$P62)</f>
        <v/>
      </c>
      <c r="U62" s="36"/>
      <c r="V62" s="25" t="str">
        <f aca="false">IF($A62="","",SUMIFS(工数明細!$G$3:$G$302,工数明細!$B$3:$B$302,$A62))</f>
        <v/>
      </c>
      <c r="W62" s="26" t="str">
        <f aca="false">IF($U62="","",$U62-N($V62))</f>
        <v/>
      </c>
      <c r="X62" s="23" t="str">
        <f aca="false">IF(N($U62)=0,"",$V62/$U62)</f>
        <v/>
      </c>
      <c r="Y62" s="20" t="str">
        <f aca="false">IF(N($U62)=0,"",IF($V62&gt;$U62,"超過",IF($V62&gt;=$U62*0.9,"注意","適正")))</f>
        <v/>
      </c>
      <c r="Z62" s="27" t="str">
        <f aca="true">IF($L62="","",IF($M62&lt;&gt;"",$M62-$L62,IF(TODAY()&gt;$L62,TODAY()-$L62,0)))</f>
        <v/>
      </c>
      <c r="AA62" s="37"/>
    </row>
    <row r="63" customFormat="false" ht="18" hidden="false" customHeight="true" outlineLevel="0" collapsed="false">
      <c r="A63" s="30"/>
      <c r="B63" s="31"/>
      <c r="C63" s="31"/>
      <c r="D63" s="31"/>
      <c r="E63" s="31"/>
      <c r="F63" s="32"/>
      <c r="G63" s="31"/>
      <c r="H63" s="31"/>
      <c r="I63" s="33"/>
      <c r="J63" s="34"/>
      <c r="K63" s="34"/>
      <c r="L63" s="34"/>
      <c r="M63" s="34"/>
      <c r="N63" s="19" t="str">
        <f aca="false">IF($J63="","",YEAR($J63)-IF(MONTH($J63)&lt;マスタ!$B$4,1,0))</f>
        <v/>
      </c>
      <c r="O63" s="20" t="str">
        <f aca="false">IF($J63="","","Q"&amp;(INT(MOD(MONTH($J63)-マスタ!$B$4+12,12)/3)+1))</f>
        <v/>
      </c>
      <c r="P63" s="35"/>
      <c r="Q63" s="22" t="str">
        <f aca="false">IF($P63="","",$P63*N($F63))</f>
        <v/>
      </c>
      <c r="R63" s="35"/>
      <c r="S63" s="22" t="str">
        <f aca="false">IF($P63="","",$P63-N($R63))</f>
        <v/>
      </c>
      <c r="T63" s="23" t="str">
        <f aca="false">IF(N($P63)=0,"",$S63/$P63)</f>
        <v/>
      </c>
      <c r="U63" s="36"/>
      <c r="V63" s="25" t="str">
        <f aca="false">IF($A63="","",SUMIFS(工数明細!$G$3:$G$302,工数明細!$B$3:$B$302,$A63))</f>
        <v/>
      </c>
      <c r="W63" s="26" t="str">
        <f aca="false">IF($U63="","",$U63-N($V63))</f>
        <v/>
      </c>
      <c r="X63" s="23" t="str">
        <f aca="false">IF(N($U63)=0,"",$V63/$U63)</f>
        <v/>
      </c>
      <c r="Y63" s="20" t="str">
        <f aca="false">IF(N($U63)=0,"",IF($V63&gt;$U63,"超過",IF($V63&gt;=$U63*0.9,"注意","適正")))</f>
        <v/>
      </c>
      <c r="Z63" s="27" t="str">
        <f aca="true">IF($L63="","",IF($M63&lt;&gt;"",$M63-$L63,IF(TODAY()&gt;$L63,TODAY()-$L63,0)))</f>
        <v/>
      </c>
      <c r="AA63" s="37"/>
    </row>
    <row r="64" customFormat="false" ht="18" hidden="false" customHeight="true" outlineLevel="0" collapsed="false">
      <c r="A64" s="30"/>
      <c r="B64" s="31"/>
      <c r="C64" s="31"/>
      <c r="D64" s="31"/>
      <c r="E64" s="31"/>
      <c r="F64" s="32"/>
      <c r="G64" s="31"/>
      <c r="H64" s="31"/>
      <c r="I64" s="33"/>
      <c r="J64" s="34"/>
      <c r="K64" s="34"/>
      <c r="L64" s="34"/>
      <c r="M64" s="34"/>
      <c r="N64" s="19" t="str">
        <f aca="false">IF($J64="","",YEAR($J64)-IF(MONTH($J64)&lt;マスタ!$B$4,1,0))</f>
        <v/>
      </c>
      <c r="O64" s="20" t="str">
        <f aca="false">IF($J64="","","Q"&amp;(INT(MOD(MONTH($J64)-マスタ!$B$4+12,12)/3)+1))</f>
        <v/>
      </c>
      <c r="P64" s="35"/>
      <c r="Q64" s="22" t="str">
        <f aca="false">IF($P64="","",$P64*N($F64))</f>
        <v/>
      </c>
      <c r="R64" s="35"/>
      <c r="S64" s="22" t="str">
        <f aca="false">IF($P64="","",$P64-N($R64))</f>
        <v/>
      </c>
      <c r="T64" s="23" t="str">
        <f aca="false">IF(N($P64)=0,"",$S64/$P64)</f>
        <v/>
      </c>
      <c r="U64" s="36"/>
      <c r="V64" s="25" t="str">
        <f aca="false">IF($A64="","",SUMIFS(工数明細!$G$3:$G$302,工数明細!$B$3:$B$302,$A64))</f>
        <v/>
      </c>
      <c r="W64" s="26" t="str">
        <f aca="false">IF($U64="","",$U64-N($V64))</f>
        <v/>
      </c>
      <c r="X64" s="23" t="str">
        <f aca="false">IF(N($U64)=0,"",$V64/$U64)</f>
        <v/>
      </c>
      <c r="Y64" s="20" t="str">
        <f aca="false">IF(N($U64)=0,"",IF($V64&gt;$U64,"超過",IF($V64&gt;=$U64*0.9,"注意","適正")))</f>
        <v/>
      </c>
      <c r="Z64" s="27" t="str">
        <f aca="true">IF($L64="","",IF($M64&lt;&gt;"",$M64-$L64,IF(TODAY()&gt;$L64,TODAY()-$L64,0)))</f>
        <v/>
      </c>
      <c r="AA64" s="37"/>
    </row>
    <row r="65" customFormat="false" ht="18" hidden="false" customHeight="true" outlineLevel="0" collapsed="false">
      <c r="A65" s="30"/>
      <c r="B65" s="31"/>
      <c r="C65" s="31"/>
      <c r="D65" s="31"/>
      <c r="E65" s="31"/>
      <c r="F65" s="32"/>
      <c r="G65" s="31"/>
      <c r="H65" s="31"/>
      <c r="I65" s="33"/>
      <c r="J65" s="34"/>
      <c r="K65" s="34"/>
      <c r="L65" s="34"/>
      <c r="M65" s="34"/>
      <c r="N65" s="19" t="str">
        <f aca="false">IF($J65="","",YEAR($J65)-IF(MONTH($J65)&lt;マスタ!$B$4,1,0))</f>
        <v/>
      </c>
      <c r="O65" s="20" t="str">
        <f aca="false">IF($J65="","","Q"&amp;(INT(MOD(MONTH($J65)-マスタ!$B$4+12,12)/3)+1))</f>
        <v/>
      </c>
      <c r="P65" s="35"/>
      <c r="Q65" s="22" t="str">
        <f aca="false">IF($P65="","",$P65*N($F65))</f>
        <v/>
      </c>
      <c r="R65" s="35"/>
      <c r="S65" s="22" t="str">
        <f aca="false">IF($P65="","",$P65-N($R65))</f>
        <v/>
      </c>
      <c r="T65" s="23" t="str">
        <f aca="false">IF(N($P65)=0,"",$S65/$P65)</f>
        <v/>
      </c>
      <c r="U65" s="36"/>
      <c r="V65" s="25" t="str">
        <f aca="false">IF($A65="","",SUMIFS(工数明細!$G$3:$G$302,工数明細!$B$3:$B$302,$A65))</f>
        <v/>
      </c>
      <c r="W65" s="26" t="str">
        <f aca="false">IF($U65="","",$U65-N($V65))</f>
        <v/>
      </c>
      <c r="X65" s="23" t="str">
        <f aca="false">IF(N($U65)=0,"",$V65/$U65)</f>
        <v/>
      </c>
      <c r="Y65" s="20" t="str">
        <f aca="false">IF(N($U65)=0,"",IF($V65&gt;$U65,"超過",IF($V65&gt;=$U65*0.9,"注意","適正")))</f>
        <v/>
      </c>
      <c r="Z65" s="27" t="str">
        <f aca="true">IF($L65="","",IF($M65&lt;&gt;"",$M65-$L65,IF(TODAY()&gt;$L65,TODAY()-$L65,0)))</f>
        <v/>
      </c>
      <c r="AA65" s="37"/>
    </row>
    <row r="66" customFormat="false" ht="18" hidden="false" customHeight="true" outlineLevel="0" collapsed="false">
      <c r="A66" s="30"/>
      <c r="B66" s="31"/>
      <c r="C66" s="31"/>
      <c r="D66" s="31"/>
      <c r="E66" s="31"/>
      <c r="F66" s="32"/>
      <c r="G66" s="31"/>
      <c r="H66" s="31"/>
      <c r="I66" s="33"/>
      <c r="J66" s="34"/>
      <c r="K66" s="34"/>
      <c r="L66" s="34"/>
      <c r="M66" s="34"/>
      <c r="N66" s="19" t="str">
        <f aca="false">IF($J66="","",YEAR($J66)-IF(MONTH($J66)&lt;マスタ!$B$4,1,0))</f>
        <v/>
      </c>
      <c r="O66" s="20" t="str">
        <f aca="false">IF($J66="","","Q"&amp;(INT(MOD(MONTH($J66)-マスタ!$B$4+12,12)/3)+1))</f>
        <v/>
      </c>
      <c r="P66" s="35"/>
      <c r="Q66" s="22" t="str">
        <f aca="false">IF($P66="","",$P66*N($F66))</f>
        <v/>
      </c>
      <c r="R66" s="35"/>
      <c r="S66" s="22" t="str">
        <f aca="false">IF($P66="","",$P66-N($R66))</f>
        <v/>
      </c>
      <c r="T66" s="23" t="str">
        <f aca="false">IF(N($P66)=0,"",$S66/$P66)</f>
        <v/>
      </c>
      <c r="U66" s="36"/>
      <c r="V66" s="25" t="str">
        <f aca="false">IF($A66="","",SUMIFS(工数明細!$G$3:$G$302,工数明細!$B$3:$B$302,$A66))</f>
        <v/>
      </c>
      <c r="W66" s="26" t="str">
        <f aca="false">IF($U66="","",$U66-N($V66))</f>
        <v/>
      </c>
      <c r="X66" s="23" t="str">
        <f aca="false">IF(N($U66)=0,"",$V66/$U66)</f>
        <v/>
      </c>
      <c r="Y66" s="20" t="str">
        <f aca="false">IF(N($U66)=0,"",IF($V66&gt;$U66,"超過",IF($V66&gt;=$U66*0.9,"注意","適正")))</f>
        <v/>
      </c>
      <c r="Z66" s="27" t="str">
        <f aca="true">IF($L66="","",IF($M66&lt;&gt;"",$M66-$L66,IF(TODAY()&gt;$L66,TODAY()-$L66,0)))</f>
        <v/>
      </c>
      <c r="AA66" s="37"/>
    </row>
    <row r="67" customFormat="false" ht="18" hidden="false" customHeight="true" outlineLevel="0" collapsed="false">
      <c r="A67" s="30"/>
      <c r="B67" s="31"/>
      <c r="C67" s="31"/>
      <c r="D67" s="31"/>
      <c r="E67" s="31"/>
      <c r="F67" s="32"/>
      <c r="G67" s="31"/>
      <c r="H67" s="31"/>
      <c r="I67" s="33"/>
      <c r="J67" s="34"/>
      <c r="K67" s="34"/>
      <c r="L67" s="34"/>
      <c r="M67" s="34"/>
      <c r="N67" s="19" t="str">
        <f aca="false">IF($J67="","",YEAR($J67)-IF(MONTH($J67)&lt;マスタ!$B$4,1,0))</f>
        <v/>
      </c>
      <c r="O67" s="20" t="str">
        <f aca="false">IF($J67="","","Q"&amp;(INT(MOD(MONTH($J67)-マスタ!$B$4+12,12)/3)+1))</f>
        <v/>
      </c>
      <c r="P67" s="35"/>
      <c r="Q67" s="22" t="str">
        <f aca="false">IF($P67="","",$P67*N($F67))</f>
        <v/>
      </c>
      <c r="R67" s="35"/>
      <c r="S67" s="22" t="str">
        <f aca="false">IF($P67="","",$P67-N($R67))</f>
        <v/>
      </c>
      <c r="T67" s="23" t="str">
        <f aca="false">IF(N($P67)=0,"",$S67/$P67)</f>
        <v/>
      </c>
      <c r="U67" s="36"/>
      <c r="V67" s="25" t="str">
        <f aca="false">IF($A67="","",SUMIFS(工数明細!$G$3:$G$302,工数明細!$B$3:$B$302,$A67))</f>
        <v/>
      </c>
      <c r="W67" s="26" t="str">
        <f aca="false">IF($U67="","",$U67-N($V67))</f>
        <v/>
      </c>
      <c r="X67" s="23" t="str">
        <f aca="false">IF(N($U67)=0,"",$V67/$U67)</f>
        <v/>
      </c>
      <c r="Y67" s="20" t="str">
        <f aca="false">IF(N($U67)=0,"",IF($V67&gt;$U67,"超過",IF($V67&gt;=$U67*0.9,"注意","適正")))</f>
        <v/>
      </c>
      <c r="Z67" s="27" t="str">
        <f aca="true">IF($L67="","",IF($M67&lt;&gt;"",$M67-$L67,IF(TODAY()&gt;$L67,TODAY()-$L67,0)))</f>
        <v/>
      </c>
      <c r="AA67" s="37"/>
    </row>
    <row r="68" customFormat="false" ht="18" hidden="false" customHeight="true" outlineLevel="0" collapsed="false">
      <c r="A68" s="30"/>
      <c r="B68" s="31"/>
      <c r="C68" s="31"/>
      <c r="D68" s="31"/>
      <c r="E68" s="31"/>
      <c r="F68" s="32"/>
      <c r="G68" s="31"/>
      <c r="H68" s="31"/>
      <c r="I68" s="33"/>
      <c r="J68" s="34"/>
      <c r="K68" s="34"/>
      <c r="L68" s="34"/>
      <c r="M68" s="34"/>
      <c r="N68" s="19" t="str">
        <f aca="false">IF($J68="","",YEAR($J68)-IF(MONTH($J68)&lt;マスタ!$B$4,1,0))</f>
        <v/>
      </c>
      <c r="O68" s="20" t="str">
        <f aca="false">IF($J68="","","Q"&amp;(INT(MOD(MONTH($J68)-マスタ!$B$4+12,12)/3)+1))</f>
        <v/>
      </c>
      <c r="P68" s="35"/>
      <c r="Q68" s="22" t="str">
        <f aca="false">IF($P68="","",$P68*N($F68))</f>
        <v/>
      </c>
      <c r="R68" s="35"/>
      <c r="S68" s="22" t="str">
        <f aca="false">IF($P68="","",$P68-N($R68))</f>
        <v/>
      </c>
      <c r="T68" s="23" t="str">
        <f aca="false">IF(N($P68)=0,"",$S68/$P68)</f>
        <v/>
      </c>
      <c r="U68" s="36"/>
      <c r="V68" s="25" t="str">
        <f aca="false">IF($A68="","",SUMIFS(工数明細!$G$3:$G$302,工数明細!$B$3:$B$302,$A68))</f>
        <v/>
      </c>
      <c r="W68" s="26" t="str">
        <f aca="false">IF($U68="","",$U68-N($V68))</f>
        <v/>
      </c>
      <c r="X68" s="23" t="str">
        <f aca="false">IF(N($U68)=0,"",$V68/$U68)</f>
        <v/>
      </c>
      <c r="Y68" s="20" t="str">
        <f aca="false">IF(N($U68)=0,"",IF($V68&gt;$U68,"超過",IF($V68&gt;=$U68*0.9,"注意","適正")))</f>
        <v/>
      </c>
      <c r="Z68" s="27" t="str">
        <f aca="true">IF($L68="","",IF($M68&lt;&gt;"",$M68-$L68,IF(TODAY()&gt;$L68,TODAY()-$L68,0)))</f>
        <v/>
      </c>
      <c r="AA68" s="37"/>
    </row>
    <row r="69" customFormat="false" ht="18" hidden="false" customHeight="true" outlineLevel="0" collapsed="false">
      <c r="A69" s="30"/>
      <c r="B69" s="31"/>
      <c r="C69" s="31"/>
      <c r="D69" s="31"/>
      <c r="E69" s="31"/>
      <c r="F69" s="32"/>
      <c r="G69" s="31"/>
      <c r="H69" s="31"/>
      <c r="I69" s="33"/>
      <c r="J69" s="34"/>
      <c r="K69" s="34"/>
      <c r="L69" s="34"/>
      <c r="M69" s="34"/>
      <c r="N69" s="19" t="str">
        <f aca="false">IF($J69="","",YEAR($J69)-IF(MONTH($J69)&lt;マスタ!$B$4,1,0))</f>
        <v/>
      </c>
      <c r="O69" s="20" t="str">
        <f aca="false">IF($J69="","","Q"&amp;(INT(MOD(MONTH($J69)-マスタ!$B$4+12,12)/3)+1))</f>
        <v/>
      </c>
      <c r="P69" s="35"/>
      <c r="Q69" s="22" t="str">
        <f aca="false">IF($P69="","",$P69*N($F69))</f>
        <v/>
      </c>
      <c r="R69" s="35"/>
      <c r="S69" s="22" t="str">
        <f aca="false">IF($P69="","",$P69-N($R69))</f>
        <v/>
      </c>
      <c r="T69" s="23" t="str">
        <f aca="false">IF(N($P69)=0,"",$S69/$P69)</f>
        <v/>
      </c>
      <c r="U69" s="36"/>
      <c r="V69" s="25" t="str">
        <f aca="false">IF($A69="","",SUMIFS(工数明細!$G$3:$G$302,工数明細!$B$3:$B$302,$A69))</f>
        <v/>
      </c>
      <c r="W69" s="26" t="str">
        <f aca="false">IF($U69="","",$U69-N($V69))</f>
        <v/>
      </c>
      <c r="X69" s="23" t="str">
        <f aca="false">IF(N($U69)=0,"",$V69/$U69)</f>
        <v/>
      </c>
      <c r="Y69" s="20" t="str">
        <f aca="false">IF(N($U69)=0,"",IF($V69&gt;$U69,"超過",IF($V69&gt;=$U69*0.9,"注意","適正")))</f>
        <v/>
      </c>
      <c r="Z69" s="27" t="str">
        <f aca="true">IF($L69="","",IF($M69&lt;&gt;"",$M69-$L69,IF(TODAY()&gt;$L69,TODAY()-$L69,0)))</f>
        <v/>
      </c>
      <c r="AA69" s="37"/>
    </row>
    <row r="70" customFormat="false" ht="18" hidden="false" customHeight="true" outlineLevel="0" collapsed="false">
      <c r="A70" s="30"/>
      <c r="B70" s="31"/>
      <c r="C70" s="31"/>
      <c r="D70" s="31"/>
      <c r="E70" s="31"/>
      <c r="F70" s="32"/>
      <c r="G70" s="31"/>
      <c r="H70" s="31"/>
      <c r="I70" s="33"/>
      <c r="J70" s="34"/>
      <c r="K70" s="34"/>
      <c r="L70" s="34"/>
      <c r="M70" s="34"/>
      <c r="N70" s="19" t="str">
        <f aca="false">IF($J70="","",YEAR($J70)-IF(MONTH($J70)&lt;マスタ!$B$4,1,0))</f>
        <v/>
      </c>
      <c r="O70" s="20" t="str">
        <f aca="false">IF($J70="","","Q"&amp;(INT(MOD(MONTH($J70)-マスタ!$B$4+12,12)/3)+1))</f>
        <v/>
      </c>
      <c r="P70" s="35"/>
      <c r="Q70" s="22" t="str">
        <f aca="false">IF($P70="","",$P70*N($F70))</f>
        <v/>
      </c>
      <c r="R70" s="35"/>
      <c r="S70" s="22" t="str">
        <f aca="false">IF($P70="","",$P70-N($R70))</f>
        <v/>
      </c>
      <c r="T70" s="23" t="str">
        <f aca="false">IF(N($P70)=0,"",$S70/$P70)</f>
        <v/>
      </c>
      <c r="U70" s="36"/>
      <c r="V70" s="25" t="str">
        <f aca="false">IF($A70="","",SUMIFS(工数明細!$G$3:$G$302,工数明細!$B$3:$B$302,$A70))</f>
        <v/>
      </c>
      <c r="W70" s="26" t="str">
        <f aca="false">IF($U70="","",$U70-N($V70))</f>
        <v/>
      </c>
      <c r="X70" s="23" t="str">
        <f aca="false">IF(N($U70)=0,"",$V70/$U70)</f>
        <v/>
      </c>
      <c r="Y70" s="20" t="str">
        <f aca="false">IF(N($U70)=0,"",IF($V70&gt;$U70,"超過",IF($V70&gt;=$U70*0.9,"注意","適正")))</f>
        <v/>
      </c>
      <c r="Z70" s="27" t="str">
        <f aca="true">IF($L70="","",IF($M70&lt;&gt;"",$M70-$L70,IF(TODAY()&gt;$L70,TODAY()-$L70,0)))</f>
        <v/>
      </c>
      <c r="AA70" s="37"/>
    </row>
    <row r="71" customFormat="false" ht="18" hidden="false" customHeight="true" outlineLevel="0" collapsed="false">
      <c r="A71" s="30"/>
      <c r="B71" s="31"/>
      <c r="C71" s="31"/>
      <c r="D71" s="31"/>
      <c r="E71" s="31"/>
      <c r="F71" s="32"/>
      <c r="G71" s="31"/>
      <c r="H71" s="31"/>
      <c r="I71" s="33"/>
      <c r="J71" s="34"/>
      <c r="K71" s="34"/>
      <c r="L71" s="34"/>
      <c r="M71" s="34"/>
      <c r="N71" s="19" t="str">
        <f aca="false">IF($J71="","",YEAR($J71)-IF(MONTH($J71)&lt;マスタ!$B$4,1,0))</f>
        <v/>
      </c>
      <c r="O71" s="20" t="str">
        <f aca="false">IF($J71="","","Q"&amp;(INT(MOD(MONTH($J71)-マスタ!$B$4+12,12)/3)+1))</f>
        <v/>
      </c>
      <c r="P71" s="35"/>
      <c r="Q71" s="22" t="str">
        <f aca="false">IF($P71="","",$P71*N($F71))</f>
        <v/>
      </c>
      <c r="R71" s="35"/>
      <c r="S71" s="22" t="str">
        <f aca="false">IF($P71="","",$P71-N($R71))</f>
        <v/>
      </c>
      <c r="T71" s="23" t="str">
        <f aca="false">IF(N($P71)=0,"",$S71/$P71)</f>
        <v/>
      </c>
      <c r="U71" s="36"/>
      <c r="V71" s="25" t="str">
        <f aca="false">IF($A71="","",SUMIFS(工数明細!$G$3:$G$302,工数明細!$B$3:$B$302,$A71))</f>
        <v/>
      </c>
      <c r="W71" s="26" t="str">
        <f aca="false">IF($U71="","",$U71-N($V71))</f>
        <v/>
      </c>
      <c r="X71" s="23" t="str">
        <f aca="false">IF(N($U71)=0,"",$V71/$U71)</f>
        <v/>
      </c>
      <c r="Y71" s="20" t="str">
        <f aca="false">IF(N($U71)=0,"",IF($V71&gt;$U71,"超過",IF($V71&gt;=$U71*0.9,"注意","適正")))</f>
        <v/>
      </c>
      <c r="Z71" s="27" t="str">
        <f aca="true">IF($L71="","",IF($M71&lt;&gt;"",$M71-$L71,IF(TODAY()&gt;$L71,TODAY()-$L71,0)))</f>
        <v/>
      </c>
      <c r="AA71" s="37"/>
    </row>
    <row r="72" customFormat="false" ht="18" hidden="false" customHeight="true" outlineLevel="0" collapsed="false">
      <c r="A72" s="30"/>
      <c r="B72" s="31"/>
      <c r="C72" s="31"/>
      <c r="D72" s="31"/>
      <c r="E72" s="31"/>
      <c r="F72" s="32"/>
      <c r="G72" s="31"/>
      <c r="H72" s="31"/>
      <c r="I72" s="33"/>
      <c r="J72" s="34"/>
      <c r="K72" s="34"/>
      <c r="L72" s="34"/>
      <c r="M72" s="34"/>
      <c r="N72" s="19" t="str">
        <f aca="false">IF($J72="","",YEAR($J72)-IF(MONTH($J72)&lt;マスタ!$B$4,1,0))</f>
        <v/>
      </c>
      <c r="O72" s="20" t="str">
        <f aca="false">IF($J72="","","Q"&amp;(INT(MOD(MONTH($J72)-マスタ!$B$4+12,12)/3)+1))</f>
        <v/>
      </c>
      <c r="P72" s="35"/>
      <c r="Q72" s="22" t="str">
        <f aca="false">IF($P72="","",$P72*N($F72))</f>
        <v/>
      </c>
      <c r="R72" s="35"/>
      <c r="S72" s="22" t="str">
        <f aca="false">IF($P72="","",$P72-N($R72))</f>
        <v/>
      </c>
      <c r="T72" s="23" t="str">
        <f aca="false">IF(N($P72)=0,"",$S72/$P72)</f>
        <v/>
      </c>
      <c r="U72" s="36"/>
      <c r="V72" s="25" t="str">
        <f aca="false">IF($A72="","",SUMIFS(工数明細!$G$3:$G$302,工数明細!$B$3:$B$302,$A72))</f>
        <v/>
      </c>
      <c r="W72" s="26" t="str">
        <f aca="false">IF($U72="","",$U72-N($V72))</f>
        <v/>
      </c>
      <c r="X72" s="23" t="str">
        <f aca="false">IF(N($U72)=0,"",$V72/$U72)</f>
        <v/>
      </c>
      <c r="Y72" s="20" t="str">
        <f aca="false">IF(N($U72)=0,"",IF($V72&gt;$U72,"超過",IF($V72&gt;=$U72*0.9,"注意","適正")))</f>
        <v/>
      </c>
      <c r="Z72" s="27" t="str">
        <f aca="true">IF($L72="","",IF($M72&lt;&gt;"",$M72-$L72,IF(TODAY()&gt;$L72,TODAY()-$L72,0)))</f>
        <v/>
      </c>
      <c r="AA72" s="37"/>
    </row>
    <row r="73" customFormat="false" ht="18" hidden="false" customHeight="true" outlineLevel="0" collapsed="false">
      <c r="A73" s="30"/>
      <c r="B73" s="31"/>
      <c r="C73" s="31"/>
      <c r="D73" s="31"/>
      <c r="E73" s="31"/>
      <c r="F73" s="32"/>
      <c r="G73" s="31"/>
      <c r="H73" s="31"/>
      <c r="I73" s="33"/>
      <c r="J73" s="34"/>
      <c r="K73" s="34"/>
      <c r="L73" s="34"/>
      <c r="M73" s="34"/>
      <c r="N73" s="19" t="str">
        <f aca="false">IF($J73="","",YEAR($J73)-IF(MONTH($J73)&lt;マスタ!$B$4,1,0))</f>
        <v/>
      </c>
      <c r="O73" s="20" t="str">
        <f aca="false">IF($J73="","","Q"&amp;(INT(MOD(MONTH($J73)-マスタ!$B$4+12,12)/3)+1))</f>
        <v/>
      </c>
      <c r="P73" s="35"/>
      <c r="Q73" s="22" t="str">
        <f aca="false">IF($P73="","",$P73*N($F73))</f>
        <v/>
      </c>
      <c r="R73" s="35"/>
      <c r="S73" s="22" t="str">
        <f aca="false">IF($P73="","",$P73-N($R73))</f>
        <v/>
      </c>
      <c r="T73" s="23" t="str">
        <f aca="false">IF(N($P73)=0,"",$S73/$P73)</f>
        <v/>
      </c>
      <c r="U73" s="36"/>
      <c r="V73" s="25" t="str">
        <f aca="false">IF($A73="","",SUMIFS(工数明細!$G$3:$G$302,工数明細!$B$3:$B$302,$A73))</f>
        <v/>
      </c>
      <c r="W73" s="26" t="str">
        <f aca="false">IF($U73="","",$U73-N($V73))</f>
        <v/>
      </c>
      <c r="X73" s="23" t="str">
        <f aca="false">IF(N($U73)=0,"",$V73/$U73)</f>
        <v/>
      </c>
      <c r="Y73" s="20" t="str">
        <f aca="false">IF(N($U73)=0,"",IF($V73&gt;$U73,"超過",IF($V73&gt;=$U73*0.9,"注意","適正")))</f>
        <v/>
      </c>
      <c r="Z73" s="27" t="str">
        <f aca="true">IF($L73="","",IF($M73&lt;&gt;"",$M73-$L73,IF(TODAY()&gt;$L73,TODAY()-$L73,0)))</f>
        <v/>
      </c>
      <c r="AA73" s="37"/>
    </row>
    <row r="74" customFormat="false" ht="18" hidden="false" customHeight="true" outlineLevel="0" collapsed="false">
      <c r="A74" s="30"/>
      <c r="B74" s="31"/>
      <c r="C74" s="31"/>
      <c r="D74" s="31"/>
      <c r="E74" s="31"/>
      <c r="F74" s="32"/>
      <c r="G74" s="31"/>
      <c r="H74" s="31"/>
      <c r="I74" s="33"/>
      <c r="J74" s="34"/>
      <c r="K74" s="34"/>
      <c r="L74" s="34"/>
      <c r="M74" s="34"/>
      <c r="N74" s="19" t="str">
        <f aca="false">IF($J74="","",YEAR($J74)-IF(MONTH($J74)&lt;マスタ!$B$4,1,0))</f>
        <v/>
      </c>
      <c r="O74" s="20" t="str">
        <f aca="false">IF($J74="","","Q"&amp;(INT(MOD(MONTH($J74)-マスタ!$B$4+12,12)/3)+1))</f>
        <v/>
      </c>
      <c r="P74" s="35"/>
      <c r="Q74" s="22" t="str">
        <f aca="false">IF($P74="","",$P74*N($F74))</f>
        <v/>
      </c>
      <c r="R74" s="35"/>
      <c r="S74" s="22" t="str">
        <f aca="false">IF($P74="","",$P74-N($R74))</f>
        <v/>
      </c>
      <c r="T74" s="23" t="str">
        <f aca="false">IF(N($P74)=0,"",$S74/$P74)</f>
        <v/>
      </c>
      <c r="U74" s="36"/>
      <c r="V74" s="25" t="str">
        <f aca="false">IF($A74="","",SUMIFS(工数明細!$G$3:$G$302,工数明細!$B$3:$B$302,$A74))</f>
        <v/>
      </c>
      <c r="W74" s="26" t="str">
        <f aca="false">IF($U74="","",$U74-N($V74))</f>
        <v/>
      </c>
      <c r="X74" s="23" t="str">
        <f aca="false">IF(N($U74)=0,"",$V74/$U74)</f>
        <v/>
      </c>
      <c r="Y74" s="20" t="str">
        <f aca="false">IF(N($U74)=0,"",IF($V74&gt;$U74,"超過",IF($V74&gt;=$U74*0.9,"注意","適正")))</f>
        <v/>
      </c>
      <c r="Z74" s="27" t="str">
        <f aca="true">IF($L74="","",IF($M74&lt;&gt;"",$M74-$L74,IF(TODAY()&gt;$L74,TODAY()-$L74,0)))</f>
        <v/>
      </c>
      <c r="AA74" s="37"/>
    </row>
    <row r="75" customFormat="false" ht="18" hidden="false" customHeight="true" outlineLevel="0" collapsed="false">
      <c r="A75" s="30"/>
      <c r="B75" s="31"/>
      <c r="C75" s="31"/>
      <c r="D75" s="31"/>
      <c r="E75" s="31"/>
      <c r="F75" s="32"/>
      <c r="G75" s="31"/>
      <c r="H75" s="31"/>
      <c r="I75" s="33"/>
      <c r="J75" s="34"/>
      <c r="K75" s="34"/>
      <c r="L75" s="34"/>
      <c r="M75" s="34"/>
      <c r="N75" s="19" t="str">
        <f aca="false">IF($J75="","",YEAR($J75)-IF(MONTH($J75)&lt;マスタ!$B$4,1,0))</f>
        <v/>
      </c>
      <c r="O75" s="20" t="str">
        <f aca="false">IF($J75="","","Q"&amp;(INT(MOD(MONTH($J75)-マスタ!$B$4+12,12)/3)+1))</f>
        <v/>
      </c>
      <c r="P75" s="35"/>
      <c r="Q75" s="22" t="str">
        <f aca="false">IF($P75="","",$P75*N($F75))</f>
        <v/>
      </c>
      <c r="R75" s="35"/>
      <c r="S75" s="22" t="str">
        <f aca="false">IF($P75="","",$P75-N($R75))</f>
        <v/>
      </c>
      <c r="T75" s="23" t="str">
        <f aca="false">IF(N($P75)=0,"",$S75/$P75)</f>
        <v/>
      </c>
      <c r="U75" s="36"/>
      <c r="V75" s="25" t="str">
        <f aca="false">IF($A75="","",SUMIFS(工数明細!$G$3:$G$302,工数明細!$B$3:$B$302,$A75))</f>
        <v/>
      </c>
      <c r="W75" s="26" t="str">
        <f aca="false">IF($U75="","",$U75-N($V75))</f>
        <v/>
      </c>
      <c r="X75" s="23" t="str">
        <f aca="false">IF(N($U75)=0,"",$V75/$U75)</f>
        <v/>
      </c>
      <c r="Y75" s="20" t="str">
        <f aca="false">IF(N($U75)=0,"",IF($V75&gt;$U75,"超過",IF($V75&gt;=$U75*0.9,"注意","適正")))</f>
        <v/>
      </c>
      <c r="Z75" s="27" t="str">
        <f aca="true">IF($L75="","",IF($M75&lt;&gt;"",$M75-$L75,IF(TODAY()&gt;$L75,TODAY()-$L75,0)))</f>
        <v/>
      </c>
      <c r="AA75" s="37"/>
    </row>
    <row r="76" customFormat="false" ht="18" hidden="false" customHeight="true" outlineLevel="0" collapsed="false">
      <c r="A76" s="30"/>
      <c r="B76" s="31"/>
      <c r="C76" s="31"/>
      <c r="D76" s="31"/>
      <c r="E76" s="31"/>
      <c r="F76" s="32"/>
      <c r="G76" s="31"/>
      <c r="H76" s="31"/>
      <c r="I76" s="33"/>
      <c r="J76" s="34"/>
      <c r="K76" s="34"/>
      <c r="L76" s="34"/>
      <c r="M76" s="34"/>
      <c r="N76" s="19" t="str">
        <f aca="false">IF($J76="","",YEAR($J76)-IF(MONTH($J76)&lt;マスタ!$B$4,1,0))</f>
        <v/>
      </c>
      <c r="O76" s="20" t="str">
        <f aca="false">IF($J76="","","Q"&amp;(INT(MOD(MONTH($J76)-マスタ!$B$4+12,12)/3)+1))</f>
        <v/>
      </c>
      <c r="P76" s="35"/>
      <c r="Q76" s="22" t="str">
        <f aca="false">IF($P76="","",$P76*N($F76))</f>
        <v/>
      </c>
      <c r="R76" s="35"/>
      <c r="S76" s="22" t="str">
        <f aca="false">IF($P76="","",$P76-N($R76))</f>
        <v/>
      </c>
      <c r="T76" s="23" t="str">
        <f aca="false">IF(N($P76)=0,"",$S76/$P76)</f>
        <v/>
      </c>
      <c r="U76" s="36"/>
      <c r="V76" s="25" t="str">
        <f aca="false">IF($A76="","",SUMIFS(工数明細!$G$3:$G$302,工数明細!$B$3:$B$302,$A76))</f>
        <v/>
      </c>
      <c r="W76" s="26" t="str">
        <f aca="false">IF($U76="","",$U76-N($V76))</f>
        <v/>
      </c>
      <c r="X76" s="23" t="str">
        <f aca="false">IF(N($U76)=0,"",$V76/$U76)</f>
        <v/>
      </c>
      <c r="Y76" s="20" t="str">
        <f aca="false">IF(N($U76)=0,"",IF($V76&gt;$U76,"超過",IF($V76&gt;=$U76*0.9,"注意","適正")))</f>
        <v/>
      </c>
      <c r="Z76" s="27" t="str">
        <f aca="true">IF($L76="","",IF($M76&lt;&gt;"",$M76-$L76,IF(TODAY()&gt;$L76,TODAY()-$L76,0)))</f>
        <v/>
      </c>
      <c r="AA76" s="37"/>
    </row>
    <row r="77" customFormat="false" ht="18" hidden="false" customHeight="true" outlineLevel="0" collapsed="false">
      <c r="A77" s="30"/>
      <c r="B77" s="31"/>
      <c r="C77" s="31"/>
      <c r="D77" s="31"/>
      <c r="E77" s="31"/>
      <c r="F77" s="32"/>
      <c r="G77" s="31"/>
      <c r="H77" s="31"/>
      <c r="I77" s="33"/>
      <c r="J77" s="34"/>
      <c r="K77" s="34"/>
      <c r="L77" s="34"/>
      <c r="M77" s="34"/>
      <c r="N77" s="19" t="str">
        <f aca="false">IF($J77="","",YEAR($J77)-IF(MONTH($J77)&lt;マスタ!$B$4,1,0))</f>
        <v/>
      </c>
      <c r="O77" s="20" t="str">
        <f aca="false">IF($J77="","","Q"&amp;(INT(MOD(MONTH($J77)-マスタ!$B$4+12,12)/3)+1))</f>
        <v/>
      </c>
      <c r="P77" s="35"/>
      <c r="Q77" s="22" t="str">
        <f aca="false">IF($P77="","",$P77*N($F77))</f>
        <v/>
      </c>
      <c r="R77" s="35"/>
      <c r="S77" s="22" t="str">
        <f aca="false">IF($P77="","",$P77-N($R77))</f>
        <v/>
      </c>
      <c r="T77" s="23" t="str">
        <f aca="false">IF(N($P77)=0,"",$S77/$P77)</f>
        <v/>
      </c>
      <c r="U77" s="36"/>
      <c r="V77" s="25" t="str">
        <f aca="false">IF($A77="","",SUMIFS(工数明細!$G$3:$G$302,工数明細!$B$3:$B$302,$A77))</f>
        <v/>
      </c>
      <c r="W77" s="26" t="str">
        <f aca="false">IF($U77="","",$U77-N($V77))</f>
        <v/>
      </c>
      <c r="X77" s="23" t="str">
        <f aca="false">IF(N($U77)=0,"",$V77/$U77)</f>
        <v/>
      </c>
      <c r="Y77" s="20" t="str">
        <f aca="false">IF(N($U77)=0,"",IF($V77&gt;$U77,"超過",IF($V77&gt;=$U77*0.9,"注意","適正")))</f>
        <v/>
      </c>
      <c r="Z77" s="27" t="str">
        <f aca="true">IF($L77="","",IF($M77&lt;&gt;"",$M77-$L77,IF(TODAY()&gt;$L77,TODAY()-$L77,0)))</f>
        <v/>
      </c>
      <c r="AA77" s="37"/>
    </row>
    <row r="78" customFormat="false" ht="18" hidden="false" customHeight="true" outlineLevel="0" collapsed="false">
      <c r="A78" s="30"/>
      <c r="B78" s="31"/>
      <c r="C78" s="31"/>
      <c r="D78" s="31"/>
      <c r="E78" s="31"/>
      <c r="F78" s="32"/>
      <c r="G78" s="31"/>
      <c r="H78" s="31"/>
      <c r="I78" s="33"/>
      <c r="J78" s="34"/>
      <c r="K78" s="34"/>
      <c r="L78" s="34"/>
      <c r="M78" s="34"/>
      <c r="N78" s="19" t="str">
        <f aca="false">IF($J78="","",YEAR($J78)-IF(MONTH($J78)&lt;マスタ!$B$4,1,0))</f>
        <v/>
      </c>
      <c r="O78" s="20" t="str">
        <f aca="false">IF($J78="","","Q"&amp;(INT(MOD(MONTH($J78)-マスタ!$B$4+12,12)/3)+1))</f>
        <v/>
      </c>
      <c r="P78" s="35"/>
      <c r="Q78" s="22" t="str">
        <f aca="false">IF($P78="","",$P78*N($F78))</f>
        <v/>
      </c>
      <c r="R78" s="35"/>
      <c r="S78" s="22" t="str">
        <f aca="false">IF($P78="","",$P78-N($R78))</f>
        <v/>
      </c>
      <c r="T78" s="23" t="str">
        <f aca="false">IF(N($P78)=0,"",$S78/$P78)</f>
        <v/>
      </c>
      <c r="U78" s="36"/>
      <c r="V78" s="25" t="str">
        <f aca="false">IF($A78="","",SUMIFS(工数明細!$G$3:$G$302,工数明細!$B$3:$B$302,$A78))</f>
        <v/>
      </c>
      <c r="W78" s="26" t="str">
        <f aca="false">IF($U78="","",$U78-N($V78))</f>
        <v/>
      </c>
      <c r="X78" s="23" t="str">
        <f aca="false">IF(N($U78)=0,"",$V78/$U78)</f>
        <v/>
      </c>
      <c r="Y78" s="20" t="str">
        <f aca="false">IF(N($U78)=0,"",IF($V78&gt;$U78,"超過",IF($V78&gt;=$U78*0.9,"注意","適正")))</f>
        <v/>
      </c>
      <c r="Z78" s="27" t="str">
        <f aca="true">IF($L78="","",IF($M78&lt;&gt;"",$M78-$L78,IF(TODAY()&gt;$L78,TODAY()-$L78,0)))</f>
        <v/>
      </c>
      <c r="AA78" s="37"/>
    </row>
    <row r="79" customFormat="false" ht="18" hidden="false" customHeight="true" outlineLevel="0" collapsed="false">
      <c r="A79" s="30"/>
      <c r="B79" s="31"/>
      <c r="C79" s="31"/>
      <c r="D79" s="31"/>
      <c r="E79" s="31"/>
      <c r="F79" s="32"/>
      <c r="G79" s="31"/>
      <c r="H79" s="31"/>
      <c r="I79" s="33"/>
      <c r="J79" s="34"/>
      <c r="K79" s="34"/>
      <c r="L79" s="34"/>
      <c r="M79" s="34"/>
      <c r="N79" s="19" t="str">
        <f aca="false">IF($J79="","",YEAR($J79)-IF(MONTH($J79)&lt;マスタ!$B$4,1,0))</f>
        <v/>
      </c>
      <c r="O79" s="20" t="str">
        <f aca="false">IF($J79="","","Q"&amp;(INT(MOD(MONTH($J79)-マスタ!$B$4+12,12)/3)+1))</f>
        <v/>
      </c>
      <c r="P79" s="35"/>
      <c r="Q79" s="22" t="str">
        <f aca="false">IF($P79="","",$P79*N($F79))</f>
        <v/>
      </c>
      <c r="R79" s="35"/>
      <c r="S79" s="22" t="str">
        <f aca="false">IF($P79="","",$P79-N($R79))</f>
        <v/>
      </c>
      <c r="T79" s="23" t="str">
        <f aca="false">IF(N($P79)=0,"",$S79/$P79)</f>
        <v/>
      </c>
      <c r="U79" s="36"/>
      <c r="V79" s="25" t="str">
        <f aca="false">IF($A79="","",SUMIFS(工数明細!$G$3:$G$302,工数明細!$B$3:$B$302,$A79))</f>
        <v/>
      </c>
      <c r="W79" s="26" t="str">
        <f aca="false">IF($U79="","",$U79-N($V79))</f>
        <v/>
      </c>
      <c r="X79" s="23" t="str">
        <f aca="false">IF(N($U79)=0,"",$V79/$U79)</f>
        <v/>
      </c>
      <c r="Y79" s="20" t="str">
        <f aca="false">IF(N($U79)=0,"",IF($V79&gt;$U79,"超過",IF($V79&gt;=$U79*0.9,"注意","適正")))</f>
        <v/>
      </c>
      <c r="Z79" s="27" t="str">
        <f aca="true">IF($L79="","",IF($M79&lt;&gt;"",$M79-$L79,IF(TODAY()&gt;$L79,TODAY()-$L79,0)))</f>
        <v/>
      </c>
      <c r="AA79" s="37"/>
    </row>
    <row r="80" customFormat="false" ht="18" hidden="false" customHeight="true" outlineLevel="0" collapsed="false">
      <c r="A80" s="30"/>
      <c r="B80" s="31"/>
      <c r="C80" s="31"/>
      <c r="D80" s="31"/>
      <c r="E80" s="31"/>
      <c r="F80" s="32"/>
      <c r="G80" s="31"/>
      <c r="H80" s="31"/>
      <c r="I80" s="33"/>
      <c r="J80" s="34"/>
      <c r="K80" s="34"/>
      <c r="L80" s="34"/>
      <c r="M80" s="34"/>
      <c r="N80" s="19" t="str">
        <f aca="false">IF($J80="","",YEAR($J80)-IF(MONTH($J80)&lt;マスタ!$B$4,1,0))</f>
        <v/>
      </c>
      <c r="O80" s="20" t="str">
        <f aca="false">IF($J80="","","Q"&amp;(INT(MOD(MONTH($J80)-マスタ!$B$4+12,12)/3)+1))</f>
        <v/>
      </c>
      <c r="P80" s="35"/>
      <c r="Q80" s="22" t="str">
        <f aca="false">IF($P80="","",$P80*N($F80))</f>
        <v/>
      </c>
      <c r="R80" s="35"/>
      <c r="S80" s="22" t="str">
        <f aca="false">IF($P80="","",$P80-N($R80))</f>
        <v/>
      </c>
      <c r="T80" s="23" t="str">
        <f aca="false">IF(N($P80)=0,"",$S80/$P80)</f>
        <v/>
      </c>
      <c r="U80" s="36"/>
      <c r="V80" s="25" t="str">
        <f aca="false">IF($A80="","",SUMIFS(工数明細!$G$3:$G$302,工数明細!$B$3:$B$302,$A80))</f>
        <v/>
      </c>
      <c r="W80" s="26" t="str">
        <f aca="false">IF($U80="","",$U80-N($V80))</f>
        <v/>
      </c>
      <c r="X80" s="23" t="str">
        <f aca="false">IF(N($U80)=0,"",$V80/$U80)</f>
        <v/>
      </c>
      <c r="Y80" s="20" t="str">
        <f aca="false">IF(N($U80)=0,"",IF($V80&gt;$U80,"超過",IF($V80&gt;=$U80*0.9,"注意","適正")))</f>
        <v/>
      </c>
      <c r="Z80" s="27" t="str">
        <f aca="true">IF($L80="","",IF($M80&lt;&gt;"",$M80-$L80,IF(TODAY()&gt;$L80,TODAY()-$L80,0)))</f>
        <v/>
      </c>
      <c r="AA80" s="37"/>
    </row>
    <row r="81" customFormat="false" ht="18" hidden="false" customHeight="true" outlineLevel="0" collapsed="false">
      <c r="A81" s="30"/>
      <c r="B81" s="31"/>
      <c r="C81" s="31"/>
      <c r="D81" s="31"/>
      <c r="E81" s="31"/>
      <c r="F81" s="32"/>
      <c r="G81" s="31"/>
      <c r="H81" s="31"/>
      <c r="I81" s="33"/>
      <c r="J81" s="34"/>
      <c r="K81" s="34"/>
      <c r="L81" s="34"/>
      <c r="M81" s="34"/>
      <c r="N81" s="19" t="str">
        <f aca="false">IF($J81="","",YEAR($J81)-IF(MONTH($J81)&lt;マスタ!$B$4,1,0))</f>
        <v/>
      </c>
      <c r="O81" s="20" t="str">
        <f aca="false">IF($J81="","","Q"&amp;(INT(MOD(MONTH($J81)-マスタ!$B$4+12,12)/3)+1))</f>
        <v/>
      </c>
      <c r="P81" s="35"/>
      <c r="Q81" s="22" t="str">
        <f aca="false">IF($P81="","",$P81*N($F81))</f>
        <v/>
      </c>
      <c r="R81" s="35"/>
      <c r="S81" s="22" t="str">
        <f aca="false">IF($P81="","",$P81-N($R81))</f>
        <v/>
      </c>
      <c r="T81" s="23" t="str">
        <f aca="false">IF(N($P81)=0,"",$S81/$P81)</f>
        <v/>
      </c>
      <c r="U81" s="36"/>
      <c r="V81" s="25" t="str">
        <f aca="false">IF($A81="","",SUMIFS(工数明細!$G$3:$G$302,工数明細!$B$3:$B$302,$A81))</f>
        <v/>
      </c>
      <c r="W81" s="26" t="str">
        <f aca="false">IF($U81="","",$U81-N($V81))</f>
        <v/>
      </c>
      <c r="X81" s="23" t="str">
        <f aca="false">IF(N($U81)=0,"",$V81/$U81)</f>
        <v/>
      </c>
      <c r="Y81" s="20" t="str">
        <f aca="false">IF(N($U81)=0,"",IF($V81&gt;$U81,"超過",IF($V81&gt;=$U81*0.9,"注意","適正")))</f>
        <v/>
      </c>
      <c r="Z81" s="27" t="str">
        <f aca="true">IF($L81="","",IF($M81&lt;&gt;"",$M81-$L81,IF(TODAY()&gt;$L81,TODAY()-$L81,0)))</f>
        <v/>
      </c>
      <c r="AA81" s="37"/>
    </row>
    <row r="82" customFormat="false" ht="18" hidden="false" customHeight="true" outlineLevel="0" collapsed="false">
      <c r="A82" s="30"/>
      <c r="B82" s="31"/>
      <c r="C82" s="31"/>
      <c r="D82" s="31"/>
      <c r="E82" s="31"/>
      <c r="F82" s="32"/>
      <c r="G82" s="31"/>
      <c r="H82" s="31"/>
      <c r="I82" s="33"/>
      <c r="J82" s="34"/>
      <c r="K82" s="34"/>
      <c r="L82" s="34"/>
      <c r="M82" s="34"/>
      <c r="N82" s="19" t="str">
        <f aca="false">IF($J82="","",YEAR($J82)-IF(MONTH($J82)&lt;マスタ!$B$4,1,0))</f>
        <v/>
      </c>
      <c r="O82" s="20" t="str">
        <f aca="false">IF($J82="","","Q"&amp;(INT(MOD(MONTH($J82)-マスタ!$B$4+12,12)/3)+1))</f>
        <v/>
      </c>
      <c r="P82" s="35"/>
      <c r="Q82" s="22" t="str">
        <f aca="false">IF($P82="","",$P82*N($F82))</f>
        <v/>
      </c>
      <c r="R82" s="35"/>
      <c r="S82" s="22" t="str">
        <f aca="false">IF($P82="","",$P82-N($R82))</f>
        <v/>
      </c>
      <c r="T82" s="23" t="str">
        <f aca="false">IF(N($P82)=0,"",$S82/$P82)</f>
        <v/>
      </c>
      <c r="U82" s="36"/>
      <c r="V82" s="25" t="str">
        <f aca="false">IF($A82="","",SUMIFS(工数明細!$G$3:$G$302,工数明細!$B$3:$B$302,$A82))</f>
        <v/>
      </c>
      <c r="W82" s="26" t="str">
        <f aca="false">IF($U82="","",$U82-N($V82))</f>
        <v/>
      </c>
      <c r="X82" s="23" t="str">
        <f aca="false">IF(N($U82)=0,"",$V82/$U82)</f>
        <v/>
      </c>
      <c r="Y82" s="20" t="str">
        <f aca="false">IF(N($U82)=0,"",IF($V82&gt;$U82,"超過",IF($V82&gt;=$U82*0.9,"注意","適正")))</f>
        <v/>
      </c>
      <c r="Z82" s="27" t="str">
        <f aca="true">IF($L82="","",IF($M82&lt;&gt;"",$M82-$L82,IF(TODAY()&gt;$L82,TODAY()-$L82,0)))</f>
        <v/>
      </c>
      <c r="AA82" s="37"/>
    </row>
    <row r="83" customFormat="false" ht="18" hidden="false" customHeight="true" outlineLevel="0" collapsed="false">
      <c r="A83" s="30"/>
      <c r="B83" s="31"/>
      <c r="C83" s="31"/>
      <c r="D83" s="31"/>
      <c r="E83" s="31"/>
      <c r="F83" s="32"/>
      <c r="G83" s="31"/>
      <c r="H83" s="31"/>
      <c r="I83" s="33"/>
      <c r="J83" s="34"/>
      <c r="K83" s="34"/>
      <c r="L83" s="34"/>
      <c r="M83" s="34"/>
      <c r="N83" s="19" t="str">
        <f aca="false">IF($J83="","",YEAR($J83)-IF(MONTH($J83)&lt;マスタ!$B$4,1,0))</f>
        <v/>
      </c>
      <c r="O83" s="20" t="str">
        <f aca="false">IF($J83="","","Q"&amp;(INT(MOD(MONTH($J83)-マスタ!$B$4+12,12)/3)+1))</f>
        <v/>
      </c>
      <c r="P83" s="35"/>
      <c r="Q83" s="22" t="str">
        <f aca="false">IF($P83="","",$P83*N($F83))</f>
        <v/>
      </c>
      <c r="R83" s="35"/>
      <c r="S83" s="22" t="str">
        <f aca="false">IF($P83="","",$P83-N($R83))</f>
        <v/>
      </c>
      <c r="T83" s="23" t="str">
        <f aca="false">IF(N($P83)=0,"",$S83/$P83)</f>
        <v/>
      </c>
      <c r="U83" s="36"/>
      <c r="V83" s="25" t="str">
        <f aca="false">IF($A83="","",SUMIFS(工数明細!$G$3:$G$302,工数明細!$B$3:$B$302,$A83))</f>
        <v/>
      </c>
      <c r="W83" s="26" t="str">
        <f aca="false">IF($U83="","",$U83-N($V83))</f>
        <v/>
      </c>
      <c r="X83" s="23" t="str">
        <f aca="false">IF(N($U83)=0,"",$V83/$U83)</f>
        <v/>
      </c>
      <c r="Y83" s="20" t="str">
        <f aca="false">IF(N($U83)=0,"",IF($V83&gt;$U83,"超過",IF($V83&gt;=$U83*0.9,"注意","適正")))</f>
        <v/>
      </c>
      <c r="Z83" s="27" t="str">
        <f aca="true">IF($L83="","",IF($M83&lt;&gt;"",$M83-$L83,IF(TODAY()&gt;$L83,TODAY()-$L83,0)))</f>
        <v/>
      </c>
      <c r="AA83" s="37"/>
    </row>
    <row r="84" customFormat="false" ht="18" hidden="false" customHeight="true" outlineLevel="0" collapsed="false">
      <c r="A84" s="30"/>
      <c r="B84" s="31"/>
      <c r="C84" s="31"/>
      <c r="D84" s="31"/>
      <c r="E84" s="31"/>
      <c r="F84" s="32"/>
      <c r="G84" s="31"/>
      <c r="H84" s="31"/>
      <c r="I84" s="33"/>
      <c r="J84" s="34"/>
      <c r="K84" s="34"/>
      <c r="L84" s="34"/>
      <c r="M84" s="34"/>
      <c r="N84" s="19" t="str">
        <f aca="false">IF($J84="","",YEAR($J84)-IF(MONTH($J84)&lt;マスタ!$B$4,1,0))</f>
        <v/>
      </c>
      <c r="O84" s="20" t="str">
        <f aca="false">IF($J84="","","Q"&amp;(INT(MOD(MONTH($J84)-マスタ!$B$4+12,12)/3)+1))</f>
        <v/>
      </c>
      <c r="P84" s="35"/>
      <c r="Q84" s="22" t="str">
        <f aca="false">IF($P84="","",$P84*N($F84))</f>
        <v/>
      </c>
      <c r="R84" s="35"/>
      <c r="S84" s="22" t="str">
        <f aca="false">IF($P84="","",$P84-N($R84))</f>
        <v/>
      </c>
      <c r="T84" s="23" t="str">
        <f aca="false">IF(N($P84)=0,"",$S84/$P84)</f>
        <v/>
      </c>
      <c r="U84" s="36"/>
      <c r="V84" s="25" t="str">
        <f aca="false">IF($A84="","",SUMIFS(工数明細!$G$3:$G$302,工数明細!$B$3:$B$302,$A84))</f>
        <v/>
      </c>
      <c r="W84" s="26" t="str">
        <f aca="false">IF($U84="","",$U84-N($V84))</f>
        <v/>
      </c>
      <c r="X84" s="23" t="str">
        <f aca="false">IF(N($U84)=0,"",$V84/$U84)</f>
        <v/>
      </c>
      <c r="Y84" s="20" t="str">
        <f aca="false">IF(N($U84)=0,"",IF($V84&gt;$U84,"超過",IF($V84&gt;=$U84*0.9,"注意","適正")))</f>
        <v/>
      </c>
      <c r="Z84" s="27" t="str">
        <f aca="true">IF($L84="","",IF($M84&lt;&gt;"",$M84-$L84,IF(TODAY()&gt;$L84,TODAY()-$L84,0)))</f>
        <v/>
      </c>
      <c r="AA84" s="37"/>
    </row>
    <row r="85" customFormat="false" ht="18" hidden="false" customHeight="true" outlineLevel="0" collapsed="false">
      <c r="A85" s="30"/>
      <c r="B85" s="31"/>
      <c r="C85" s="31"/>
      <c r="D85" s="31"/>
      <c r="E85" s="31"/>
      <c r="F85" s="32"/>
      <c r="G85" s="31"/>
      <c r="H85" s="31"/>
      <c r="I85" s="33"/>
      <c r="J85" s="34"/>
      <c r="K85" s="34"/>
      <c r="L85" s="34"/>
      <c r="M85" s="34"/>
      <c r="N85" s="19" t="str">
        <f aca="false">IF($J85="","",YEAR($J85)-IF(MONTH($J85)&lt;マスタ!$B$4,1,0))</f>
        <v/>
      </c>
      <c r="O85" s="20" t="str">
        <f aca="false">IF($J85="","","Q"&amp;(INT(MOD(MONTH($J85)-マスタ!$B$4+12,12)/3)+1))</f>
        <v/>
      </c>
      <c r="P85" s="35"/>
      <c r="Q85" s="22" t="str">
        <f aca="false">IF($P85="","",$P85*N($F85))</f>
        <v/>
      </c>
      <c r="R85" s="35"/>
      <c r="S85" s="22" t="str">
        <f aca="false">IF($P85="","",$P85-N($R85))</f>
        <v/>
      </c>
      <c r="T85" s="23" t="str">
        <f aca="false">IF(N($P85)=0,"",$S85/$P85)</f>
        <v/>
      </c>
      <c r="U85" s="36"/>
      <c r="V85" s="25" t="str">
        <f aca="false">IF($A85="","",SUMIFS(工数明細!$G$3:$G$302,工数明細!$B$3:$B$302,$A85))</f>
        <v/>
      </c>
      <c r="W85" s="26" t="str">
        <f aca="false">IF($U85="","",$U85-N($V85))</f>
        <v/>
      </c>
      <c r="X85" s="23" t="str">
        <f aca="false">IF(N($U85)=0,"",$V85/$U85)</f>
        <v/>
      </c>
      <c r="Y85" s="20" t="str">
        <f aca="false">IF(N($U85)=0,"",IF($V85&gt;$U85,"超過",IF($V85&gt;=$U85*0.9,"注意","適正")))</f>
        <v/>
      </c>
      <c r="Z85" s="27" t="str">
        <f aca="true">IF($L85="","",IF($M85&lt;&gt;"",$M85-$L85,IF(TODAY()&gt;$L85,TODAY()-$L85,0)))</f>
        <v/>
      </c>
      <c r="AA85" s="37"/>
    </row>
    <row r="86" customFormat="false" ht="18" hidden="false" customHeight="true" outlineLevel="0" collapsed="false">
      <c r="A86" s="30"/>
      <c r="B86" s="31"/>
      <c r="C86" s="31"/>
      <c r="D86" s="31"/>
      <c r="E86" s="31"/>
      <c r="F86" s="32"/>
      <c r="G86" s="31"/>
      <c r="H86" s="31"/>
      <c r="I86" s="33"/>
      <c r="J86" s="34"/>
      <c r="K86" s="34"/>
      <c r="L86" s="34"/>
      <c r="M86" s="34"/>
      <c r="N86" s="19" t="str">
        <f aca="false">IF($J86="","",YEAR($J86)-IF(MONTH($J86)&lt;マスタ!$B$4,1,0))</f>
        <v/>
      </c>
      <c r="O86" s="20" t="str">
        <f aca="false">IF($J86="","","Q"&amp;(INT(MOD(MONTH($J86)-マスタ!$B$4+12,12)/3)+1))</f>
        <v/>
      </c>
      <c r="P86" s="35"/>
      <c r="Q86" s="22" t="str">
        <f aca="false">IF($P86="","",$P86*N($F86))</f>
        <v/>
      </c>
      <c r="R86" s="35"/>
      <c r="S86" s="22" t="str">
        <f aca="false">IF($P86="","",$P86-N($R86))</f>
        <v/>
      </c>
      <c r="T86" s="23" t="str">
        <f aca="false">IF(N($P86)=0,"",$S86/$P86)</f>
        <v/>
      </c>
      <c r="U86" s="36"/>
      <c r="V86" s="25" t="str">
        <f aca="false">IF($A86="","",SUMIFS(工数明細!$G$3:$G$302,工数明細!$B$3:$B$302,$A86))</f>
        <v/>
      </c>
      <c r="W86" s="26" t="str">
        <f aca="false">IF($U86="","",$U86-N($V86))</f>
        <v/>
      </c>
      <c r="X86" s="23" t="str">
        <f aca="false">IF(N($U86)=0,"",$V86/$U86)</f>
        <v/>
      </c>
      <c r="Y86" s="20" t="str">
        <f aca="false">IF(N($U86)=0,"",IF($V86&gt;$U86,"超過",IF($V86&gt;=$U86*0.9,"注意","適正")))</f>
        <v/>
      </c>
      <c r="Z86" s="27" t="str">
        <f aca="true">IF($L86="","",IF($M86&lt;&gt;"",$M86-$L86,IF(TODAY()&gt;$L86,TODAY()-$L86,0)))</f>
        <v/>
      </c>
      <c r="AA86" s="37"/>
    </row>
    <row r="87" customFormat="false" ht="18" hidden="false" customHeight="true" outlineLevel="0" collapsed="false">
      <c r="A87" s="30"/>
      <c r="B87" s="31"/>
      <c r="C87" s="31"/>
      <c r="D87" s="31"/>
      <c r="E87" s="31"/>
      <c r="F87" s="32"/>
      <c r="G87" s="31"/>
      <c r="H87" s="31"/>
      <c r="I87" s="33"/>
      <c r="J87" s="34"/>
      <c r="K87" s="34"/>
      <c r="L87" s="34"/>
      <c r="M87" s="34"/>
      <c r="N87" s="19" t="str">
        <f aca="false">IF($J87="","",YEAR($J87)-IF(MONTH($J87)&lt;マスタ!$B$4,1,0))</f>
        <v/>
      </c>
      <c r="O87" s="20" t="str">
        <f aca="false">IF($J87="","","Q"&amp;(INT(MOD(MONTH($J87)-マスタ!$B$4+12,12)/3)+1))</f>
        <v/>
      </c>
      <c r="P87" s="35"/>
      <c r="Q87" s="22" t="str">
        <f aca="false">IF($P87="","",$P87*N($F87))</f>
        <v/>
      </c>
      <c r="R87" s="35"/>
      <c r="S87" s="22" t="str">
        <f aca="false">IF($P87="","",$P87-N($R87))</f>
        <v/>
      </c>
      <c r="T87" s="23" t="str">
        <f aca="false">IF(N($P87)=0,"",$S87/$P87)</f>
        <v/>
      </c>
      <c r="U87" s="36"/>
      <c r="V87" s="25" t="str">
        <f aca="false">IF($A87="","",SUMIFS(工数明細!$G$3:$G$302,工数明細!$B$3:$B$302,$A87))</f>
        <v/>
      </c>
      <c r="W87" s="26" t="str">
        <f aca="false">IF($U87="","",$U87-N($V87))</f>
        <v/>
      </c>
      <c r="X87" s="23" t="str">
        <f aca="false">IF(N($U87)=0,"",$V87/$U87)</f>
        <v/>
      </c>
      <c r="Y87" s="20" t="str">
        <f aca="false">IF(N($U87)=0,"",IF($V87&gt;$U87,"超過",IF($V87&gt;=$U87*0.9,"注意","適正")))</f>
        <v/>
      </c>
      <c r="Z87" s="27" t="str">
        <f aca="true">IF($L87="","",IF($M87&lt;&gt;"",$M87-$L87,IF(TODAY()&gt;$L87,TODAY()-$L87,0)))</f>
        <v/>
      </c>
      <c r="AA87" s="37"/>
    </row>
    <row r="88" customFormat="false" ht="18" hidden="false" customHeight="true" outlineLevel="0" collapsed="false">
      <c r="A88" s="30"/>
      <c r="B88" s="31"/>
      <c r="C88" s="31"/>
      <c r="D88" s="31"/>
      <c r="E88" s="31"/>
      <c r="F88" s="32"/>
      <c r="G88" s="31"/>
      <c r="H88" s="31"/>
      <c r="I88" s="33"/>
      <c r="J88" s="34"/>
      <c r="K88" s="34"/>
      <c r="L88" s="34"/>
      <c r="M88" s="34"/>
      <c r="N88" s="19" t="str">
        <f aca="false">IF($J88="","",YEAR($J88)-IF(MONTH($J88)&lt;マスタ!$B$4,1,0))</f>
        <v/>
      </c>
      <c r="O88" s="20" t="str">
        <f aca="false">IF($J88="","","Q"&amp;(INT(MOD(MONTH($J88)-マスタ!$B$4+12,12)/3)+1))</f>
        <v/>
      </c>
      <c r="P88" s="35"/>
      <c r="Q88" s="22" t="str">
        <f aca="false">IF($P88="","",$P88*N($F88))</f>
        <v/>
      </c>
      <c r="R88" s="35"/>
      <c r="S88" s="22" t="str">
        <f aca="false">IF($P88="","",$P88-N($R88))</f>
        <v/>
      </c>
      <c r="T88" s="23" t="str">
        <f aca="false">IF(N($P88)=0,"",$S88/$P88)</f>
        <v/>
      </c>
      <c r="U88" s="36"/>
      <c r="V88" s="25" t="str">
        <f aca="false">IF($A88="","",SUMIFS(工数明細!$G$3:$G$302,工数明細!$B$3:$B$302,$A88))</f>
        <v/>
      </c>
      <c r="W88" s="26" t="str">
        <f aca="false">IF($U88="","",$U88-N($V88))</f>
        <v/>
      </c>
      <c r="X88" s="23" t="str">
        <f aca="false">IF(N($U88)=0,"",$V88/$U88)</f>
        <v/>
      </c>
      <c r="Y88" s="20" t="str">
        <f aca="false">IF(N($U88)=0,"",IF($V88&gt;$U88,"超過",IF($V88&gt;=$U88*0.9,"注意","適正")))</f>
        <v/>
      </c>
      <c r="Z88" s="27" t="str">
        <f aca="true">IF($L88="","",IF($M88&lt;&gt;"",$M88-$L88,IF(TODAY()&gt;$L88,TODAY()-$L88,0)))</f>
        <v/>
      </c>
      <c r="AA88" s="37"/>
    </row>
    <row r="89" customFormat="false" ht="18" hidden="false" customHeight="true" outlineLevel="0" collapsed="false">
      <c r="A89" s="30"/>
      <c r="B89" s="31"/>
      <c r="C89" s="31"/>
      <c r="D89" s="31"/>
      <c r="E89" s="31"/>
      <c r="F89" s="32"/>
      <c r="G89" s="31"/>
      <c r="H89" s="31"/>
      <c r="I89" s="33"/>
      <c r="J89" s="34"/>
      <c r="K89" s="34"/>
      <c r="L89" s="34"/>
      <c r="M89" s="34"/>
      <c r="N89" s="19" t="str">
        <f aca="false">IF($J89="","",YEAR($J89)-IF(MONTH($J89)&lt;マスタ!$B$4,1,0))</f>
        <v/>
      </c>
      <c r="O89" s="20" t="str">
        <f aca="false">IF($J89="","","Q"&amp;(INT(MOD(MONTH($J89)-マスタ!$B$4+12,12)/3)+1))</f>
        <v/>
      </c>
      <c r="P89" s="35"/>
      <c r="Q89" s="22" t="str">
        <f aca="false">IF($P89="","",$P89*N($F89))</f>
        <v/>
      </c>
      <c r="R89" s="35"/>
      <c r="S89" s="22" t="str">
        <f aca="false">IF($P89="","",$P89-N($R89))</f>
        <v/>
      </c>
      <c r="T89" s="23" t="str">
        <f aca="false">IF(N($P89)=0,"",$S89/$P89)</f>
        <v/>
      </c>
      <c r="U89" s="36"/>
      <c r="V89" s="25" t="str">
        <f aca="false">IF($A89="","",SUMIFS(工数明細!$G$3:$G$302,工数明細!$B$3:$B$302,$A89))</f>
        <v/>
      </c>
      <c r="W89" s="26" t="str">
        <f aca="false">IF($U89="","",$U89-N($V89))</f>
        <v/>
      </c>
      <c r="X89" s="23" t="str">
        <f aca="false">IF(N($U89)=0,"",$V89/$U89)</f>
        <v/>
      </c>
      <c r="Y89" s="20" t="str">
        <f aca="false">IF(N($U89)=0,"",IF($V89&gt;$U89,"超過",IF($V89&gt;=$U89*0.9,"注意","適正")))</f>
        <v/>
      </c>
      <c r="Z89" s="27" t="str">
        <f aca="true">IF($L89="","",IF($M89&lt;&gt;"",$M89-$L89,IF(TODAY()&gt;$L89,TODAY()-$L89,0)))</f>
        <v/>
      </c>
      <c r="AA89" s="37"/>
    </row>
    <row r="90" customFormat="false" ht="18" hidden="false" customHeight="true" outlineLevel="0" collapsed="false">
      <c r="A90" s="30"/>
      <c r="B90" s="31"/>
      <c r="C90" s="31"/>
      <c r="D90" s="31"/>
      <c r="E90" s="31"/>
      <c r="F90" s="32"/>
      <c r="G90" s="31"/>
      <c r="H90" s="31"/>
      <c r="I90" s="33"/>
      <c r="J90" s="34"/>
      <c r="K90" s="34"/>
      <c r="L90" s="34"/>
      <c r="M90" s="34"/>
      <c r="N90" s="19" t="str">
        <f aca="false">IF($J90="","",YEAR($J90)-IF(MONTH($J90)&lt;マスタ!$B$4,1,0))</f>
        <v/>
      </c>
      <c r="O90" s="20" t="str">
        <f aca="false">IF($J90="","","Q"&amp;(INT(MOD(MONTH($J90)-マスタ!$B$4+12,12)/3)+1))</f>
        <v/>
      </c>
      <c r="P90" s="35"/>
      <c r="Q90" s="22" t="str">
        <f aca="false">IF($P90="","",$P90*N($F90))</f>
        <v/>
      </c>
      <c r="R90" s="35"/>
      <c r="S90" s="22" t="str">
        <f aca="false">IF($P90="","",$P90-N($R90))</f>
        <v/>
      </c>
      <c r="T90" s="23" t="str">
        <f aca="false">IF(N($P90)=0,"",$S90/$P90)</f>
        <v/>
      </c>
      <c r="U90" s="36"/>
      <c r="V90" s="25" t="str">
        <f aca="false">IF($A90="","",SUMIFS(工数明細!$G$3:$G$302,工数明細!$B$3:$B$302,$A90))</f>
        <v/>
      </c>
      <c r="W90" s="26" t="str">
        <f aca="false">IF($U90="","",$U90-N($V90))</f>
        <v/>
      </c>
      <c r="X90" s="23" t="str">
        <f aca="false">IF(N($U90)=0,"",$V90/$U90)</f>
        <v/>
      </c>
      <c r="Y90" s="20" t="str">
        <f aca="false">IF(N($U90)=0,"",IF($V90&gt;$U90,"超過",IF($V90&gt;=$U90*0.9,"注意","適正")))</f>
        <v/>
      </c>
      <c r="Z90" s="27" t="str">
        <f aca="true">IF($L90="","",IF($M90&lt;&gt;"",$M90-$L90,IF(TODAY()&gt;$L90,TODAY()-$L90,0)))</f>
        <v/>
      </c>
      <c r="AA90" s="37"/>
    </row>
    <row r="91" customFormat="false" ht="18" hidden="false" customHeight="true" outlineLevel="0" collapsed="false">
      <c r="A91" s="30"/>
      <c r="B91" s="31"/>
      <c r="C91" s="31"/>
      <c r="D91" s="31"/>
      <c r="E91" s="31"/>
      <c r="F91" s="32"/>
      <c r="G91" s="31"/>
      <c r="H91" s="31"/>
      <c r="I91" s="33"/>
      <c r="J91" s="34"/>
      <c r="K91" s="34"/>
      <c r="L91" s="34"/>
      <c r="M91" s="34"/>
      <c r="N91" s="19" t="str">
        <f aca="false">IF($J91="","",YEAR($J91)-IF(MONTH($J91)&lt;マスタ!$B$4,1,0))</f>
        <v/>
      </c>
      <c r="O91" s="20" t="str">
        <f aca="false">IF($J91="","","Q"&amp;(INT(MOD(MONTH($J91)-マスタ!$B$4+12,12)/3)+1))</f>
        <v/>
      </c>
      <c r="P91" s="35"/>
      <c r="Q91" s="22" t="str">
        <f aca="false">IF($P91="","",$P91*N($F91))</f>
        <v/>
      </c>
      <c r="R91" s="35"/>
      <c r="S91" s="22" t="str">
        <f aca="false">IF($P91="","",$P91-N($R91))</f>
        <v/>
      </c>
      <c r="T91" s="23" t="str">
        <f aca="false">IF(N($P91)=0,"",$S91/$P91)</f>
        <v/>
      </c>
      <c r="U91" s="36"/>
      <c r="V91" s="25" t="str">
        <f aca="false">IF($A91="","",SUMIFS(工数明細!$G$3:$G$302,工数明細!$B$3:$B$302,$A91))</f>
        <v/>
      </c>
      <c r="W91" s="26" t="str">
        <f aca="false">IF($U91="","",$U91-N($V91))</f>
        <v/>
      </c>
      <c r="X91" s="23" t="str">
        <f aca="false">IF(N($U91)=0,"",$V91/$U91)</f>
        <v/>
      </c>
      <c r="Y91" s="20" t="str">
        <f aca="false">IF(N($U91)=0,"",IF($V91&gt;$U91,"超過",IF($V91&gt;=$U91*0.9,"注意","適正")))</f>
        <v/>
      </c>
      <c r="Z91" s="27" t="str">
        <f aca="true">IF($L91="","",IF($M91&lt;&gt;"",$M91-$L91,IF(TODAY()&gt;$L91,TODAY()-$L91,0)))</f>
        <v/>
      </c>
      <c r="AA91" s="37"/>
    </row>
    <row r="92" customFormat="false" ht="18" hidden="false" customHeight="true" outlineLevel="0" collapsed="false">
      <c r="A92" s="30"/>
      <c r="B92" s="31"/>
      <c r="C92" s="31"/>
      <c r="D92" s="31"/>
      <c r="E92" s="31"/>
      <c r="F92" s="32"/>
      <c r="G92" s="31"/>
      <c r="H92" s="31"/>
      <c r="I92" s="33"/>
      <c r="J92" s="34"/>
      <c r="K92" s="34"/>
      <c r="L92" s="34"/>
      <c r="M92" s="34"/>
      <c r="N92" s="19" t="str">
        <f aca="false">IF($J92="","",YEAR($J92)-IF(MONTH($J92)&lt;マスタ!$B$4,1,0))</f>
        <v/>
      </c>
      <c r="O92" s="20" t="str">
        <f aca="false">IF($J92="","","Q"&amp;(INT(MOD(MONTH($J92)-マスタ!$B$4+12,12)/3)+1))</f>
        <v/>
      </c>
      <c r="P92" s="35"/>
      <c r="Q92" s="22" t="str">
        <f aca="false">IF($P92="","",$P92*N($F92))</f>
        <v/>
      </c>
      <c r="R92" s="35"/>
      <c r="S92" s="22" t="str">
        <f aca="false">IF($P92="","",$P92-N($R92))</f>
        <v/>
      </c>
      <c r="T92" s="23" t="str">
        <f aca="false">IF(N($P92)=0,"",$S92/$P92)</f>
        <v/>
      </c>
      <c r="U92" s="36"/>
      <c r="V92" s="25" t="str">
        <f aca="false">IF($A92="","",SUMIFS(工数明細!$G$3:$G$302,工数明細!$B$3:$B$302,$A92))</f>
        <v/>
      </c>
      <c r="W92" s="26" t="str">
        <f aca="false">IF($U92="","",$U92-N($V92))</f>
        <v/>
      </c>
      <c r="X92" s="23" t="str">
        <f aca="false">IF(N($U92)=0,"",$V92/$U92)</f>
        <v/>
      </c>
      <c r="Y92" s="20" t="str">
        <f aca="false">IF(N($U92)=0,"",IF($V92&gt;$U92,"超過",IF($V92&gt;=$U92*0.9,"注意","適正")))</f>
        <v/>
      </c>
      <c r="Z92" s="27" t="str">
        <f aca="true">IF($L92="","",IF($M92&lt;&gt;"",$M92-$L92,IF(TODAY()&gt;$L92,TODAY()-$L92,0)))</f>
        <v/>
      </c>
      <c r="AA92" s="37"/>
    </row>
    <row r="93" customFormat="false" ht="18" hidden="false" customHeight="true" outlineLevel="0" collapsed="false">
      <c r="A93" s="30"/>
      <c r="B93" s="31"/>
      <c r="C93" s="31"/>
      <c r="D93" s="31"/>
      <c r="E93" s="31"/>
      <c r="F93" s="32"/>
      <c r="G93" s="31"/>
      <c r="H93" s="31"/>
      <c r="I93" s="33"/>
      <c r="J93" s="34"/>
      <c r="K93" s="34"/>
      <c r="L93" s="34"/>
      <c r="M93" s="34"/>
      <c r="N93" s="19" t="str">
        <f aca="false">IF($J93="","",YEAR($J93)-IF(MONTH($J93)&lt;マスタ!$B$4,1,0))</f>
        <v/>
      </c>
      <c r="O93" s="20" t="str">
        <f aca="false">IF($J93="","","Q"&amp;(INT(MOD(MONTH($J93)-マスタ!$B$4+12,12)/3)+1))</f>
        <v/>
      </c>
      <c r="P93" s="35"/>
      <c r="Q93" s="22" t="str">
        <f aca="false">IF($P93="","",$P93*N($F93))</f>
        <v/>
      </c>
      <c r="R93" s="35"/>
      <c r="S93" s="22" t="str">
        <f aca="false">IF($P93="","",$P93-N($R93))</f>
        <v/>
      </c>
      <c r="T93" s="23" t="str">
        <f aca="false">IF(N($P93)=0,"",$S93/$P93)</f>
        <v/>
      </c>
      <c r="U93" s="36"/>
      <c r="V93" s="25" t="str">
        <f aca="false">IF($A93="","",SUMIFS(工数明細!$G$3:$G$302,工数明細!$B$3:$B$302,$A93))</f>
        <v/>
      </c>
      <c r="W93" s="26" t="str">
        <f aca="false">IF($U93="","",$U93-N($V93))</f>
        <v/>
      </c>
      <c r="X93" s="23" t="str">
        <f aca="false">IF(N($U93)=0,"",$V93/$U93)</f>
        <v/>
      </c>
      <c r="Y93" s="20" t="str">
        <f aca="false">IF(N($U93)=0,"",IF($V93&gt;$U93,"超過",IF($V93&gt;=$U93*0.9,"注意","適正")))</f>
        <v/>
      </c>
      <c r="Z93" s="27" t="str">
        <f aca="true">IF($L93="","",IF($M93&lt;&gt;"",$M93-$L93,IF(TODAY()&gt;$L93,TODAY()-$L93,0)))</f>
        <v/>
      </c>
      <c r="AA93" s="37"/>
    </row>
    <row r="94" customFormat="false" ht="18" hidden="false" customHeight="true" outlineLevel="0" collapsed="false">
      <c r="A94" s="30"/>
      <c r="B94" s="31"/>
      <c r="C94" s="31"/>
      <c r="D94" s="31"/>
      <c r="E94" s="31"/>
      <c r="F94" s="32"/>
      <c r="G94" s="31"/>
      <c r="H94" s="31"/>
      <c r="I94" s="33"/>
      <c r="J94" s="34"/>
      <c r="K94" s="34"/>
      <c r="L94" s="34"/>
      <c r="M94" s="34"/>
      <c r="N94" s="19" t="str">
        <f aca="false">IF($J94="","",YEAR($J94)-IF(MONTH($J94)&lt;マスタ!$B$4,1,0))</f>
        <v/>
      </c>
      <c r="O94" s="20" t="str">
        <f aca="false">IF($J94="","","Q"&amp;(INT(MOD(MONTH($J94)-マスタ!$B$4+12,12)/3)+1))</f>
        <v/>
      </c>
      <c r="P94" s="35"/>
      <c r="Q94" s="22" t="str">
        <f aca="false">IF($P94="","",$P94*N($F94))</f>
        <v/>
      </c>
      <c r="R94" s="35"/>
      <c r="S94" s="22" t="str">
        <f aca="false">IF($P94="","",$P94-N($R94))</f>
        <v/>
      </c>
      <c r="T94" s="23" t="str">
        <f aca="false">IF(N($P94)=0,"",$S94/$P94)</f>
        <v/>
      </c>
      <c r="U94" s="36"/>
      <c r="V94" s="25" t="str">
        <f aca="false">IF($A94="","",SUMIFS(工数明細!$G$3:$G$302,工数明細!$B$3:$B$302,$A94))</f>
        <v/>
      </c>
      <c r="W94" s="26" t="str">
        <f aca="false">IF($U94="","",$U94-N($V94))</f>
        <v/>
      </c>
      <c r="X94" s="23" t="str">
        <f aca="false">IF(N($U94)=0,"",$V94/$U94)</f>
        <v/>
      </c>
      <c r="Y94" s="20" t="str">
        <f aca="false">IF(N($U94)=0,"",IF($V94&gt;$U94,"超過",IF($V94&gt;=$U94*0.9,"注意","適正")))</f>
        <v/>
      </c>
      <c r="Z94" s="27" t="str">
        <f aca="true">IF($L94="","",IF($M94&lt;&gt;"",$M94-$L94,IF(TODAY()&gt;$L94,TODAY()-$L94,0)))</f>
        <v/>
      </c>
      <c r="AA94" s="37"/>
    </row>
    <row r="95" customFormat="false" ht="18" hidden="false" customHeight="true" outlineLevel="0" collapsed="false">
      <c r="A95" s="30"/>
      <c r="B95" s="31"/>
      <c r="C95" s="31"/>
      <c r="D95" s="31"/>
      <c r="E95" s="31"/>
      <c r="F95" s="32"/>
      <c r="G95" s="31"/>
      <c r="H95" s="31"/>
      <c r="I95" s="33"/>
      <c r="J95" s="34"/>
      <c r="K95" s="34"/>
      <c r="L95" s="34"/>
      <c r="M95" s="34"/>
      <c r="N95" s="19" t="str">
        <f aca="false">IF($J95="","",YEAR($J95)-IF(MONTH($J95)&lt;マスタ!$B$4,1,0))</f>
        <v/>
      </c>
      <c r="O95" s="20" t="str">
        <f aca="false">IF($J95="","","Q"&amp;(INT(MOD(MONTH($J95)-マスタ!$B$4+12,12)/3)+1))</f>
        <v/>
      </c>
      <c r="P95" s="35"/>
      <c r="Q95" s="22" t="str">
        <f aca="false">IF($P95="","",$P95*N($F95))</f>
        <v/>
      </c>
      <c r="R95" s="35"/>
      <c r="S95" s="22" t="str">
        <f aca="false">IF($P95="","",$P95-N($R95))</f>
        <v/>
      </c>
      <c r="T95" s="23" t="str">
        <f aca="false">IF(N($P95)=0,"",$S95/$P95)</f>
        <v/>
      </c>
      <c r="U95" s="36"/>
      <c r="V95" s="25" t="str">
        <f aca="false">IF($A95="","",SUMIFS(工数明細!$G$3:$G$302,工数明細!$B$3:$B$302,$A95))</f>
        <v/>
      </c>
      <c r="W95" s="26" t="str">
        <f aca="false">IF($U95="","",$U95-N($V95))</f>
        <v/>
      </c>
      <c r="X95" s="23" t="str">
        <f aca="false">IF(N($U95)=0,"",$V95/$U95)</f>
        <v/>
      </c>
      <c r="Y95" s="20" t="str">
        <f aca="false">IF(N($U95)=0,"",IF($V95&gt;$U95,"超過",IF($V95&gt;=$U95*0.9,"注意","適正")))</f>
        <v/>
      </c>
      <c r="Z95" s="27" t="str">
        <f aca="true">IF($L95="","",IF($M95&lt;&gt;"",$M95-$L95,IF(TODAY()&gt;$L95,TODAY()-$L95,0)))</f>
        <v/>
      </c>
      <c r="AA95" s="37"/>
    </row>
    <row r="96" customFormat="false" ht="18" hidden="false" customHeight="true" outlineLevel="0" collapsed="false">
      <c r="A96" s="30"/>
      <c r="B96" s="31"/>
      <c r="C96" s="31"/>
      <c r="D96" s="31"/>
      <c r="E96" s="31"/>
      <c r="F96" s="32"/>
      <c r="G96" s="31"/>
      <c r="H96" s="31"/>
      <c r="I96" s="33"/>
      <c r="J96" s="34"/>
      <c r="K96" s="34"/>
      <c r="L96" s="34"/>
      <c r="M96" s="34"/>
      <c r="N96" s="19" t="str">
        <f aca="false">IF($J96="","",YEAR($J96)-IF(MONTH($J96)&lt;マスタ!$B$4,1,0))</f>
        <v/>
      </c>
      <c r="O96" s="20" t="str">
        <f aca="false">IF($J96="","","Q"&amp;(INT(MOD(MONTH($J96)-マスタ!$B$4+12,12)/3)+1))</f>
        <v/>
      </c>
      <c r="P96" s="35"/>
      <c r="Q96" s="22" t="str">
        <f aca="false">IF($P96="","",$P96*N($F96))</f>
        <v/>
      </c>
      <c r="R96" s="35"/>
      <c r="S96" s="22" t="str">
        <f aca="false">IF($P96="","",$P96-N($R96))</f>
        <v/>
      </c>
      <c r="T96" s="23" t="str">
        <f aca="false">IF(N($P96)=0,"",$S96/$P96)</f>
        <v/>
      </c>
      <c r="U96" s="36"/>
      <c r="V96" s="25" t="str">
        <f aca="false">IF($A96="","",SUMIFS(工数明細!$G$3:$G$302,工数明細!$B$3:$B$302,$A96))</f>
        <v/>
      </c>
      <c r="W96" s="26" t="str">
        <f aca="false">IF($U96="","",$U96-N($V96))</f>
        <v/>
      </c>
      <c r="X96" s="23" t="str">
        <f aca="false">IF(N($U96)=0,"",$V96/$U96)</f>
        <v/>
      </c>
      <c r="Y96" s="20" t="str">
        <f aca="false">IF(N($U96)=0,"",IF($V96&gt;$U96,"超過",IF($V96&gt;=$U96*0.9,"注意","適正")))</f>
        <v/>
      </c>
      <c r="Z96" s="27" t="str">
        <f aca="true">IF($L96="","",IF($M96&lt;&gt;"",$M96-$L96,IF(TODAY()&gt;$L96,TODAY()-$L96,0)))</f>
        <v/>
      </c>
      <c r="AA96" s="37"/>
    </row>
    <row r="97" customFormat="false" ht="18" hidden="false" customHeight="true" outlineLevel="0" collapsed="false">
      <c r="A97" s="30"/>
      <c r="B97" s="31"/>
      <c r="C97" s="31"/>
      <c r="D97" s="31"/>
      <c r="E97" s="31"/>
      <c r="F97" s="32"/>
      <c r="G97" s="31"/>
      <c r="H97" s="31"/>
      <c r="I97" s="33"/>
      <c r="J97" s="34"/>
      <c r="K97" s="34"/>
      <c r="L97" s="34"/>
      <c r="M97" s="34"/>
      <c r="N97" s="19" t="str">
        <f aca="false">IF($J97="","",YEAR($J97)-IF(MONTH($J97)&lt;マスタ!$B$4,1,0))</f>
        <v/>
      </c>
      <c r="O97" s="20" t="str">
        <f aca="false">IF($J97="","","Q"&amp;(INT(MOD(MONTH($J97)-マスタ!$B$4+12,12)/3)+1))</f>
        <v/>
      </c>
      <c r="P97" s="35"/>
      <c r="Q97" s="22" t="str">
        <f aca="false">IF($P97="","",$P97*N($F97))</f>
        <v/>
      </c>
      <c r="R97" s="35"/>
      <c r="S97" s="22" t="str">
        <f aca="false">IF($P97="","",$P97-N($R97))</f>
        <v/>
      </c>
      <c r="T97" s="23" t="str">
        <f aca="false">IF(N($P97)=0,"",$S97/$P97)</f>
        <v/>
      </c>
      <c r="U97" s="36"/>
      <c r="V97" s="25" t="str">
        <f aca="false">IF($A97="","",SUMIFS(工数明細!$G$3:$G$302,工数明細!$B$3:$B$302,$A97))</f>
        <v/>
      </c>
      <c r="W97" s="26" t="str">
        <f aca="false">IF($U97="","",$U97-N($V97))</f>
        <v/>
      </c>
      <c r="X97" s="23" t="str">
        <f aca="false">IF(N($U97)=0,"",$V97/$U97)</f>
        <v/>
      </c>
      <c r="Y97" s="20" t="str">
        <f aca="false">IF(N($U97)=0,"",IF($V97&gt;$U97,"超過",IF($V97&gt;=$U97*0.9,"注意","適正")))</f>
        <v/>
      </c>
      <c r="Z97" s="27" t="str">
        <f aca="true">IF($L97="","",IF($M97&lt;&gt;"",$M97-$L97,IF(TODAY()&gt;$L97,TODAY()-$L97,0)))</f>
        <v/>
      </c>
      <c r="AA97" s="37"/>
    </row>
    <row r="98" customFormat="false" ht="18" hidden="false" customHeight="true" outlineLevel="0" collapsed="false">
      <c r="A98" s="30"/>
      <c r="B98" s="31"/>
      <c r="C98" s="31"/>
      <c r="D98" s="31"/>
      <c r="E98" s="31"/>
      <c r="F98" s="32"/>
      <c r="G98" s="31"/>
      <c r="H98" s="31"/>
      <c r="I98" s="33"/>
      <c r="J98" s="34"/>
      <c r="K98" s="34"/>
      <c r="L98" s="34"/>
      <c r="M98" s="34"/>
      <c r="N98" s="19" t="str">
        <f aca="false">IF($J98="","",YEAR($J98)-IF(MONTH($J98)&lt;マスタ!$B$4,1,0))</f>
        <v/>
      </c>
      <c r="O98" s="20" t="str">
        <f aca="false">IF($J98="","","Q"&amp;(INT(MOD(MONTH($J98)-マスタ!$B$4+12,12)/3)+1))</f>
        <v/>
      </c>
      <c r="P98" s="35"/>
      <c r="Q98" s="22" t="str">
        <f aca="false">IF($P98="","",$P98*N($F98))</f>
        <v/>
      </c>
      <c r="R98" s="35"/>
      <c r="S98" s="22" t="str">
        <f aca="false">IF($P98="","",$P98-N($R98))</f>
        <v/>
      </c>
      <c r="T98" s="23" t="str">
        <f aca="false">IF(N($P98)=0,"",$S98/$P98)</f>
        <v/>
      </c>
      <c r="U98" s="36"/>
      <c r="V98" s="25" t="str">
        <f aca="false">IF($A98="","",SUMIFS(工数明細!$G$3:$G$302,工数明細!$B$3:$B$302,$A98))</f>
        <v/>
      </c>
      <c r="W98" s="26" t="str">
        <f aca="false">IF($U98="","",$U98-N($V98))</f>
        <v/>
      </c>
      <c r="X98" s="23" t="str">
        <f aca="false">IF(N($U98)=0,"",$V98/$U98)</f>
        <v/>
      </c>
      <c r="Y98" s="20" t="str">
        <f aca="false">IF(N($U98)=0,"",IF($V98&gt;$U98,"超過",IF($V98&gt;=$U98*0.9,"注意","適正")))</f>
        <v/>
      </c>
      <c r="Z98" s="27" t="str">
        <f aca="true">IF($L98="","",IF($M98&lt;&gt;"",$M98-$L98,IF(TODAY()&gt;$L98,TODAY()-$L98,0)))</f>
        <v/>
      </c>
      <c r="AA98" s="37"/>
    </row>
    <row r="99" customFormat="false" ht="18" hidden="false" customHeight="true" outlineLevel="0" collapsed="false">
      <c r="A99" s="30"/>
      <c r="B99" s="31"/>
      <c r="C99" s="31"/>
      <c r="D99" s="31"/>
      <c r="E99" s="31"/>
      <c r="F99" s="32"/>
      <c r="G99" s="31"/>
      <c r="H99" s="31"/>
      <c r="I99" s="33"/>
      <c r="J99" s="34"/>
      <c r="K99" s="34"/>
      <c r="L99" s="34"/>
      <c r="M99" s="34"/>
      <c r="N99" s="19" t="str">
        <f aca="false">IF($J99="","",YEAR($J99)-IF(MONTH($J99)&lt;マスタ!$B$4,1,0))</f>
        <v/>
      </c>
      <c r="O99" s="20" t="str">
        <f aca="false">IF($J99="","","Q"&amp;(INT(MOD(MONTH($J99)-マスタ!$B$4+12,12)/3)+1))</f>
        <v/>
      </c>
      <c r="P99" s="35"/>
      <c r="Q99" s="22" t="str">
        <f aca="false">IF($P99="","",$P99*N($F99))</f>
        <v/>
      </c>
      <c r="R99" s="35"/>
      <c r="S99" s="22" t="str">
        <f aca="false">IF($P99="","",$P99-N($R99))</f>
        <v/>
      </c>
      <c r="T99" s="23" t="str">
        <f aca="false">IF(N($P99)=0,"",$S99/$P99)</f>
        <v/>
      </c>
      <c r="U99" s="36"/>
      <c r="V99" s="25" t="str">
        <f aca="false">IF($A99="","",SUMIFS(工数明細!$G$3:$G$302,工数明細!$B$3:$B$302,$A99))</f>
        <v/>
      </c>
      <c r="W99" s="26" t="str">
        <f aca="false">IF($U99="","",$U99-N($V99))</f>
        <v/>
      </c>
      <c r="X99" s="23" t="str">
        <f aca="false">IF(N($U99)=0,"",$V99/$U99)</f>
        <v/>
      </c>
      <c r="Y99" s="20" t="str">
        <f aca="false">IF(N($U99)=0,"",IF($V99&gt;$U99,"超過",IF($V99&gt;=$U99*0.9,"注意","適正")))</f>
        <v/>
      </c>
      <c r="Z99" s="27" t="str">
        <f aca="true">IF($L99="","",IF($M99&lt;&gt;"",$M99-$L99,IF(TODAY()&gt;$L99,TODAY()-$L99,0)))</f>
        <v/>
      </c>
      <c r="AA99" s="37"/>
    </row>
    <row r="100" customFormat="false" ht="18" hidden="false" customHeight="true" outlineLevel="0" collapsed="false">
      <c r="A100" s="30"/>
      <c r="B100" s="31"/>
      <c r="C100" s="31"/>
      <c r="D100" s="31"/>
      <c r="E100" s="31"/>
      <c r="F100" s="32"/>
      <c r="G100" s="31"/>
      <c r="H100" s="31"/>
      <c r="I100" s="33"/>
      <c r="J100" s="34"/>
      <c r="K100" s="34"/>
      <c r="L100" s="34"/>
      <c r="M100" s="34"/>
      <c r="N100" s="19" t="str">
        <f aca="false">IF($J100="","",YEAR($J100)-IF(MONTH($J100)&lt;マスタ!$B$4,1,0))</f>
        <v/>
      </c>
      <c r="O100" s="20" t="str">
        <f aca="false">IF($J100="","","Q"&amp;(INT(MOD(MONTH($J100)-マスタ!$B$4+12,12)/3)+1))</f>
        <v/>
      </c>
      <c r="P100" s="35"/>
      <c r="Q100" s="22" t="str">
        <f aca="false">IF($P100="","",$P100*N($F100))</f>
        <v/>
      </c>
      <c r="R100" s="35"/>
      <c r="S100" s="22" t="str">
        <f aca="false">IF($P100="","",$P100-N($R100))</f>
        <v/>
      </c>
      <c r="T100" s="23" t="str">
        <f aca="false">IF(N($P100)=0,"",$S100/$P100)</f>
        <v/>
      </c>
      <c r="U100" s="36"/>
      <c r="V100" s="25" t="str">
        <f aca="false">IF($A100="","",SUMIFS(工数明細!$G$3:$G$302,工数明細!$B$3:$B$302,$A100))</f>
        <v/>
      </c>
      <c r="W100" s="26" t="str">
        <f aca="false">IF($U100="","",$U100-N($V100))</f>
        <v/>
      </c>
      <c r="X100" s="23" t="str">
        <f aca="false">IF(N($U100)=0,"",$V100/$U100)</f>
        <v/>
      </c>
      <c r="Y100" s="20" t="str">
        <f aca="false">IF(N($U100)=0,"",IF($V100&gt;$U100,"超過",IF($V100&gt;=$U100*0.9,"注意","適正")))</f>
        <v/>
      </c>
      <c r="Z100" s="27" t="str">
        <f aca="true">IF($L100="","",IF($M100&lt;&gt;"",$M100-$L100,IF(TODAY()&gt;$L100,TODAY()-$L100,0)))</f>
        <v/>
      </c>
      <c r="AA100" s="37"/>
    </row>
    <row r="101" customFormat="false" ht="18" hidden="false" customHeight="true" outlineLevel="0" collapsed="false">
      <c r="A101" s="30"/>
      <c r="B101" s="31"/>
      <c r="C101" s="31"/>
      <c r="D101" s="31"/>
      <c r="E101" s="31"/>
      <c r="F101" s="32"/>
      <c r="G101" s="31"/>
      <c r="H101" s="31"/>
      <c r="I101" s="33"/>
      <c r="J101" s="34"/>
      <c r="K101" s="34"/>
      <c r="L101" s="34"/>
      <c r="M101" s="34"/>
      <c r="N101" s="19" t="str">
        <f aca="false">IF($J101="","",YEAR($J101)-IF(MONTH($J101)&lt;マスタ!$B$4,1,0))</f>
        <v/>
      </c>
      <c r="O101" s="20" t="str">
        <f aca="false">IF($J101="","","Q"&amp;(INT(MOD(MONTH($J101)-マスタ!$B$4+12,12)/3)+1))</f>
        <v/>
      </c>
      <c r="P101" s="35"/>
      <c r="Q101" s="22" t="str">
        <f aca="false">IF($P101="","",$P101*N($F101))</f>
        <v/>
      </c>
      <c r="R101" s="35"/>
      <c r="S101" s="22" t="str">
        <f aca="false">IF($P101="","",$P101-N($R101))</f>
        <v/>
      </c>
      <c r="T101" s="23" t="str">
        <f aca="false">IF(N($P101)=0,"",$S101/$P101)</f>
        <v/>
      </c>
      <c r="U101" s="36"/>
      <c r="V101" s="25" t="str">
        <f aca="false">IF($A101="","",SUMIFS(工数明細!$G$3:$G$302,工数明細!$B$3:$B$302,$A101))</f>
        <v/>
      </c>
      <c r="W101" s="26" t="str">
        <f aca="false">IF($U101="","",$U101-N($V101))</f>
        <v/>
      </c>
      <c r="X101" s="23" t="str">
        <f aca="false">IF(N($U101)=0,"",$V101/$U101)</f>
        <v/>
      </c>
      <c r="Y101" s="20" t="str">
        <f aca="false">IF(N($U101)=0,"",IF($V101&gt;$U101,"超過",IF($V101&gt;=$U101*0.9,"注意","適正")))</f>
        <v/>
      </c>
      <c r="Z101" s="27" t="str">
        <f aca="true">IF($L101="","",IF($M101&lt;&gt;"",$M101-$L101,IF(TODAY()&gt;$L101,TODAY()-$L101,0)))</f>
        <v/>
      </c>
      <c r="AA101" s="37"/>
    </row>
    <row r="102" customFormat="false" ht="18" hidden="false" customHeight="true" outlineLevel="0" collapsed="false">
      <c r="A102" s="30"/>
      <c r="B102" s="31"/>
      <c r="C102" s="31"/>
      <c r="D102" s="31"/>
      <c r="E102" s="31"/>
      <c r="F102" s="32"/>
      <c r="G102" s="31"/>
      <c r="H102" s="31"/>
      <c r="I102" s="33"/>
      <c r="J102" s="34"/>
      <c r="K102" s="34"/>
      <c r="L102" s="34"/>
      <c r="M102" s="34"/>
      <c r="N102" s="19" t="str">
        <f aca="false">IF($J102="","",YEAR($J102)-IF(MONTH($J102)&lt;マスタ!$B$4,1,0))</f>
        <v/>
      </c>
      <c r="O102" s="20" t="str">
        <f aca="false">IF($J102="","","Q"&amp;(INT(MOD(MONTH($J102)-マスタ!$B$4+12,12)/3)+1))</f>
        <v/>
      </c>
      <c r="P102" s="35"/>
      <c r="Q102" s="22" t="str">
        <f aca="false">IF($P102="","",$P102*N($F102))</f>
        <v/>
      </c>
      <c r="R102" s="35"/>
      <c r="S102" s="22" t="str">
        <f aca="false">IF($P102="","",$P102-N($R102))</f>
        <v/>
      </c>
      <c r="T102" s="23" t="str">
        <f aca="false">IF(N($P102)=0,"",$S102/$P102)</f>
        <v/>
      </c>
      <c r="U102" s="36"/>
      <c r="V102" s="25" t="str">
        <f aca="false">IF($A102="","",SUMIFS(工数明細!$G$3:$G$302,工数明細!$B$3:$B$302,$A102))</f>
        <v/>
      </c>
      <c r="W102" s="26" t="str">
        <f aca="false">IF($U102="","",$U102-N($V102))</f>
        <v/>
      </c>
      <c r="X102" s="23" t="str">
        <f aca="false">IF(N($U102)=0,"",$V102/$U102)</f>
        <v/>
      </c>
      <c r="Y102" s="20" t="str">
        <f aca="false">IF(N($U102)=0,"",IF($V102&gt;$U102,"超過",IF($V102&gt;=$U102*0.9,"注意","適正")))</f>
        <v/>
      </c>
      <c r="Z102" s="27" t="str">
        <f aca="true">IF($L102="","",IF($M102&lt;&gt;"",$M102-$L102,IF(TODAY()&gt;$L102,TODAY()-$L102,0)))</f>
        <v/>
      </c>
      <c r="AA102" s="37"/>
    </row>
    <row r="103" customFormat="false" ht="18" hidden="false" customHeight="true" outlineLevel="0" collapsed="false">
      <c r="A103" s="30"/>
      <c r="B103" s="31"/>
      <c r="C103" s="31"/>
      <c r="D103" s="31"/>
      <c r="E103" s="31"/>
      <c r="F103" s="32"/>
      <c r="G103" s="31"/>
      <c r="H103" s="31"/>
      <c r="I103" s="33"/>
      <c r="J103" s="34"/>
      <c r="K103" s="34"/>
      <c r="L103" s="34"/>
      <c r="M103" s="34"/>
      <c r="N103" s="19" t="str">
        <f aca="false">IF($J103="","",YEAR($J103)-IF(MONTH($J103)&lt;マスタ!$B$4,1,0))</f>
        <v/>
      </c>
      <c r="O103" s="20" t="str">
        <f aca="false">IF($J103="","","Q"&amp;(INT(MOD(MONTH($J103)-マスタ!$B$4+12,12)/3)+1))</f>
        <v/>
      </c>
      <c r="P103" s="35"/>
      <c r="Q103" s="22" t="str">
        <f aca="false">IF($P103="","",$P103*N($F103))</f>
        <v/>
      </c>
      <c r="R103" s="35"/>
      <c r="S103" s="22" t="str">
        <f aca="false">IF($P103="","",$P103-N($R103))</f>
        <v/>
      </c>
      <c r="T103" s="23" t="str">
        <f aca="false">IF(N($P103)=0,"",$S103/$P103)</f>
        <v/>
      </c>
      <c r="U103" s="36"/>
      <c r="V103" s="25" t="str">
        <f aca="false">IF($A103="","",SUMIFS(工数明細!$G$3:$G$302,工数明細!$B$3:$B$302,$A103))</f>
        <v/>
      </c>
      <c r="W103" s="26" t="str">
        <f aca="false">IF($U103="","",$U103-N($V103))</f>
        <v/>
      </c>
      <c r="X103" s="23" t="str">
        <f aca="false">IF(N($U103)=0,"",$V103/$U103)</f>
        <v/>
      </c>
      <c r="Y103" s="20" t="str">
        <f aca="false">IF(N($U103)=0,"",IF($V103&gt;$U103,"超過",IF($V103&gt;=$U103*0.9,"注意","適正")))</f>
        <v/>
      </c>
      <c r="Z103" s="27" t="str">
        <f aca="true">IF($L103="","",IF($M103&lt;&gt;"",$M103-$L103,IF(TODAY()&gt;$L103,TODAY()-$L103,0)))</f>
        <v/>
      </c>
      <c r="AA103" s="37"/>
    </row>
    <row r="104" customFormat="false" ht="18" hidden="false" customHeight="true" outlineLevel="0" collapsed="false">
      <c r="A104" s="30"/>
      <c r="B104" s="31"/>
      <c r="C104" s="31"/>
      <c r="D104" s="31"/>
      <c r="E104" s="31"/>
      <c r="F104" s="32"/>
      <c r="G104" s="31"/>
      <c r="H104" s="31"/>
      <c r="I104" s="33"/>
      <c r="J104" s="34"/>
      <c r="K104" s="34"/>
      <c r="L104" s="34"/>
      <c r="M104" s="34"/>
      <c r="N104" s="19" t="str">
        <f aca="false">IF($J104="","",YEAR($J104)-IF(MONTH($J104)&lt;マスタ!$B$4,1,0))</f>
        <v/>
      </c>
      <c r="O104" s="20" t="str">
        <f aca="false">IF($J104="","","Q"&amp;(INT(MOD(MONTH($J104)-マスタ!$B$4+12,12)/3)+1))</f>
        <v/>
      </c>
      <c r="P104" s="35"/>
      <c r="Q104" s="22" t="str">
        <f aca="false">IF($P104="","",$P104*N($F104))</f>
        <v/>
      </c>
      <c r="R104" s="35"/>
      <c r="S104" s="22" t="str">
        <f aca="false">IF($P104="","",$P104-N($R104))</f>
        <v/>
      </c>
      <c r="T104" s="23" t="str">
        <f aca="false">IF(N($P104)=0,"",$S104/$P104)</f>
        <v/>
      </c>
      <c r="U104" s="36"/>
      <c r="V104" s="25" t="str">
        <f aca="false">IF($A104="","",SUMIFS(工数明細!$G$3:$G$302,工数明細!$B$3:$B$302,$A104))</f>
        <v/>
      </c>
      <c r="W104" s="26" t="str">
        <f aca="false">IF($U104="","",$U104-N($V104))</f>
        <v/>
      </c>
      <c r="X104" s="23" t="str">
        <f aca="false">IF(N($U104)=0,"",$V104/$U104)</f>
        <v/>
      </c>
      <c r="Y104" s="20" t="str">
        <f aca="false">IF(N($U104)=0,"",IF($V104&gt;$U104,"超過",IF($V104&gt;=$U104*0.9,"注意","適正")))</f>
        <v/>
      </c>
      <c r="Z104" s="27" t="str">
        <f aca="true">IF($L104="","",IF($M104&lt;&gt;"",$M104-$L104,IF(TODAY()&gt;$L104,TODAY()-$L104,0)))</f>
        <v/>
      </c>
      <c r="AA104" s="37"/>
    </row>
    <row r="105" customFormat="false" ht="18" hidden="false" customHeight="true" outlineLevel="0" collapsed="false">
      <c r="A105" s="30"/>
      <c r="B105" s="31"/>
      <c r="C105" s="31"/>
      <c r="D105" s="31"/>
      <c r="E105" s="31"/>
      <c r="F105" s="32"/>
      <c r="G105" s="31"/>
      <c r="H105" s="31"/>
      <c r="I105" s="33"/>
      <c r="J105" s="34"/>
      <c r="K105" s="34"/>
      <c r="L105" s="34"/>
      <c r="M105" s="34"/>
      <c r="N105" s="19" t="str">
        <f aca="false">IF($J105="","",YEAR($J105)-IF(MONTH($J105)&lt;マスタ!$B$4,1,0))</f>
        <v/>
      </c>
      <c r="O105" s="20" t="str">
        <f aca="false">IF($J105="","","Q"&amp;(INT(MOD(MONTH($J105)-マスタ!$B$4+12,12)/3)+1))</f>
        <v/>
      </c>
      <c r="P105" s="35"/>
      <c r="Q105" s="22" t="str">
        <f aca="false">IF($P105="","",$P105*N($F105))</f>
        <v/>
      </c>
      <c r="R105" s="35"/>
      <c r="S105" s="22" t="str">
        <f aca="false">IF($P105="","",$P105-N($R105))</f>
        <v/>
      </c>
      <c r="T105" s="23" t="str">
        <f aca="false">IF(N($P105)=0,"",$S105/$P105)</f>
        <v/>
      </c>
      <c r="U105" s="36"/>
      <c r="V105" s="25" t="str">
        <f aca="false">IF($A105="","",SUMIFS(工数明細!$G$3:$G$302,工数明細!$B$3:$B$302,$A105))</f>
        <v/>
      </c>
      <c r="W105" s="26" t="str">
        <f aca="false">IF($U105="","",$U105-N($V105))</f>
        <v/>
      </c>
      <c r="X105" s="23" t="str">
        <f aca="false">IF(N($U105)=0,"",$V105/$U105)</f>
        <v/>
      </c>
      <c r="Y105" s="20" t="str">
        <f aca="false">IF(N($U105)=0,"",IF($V105&gt;$U105,"超過",IF($V105&gt;=$U105*0.9,"注意","適正")))</f>
        <v/>
      </c>
      <c r="Z105" s="27" t="str">
        <f aca="true">IF($L105="","",IF($M105&lt;&gt;"",$M105-$L105,IF(TODAY()&gt;$L105,TODAY()-$L105,0)))</f>
        <v/>
      </c>
      <c r="AA105" s="37"/>
    </row>
    <row r="106" customFormat="false" ht="18" hidden="false" customHeight="true" outlineLevel="0" collapsed="false">
      <c r="A106" s="30"/>
      <c r="B106" s="31"/>
      <c r="C106" s="31"/>
      <c r="D106" s="31"/>
      <c r="E106" s="31"/>
      <c r="F106" s="32"/>
      <c r="G106" s="31"/>
      <c r="H106" s="31"/>
      <c r="I106" s="33"/>
      <c r="J106" s="34"/>
      <c r="K106" s="34"/>
      <c r="L106" s="34"/>
      <c r="M106" s="34"/>
      <c r="N106" s="19" t="str">
        <f aca="false">IF($J106="","",YEAR($J106)-IF(MONTH($J106)&lt;マスタ!$B$4,1,0))</f>
        <v/>
      </c>
      <c r="O106" s="20" t="str">
        <f aca="false">IF($J106="","","Q"&amp;(INT(MOD(MONTH($J106)-マスタ!$B$4+12,12)/3)+1))</f>
        <v/>
      </c>
      <c r="P106" s="35"/>
      <c r="Q106" s="22" t="str">
        <f aca="false">IF($P106="","",$P106*N($F106))</f>
        <v/>
      </c>
      <c r="R106" s="35"/>
      <c r="S106" s="22" t="str">
        <f aca="false">IF($P106="","",$P106-N($R106))</f>
        <v/>
      </c>
      <c r="T106" s="23" t="str">
        <f aca="false">IF(N($P106)=0,"",$S106/$P106)</f>
        <v/>
      </c>
      <c r="U106" s="36"/>
      <c r="V106" s="25" t="str">
        <f aca="false">IF($A106="","",SUMIFS(工数明細!$G$3:$G$302,工数明細!$B$3:$B$302,$A106))</f>
        <v/>
      </c>
      <c r="W106" s="26" t="str">
        <f aca="false">IF($U106="","",$U106-N($V106))</f>
        <v/>
      </c>
      <c r="X106" s="23" t="str">
        <f aca="false">IF(N($U106)=0,"",$V106/$U106)</f>
        <v/>
      </c>
      <c r="Y106" s="20" t="str">
        <f aca="false">IF(N($U106)=0,"",IF($V106&gt;$U106,"超過",IF($V106&gt;=$U106*0.9,"注意","適正")))</f>
        <v/>
      </c>
      <c r="Z106" s="27" t="str">
        <f aca="true">IF($L106="","",IF($M106&lt;&gt;"",$M106-$L106,IF(TODAY()&gt;$L106,TODAY()-$L106,0)))</f>
        <v/>
      </c>
      <c r="AA106" s="37"/>
    </row>
    <row r="107" customFormat="false" ht="18" hidden="false" customHeight="true" outlineLevel="0" collapsed="false">
      <c r="A107" s="30"/>
      <c r="B107" s="31"/>
      <c r="C107" s="31"/>
      <c r="D107" s="31"/>
      <c r="E107" s="31"/>
      <c r="F107" s="32"/>
      <c r="G107" s="31"/>
      <c r="H107" s="31"/>
      <c r="I107" s="33"/>
      <c r="J107" s="34"/>
      <c r="K107" s="34"/>
      <c r="L107" s="34"/>
      <c r="M107" s="34"/>
      <c r="N107" s="19" t="str">
        <f aca="false">IF($J107="","",YEAR($J107)-IF(MONTH($J107)&lt;マスタ!$B$4,1,0))</f>
        <v/>
      </c>
      <c r="O107" s="20" t="str">
        <f aca="false">IF($J107="","","Q"&amp;(INT(MOD(MONTH($J107)-マスタ!$B$4+12,12)/3)+1))</f>
        <v/>
      </c>
      <c r="P107" s="35"/>
      <c r="Q107" s="22" t="str">
        <f aca="false">IF($P107="","",$P107*N($F107))</f>
        <v/>
      </c>
      <c r="R107" s="35"/>
      <c r="S107" s="22" t="str">
        <f aca="false">IF($P107="","",$P107-N($R107))</f>
        <v/>
      </c>
      <c r="T107" s="23" t="str">
        <f aca="false">IF(N($P107)=0,"",$S107/$P107)</f>
        <v/>
      </c>
      <c r="U107" s="36"/>
      <c r="V107" s="25" t="str">
        <f aca="false">IF($A107="","",SUMIFS(工数明細!$G$3:$G$302,工数明細!$B$3:$B$302,$A107))</f>
        <v/>
      </c>
      <c r="W107" s="26" t="str">
        <f aca="false">IF($U107="","",$U107-N($V107))</f>
        <v/>
      </c>
      <c r="X107" s="23" t="str">
        <f aca="false">IF(N($U107)=0,"",$V107/$U107)</f>
        <v/>
      </c>
      <c r="Y107" s="20" t="str">
        <f aca="false">IF(N($U107)=0,"",IF($V107&gt;$U107,"超過",IF($V107&gt;=$U107*0.9,"注意","適正")))</f>
        <v/>
      </c>
      <c r="Z107" s="27" t="str">
        <f aca="true">IF($L107="","",IF($M107&lt;&gt;"",$M107-$L107,IF(TODAY()&gt;$L107,TODAY()-$L107,0)))</f>
        <v/>
      </c>
      <c r="AA107" s="37"/>
    </row>
    <row r="108" customFormat="false" ht="18" hidden="false" customHeight="true" outlineLevel="0" collapsed="false">
      <c r="A108" s="30"/>
      <c r="B108" s="31"/>
      <c r="C108" s="31"/>
      <c r="D108" s="31"/>
      <c r="E108" s="31"/>
      <c r="F108" s="32"/>
      <c r="G108" s="31"/>
      <c r="H108" s="31"/>
      <c r="I108" s="33"/>
      <c r="J108" s="34"/>
      <c r="K108" s="34"/>
      <c r="L108" s="34"/>
      <c r="M108" s="34"/>
      <c r="N108" s="19" t="str">
        <f aca="false">IF($J108="","",YEAR($J108)-IF(MONTH($J108)&lt;マスタ!$B$4,1,0))</f>
        <v/>
      </c>
      <c r="O108" s="20" t="str">
        <f aca="false">IF($J108="","","Q"&amp;(INT(MOD(MONTH($J108)-マスタ!$B$4+12,12)/3)+1))</f>
        <v/>
      </c>
      <c r="P108" s="35"/>
      <c r="Q108" s="22" t="str">
        <f aca="false">IF($P108="","",$P108*N($F108))</f>
        <v/>
      </c>
      <c r="R108" s="35"/>
      <c r="S108" s="22" t="str">
        <f aca="false">IF($P108="","",$P108-N($R108))</f>
        <v/>
      </c>
      <c r="T108" s="23" t="str">
        <f aca="false">IF(N($P108)=0,"",$S108/$P108)</f>
        <v/>
      </c>
      <c r="U108" s="36"/>
      <c r="V108" s="25" t="str">
        <f aca="false">IF($A108="","",SUMIFS(工数明細!$G$3:$G$302,工数明細!$B$3:$B$302,$A108))</f>
        <v/>
      </c>
      <c r="W108" s="26" t="str">
        <f aca="false">IF($U108="","",$U108-N($V108))</f>
        <v/>
      </c>
      <c r="X108" s="23" t="str">
        <f aca="false">IF(N($U108)=0,"",$V108/$U108)</f>
        <v/>
      </c>
      <c r="Y108" s="20" t="str">
        <f aca="false">IF(N($U108)=0,"",IF($V108&gt;$U108,"超過",IF($V108&gt;=$U108*0.9,"注意","適正")))</f>
        <v/>
      </c>
      <c r="Z108" s="27" t="str">
        <f aca="true">IF($L108="","",IF($M108&lt;&gt;"",$M108-$L108,IF(TODAY()&gt;$L108,TODAY()-$L108,0)))</f>
        <v/>
      </c>
      <c r="AA108" s="37"/>
    </row>
    <row r="109" customFormat="false" ht="18" hidden="false" customHeight="true" outlineLevel="0" collapsed="false">
      <c r="A109" s="30"/>
      <c r="B109" s="31"/>
      <c r="C109" s="31"/>
      <c r="D109" s="31"/>
      <c r="E109" s="31"/>
      <c r="F109" s="32"/>
      <c r="G109" s="31"/>
      <c r="H109" s="31"/>
      <c r="I109" s="33"/>
      <c r="J109" s="34"/>
      <c r="K109" s="34"/>
      <c r="L109" s="34"/>
      <c r="M109" s="34"/>
      <c r="N109" s="19" t="str">
        <f aca="false">IF($J109="","",YEAR($J109)-IF(MONTH($J109)&lt;マスタ!$B$4,1,0))</f>
        <v/>
      </c>
      <c r="O109" s="20" t="str">
        <f aca="false">IF($J109="","","Q"&amp;(INT(MOD(MONTH($J109)-マスタ!$B$4+12,12)/3)+1))</f>
        <v/>
      </c>
      <c r="P109" s="35"/>
      <c r="Q109" s="22" t="str">
        <f aca="false">IF($P109="","",$P109*N($F109))</f>
        <v/>
      </c>
      <c r="R109" s="35"/>
      <c r="S109" s="22" t="str">
        <f aca="false">IF($P109="","",$P109-N($R109))</f>
        <v/>
      </c>
      <c r="T109" s="23" t="str">
        <f aca="false">IF(N($P109)=0,"",$S109/$P109)</f>
        <v/>
      </c>
      <c r="U109" s="36"/>
      <c r="V109" s="25" t="str">
        <f aca="false">IF($A109="","",SUMIFS(工数明細!$G$3:$G$302,工数明細!$B$3:$B$302,$A109))</f>
        <v/>
      </c>
      <c r="W109" s="26" t="str">
        <f aca="false">IF($U109="","",$U109-N($V109))</f>
        <v/>
      </c>
      <c r="X109" s="23" t="str">
        <f aca="false">IF(N($U109)=0,"",$V109/$U109)</f>
        <v/>
      </c>
      <c r="Y109" s="20" t="str">
        <f aca="false">IF(N($U109)=0,"",IF($V109&gt;$U109,"超過",IF($V109&gt;=$U109*0.9,"注意","適正")))</f>
        <v/>
      </c>
      <c r="Z109" s="27" t="str">
        <f aca="true">IF($L109="","",IF($M109&lt;&gt;"",$M109-$L109,IF(TODAY()&gt;$L109,TODAY()-$L109,0)))</f>
        <v/>
      </c>
      <c r="AA109" s="37"/>
    </row>
    <row r="110" customFormat="false" ht="18" hidden="false" customHeight="true" outlineLevel="0" collapsed="false">
      <c r="A110" s="30"/>
      <c r="B110" s="31"/>
      <c r="C110" s="31"/>
      <c r="D110" s="31"/>
      <c r="E110" s="31"/>
      <c r="F110" s="32"/>
      <c r="G110" s="31"/>
      <c r="H110" s="31"/>
      <c r="I110" s="33"/>
      <c r="J110" s="34"/>
      <c r="K110" s="34"/>
      <c r="L110" s="34"/>
      <c r="M110" s="34"/>
      <c r="N110" s="19" t="str">
        <f aca="false">IF($J110="","",YEAR($J110)-IF(MONTH($J110)&lt;マスタ!$B$4,1,0))</f>
        <v/>
      </c>
      <c r="O110" s="20" t="str">
        <f aca="false">IF($J110="","","Q"&amp;(INT(MOD(MONTH($J110)-マスタ!$B$4+12,12)/3)+1))</f>
        <v/>
      </c>
      <c r="P110" s="35"/>
      <c r="Q110" s="22" t="str">
        <f aca="false">IF($P110="","",$P110*N($F110))</f>
        <v/>
      </c>
      <c r="R110" s="35"/>
      <c r="S110" s="22" t="str">
        <f aca="false">IF($P110="","",$P110-N($R110))</f>
        <v/>
      </c>
      <c r="T110" s="23" t="str">
        <f aca="false">IF(N($P110)=0,"",$S110/$P110)</f>
        <v/>
      </c>
      <c r="U110" s="36"/>
      <c r="V110" s="25" t="str">
        <f aca="false">IF($A110="","",SUMIFS(工数明細!$G$3:$G$302,工数明細!$B$3:$B$302,$A110))</f>
        <v/>
      </c>
      <c r="W110" s="26" t="str">
        <f aca="false">IF($U110="","",$U110-N($V110))</f>
        <v/>
      </c>
      <c r="X110" s="23" t="str">
        <f aca="false">IF(N($U110)=0,"",$V110/$U110)</f>
        <v/>
      </c>
      <c r="Y110" s="20" t="str">
        <f aca="false">IF(N($U110)=0,"",IF($V110&gt;$U110,"超過",IF($V110&gt;=$U110*0.9,"注意","適正")))</f>
        <v/>
      </c>
      <c r="Z110" s="27" t="str">
        <f aca="true">IF($L110="","",IF($M110&lt;&gt;"",$M110-$L110,IF(TODAY()&gt;$L110,TODAY()-$L110,0)))</f>
        <v/>
      </c>
      <c r="AA110" s="37"/>
    </row>
    <row r="111" customFormat="false" ht="18" hidden="false" customHeight="true" outlineLevel="0" collapsed="false">
      <c r="A111" s="30"/>
      <c r="B111" s="31"/>
      <c r="C111" s="31"/>
      <c r="D111" s="31"/>
      <c r="E111" s="31"/>
      <c r="F111" s="32"/>
      <c r="G111" s="31"/>
      <c r="H111" s="31"/>
      <c r="I111" s="33"/>
      <c r="J111" s="34"/>
      <c r="K111" s="34"/>
      <c r="L111" s="34"/>
      <c r="M111" s="34"/>
      <c r="N111" s="19" t="str">
        <f aca="false">IF($J111="","",YEAR($J111)-IF(MONTH($J111)&lt;マスタ!$B$4,1,0))</f>
        <v/>
      </c>
      <c r="O111" s="20" t="str">
        <f aca="false">IF($J111="","","Q"&amp;(INT(MOD(MONTH($J111)-マスタ!$B$4+12,12)/3)+1))</f>
        <v/>
      </c>
      <c r="P111" s="35"/>
      <c r="Q111" s="22" t="str">
        <f aca="false">IF($P111="","",$P111*N($F111))</f>
        <v/>
      </c>
      <c r="R111" s="35"/>
      <c r="S111" s="22" t="str">
        <f aca="false">IF($P111="","",$P111-N($R111))</f>
        <v/>
      </c>
      <c r="T111" s="23" t="str">
        <f aca="false">IF(N($P111)=0,"",$S111/$P111)</f>
        <v/>
      </c>
      <c r="U111" s="36"/>
      <c r="V111" s="25" t="str">
        <f aca="false">IF($A111="","",SUMIFS(工数明細!$G$3:$G$302,工数明細!$B$3:$B$302,$A111))</f>
        <v/>
      </c>
      <c r="W111" s="26" t="str">
        <f aca="false">IF($U111="","",$U111-N($V111))</f>
        <v/>
      </c>
      <c r="X111" s="23" t="str">
        <f aca="false">IF(N($U111)=0,"",$V111/$U111)</f>
        <v/>
      </c>
      <c r="Y111" s="20" t="str">
        <f aca="false">IF(N($U111)=0,"",IF($V111&gt;$U111,"超過",IF($V111&gt;=$U111*0.9,"注意","適正")))</f>
        <v/>
      </c>
      <c r="Z111" s="27" t="str">
        <f aca="true">IF($L111="","",IF($M111&lt;&gt;"",$M111-$L111,IF(TODAY()&gt;$L111,TODAY()-$L111,0)))</f>
        <v/>
      </c>
      <c r="AA111" s="37"/>
    </row>
    <row r="112" customFormat="false" ht="18" hidden="false" customHeight="true" outlineLevel="0" collapsed="false">
      <c r="A112" s="30"/>
      <c r="B112" s="31"/>
      <c r="C112" s="31"/>
      <c r="D112" s="31"/>
      <c r="E112" s="31"/>
      <c r="F112" s="32"/>
      <c r="G112" s="31"/>
      <c r="H112" s="31"/>
      <c r="I112" s="33"/>
      <c r="J112" s="34"/>
      <c r="K112" s="34"/>
      <c r="L112" s="34"/>
      <c r="M112" s="34"/>
      <c r="N112" s="19" t="str">
        <f aca="false">IF($J112="","",YEAR($J112)-IF(MONTH($J112)&lt;マスタ!$B$4,1,0))</f>
        <v/>
      </c>
      <c r="O112" s="20" t="str">
        <f aca="false">IF($J112="","","Q"&amp;(INT(MOD(MONTH($J112)-マスタ!$B$4+12,12)/3)+1))</f>
        <v/>
      </c>
      <c r="P112" s="35"/>
      <c r="Q112" s="22" t="str">
        <f aca="false">IF($P112="","",$P112*N($F112))</f>
        <v/>
      </c>
      <c r="R112" s="35"/>
      <c r="S112" s="22" t="str">
        <f aca="false">IF($P112="","",$P112-N($R112))</f>
        <v/>
      </c>
      <c r="T112" s="23" t="str">
        <f aca="false">IF(N($P112)=0,"",$S112/$P112)</f>
        <v/>
      </c>
      <c r="U112" s="36"/>
      <c r="V112" s="25" t="str">
        <f aca="false">IF($A112="","",SUMIFS(工数明細!$G$3:$G$302,工数明細!$B$3:$B$302,$A112))</f>
        <v/>
      </c>
      <c r="W112" s="26" t="str">
        <f aca="false">IF($U112="","",$U112-N($V112))</f>
        <v/>
      </c>
      <c r="X112" s="23" t="str">
        <f aca="false">IF(N($U112)=0,"",$V112/$U112)</f>
        <v/>
      </c>
      <c r="Y112" s="20" t="str">
        <f aca="false">IF(N($U112)=0,"",IF($V112&gt;$U112,"超過",IF($V112&gt;=$U112*0.9,"注意","適正")))</f>
        <v/>
      </c>
      <c r="Z112" s="27" t="str">
        <f aca="true">IF($L112="","",IF($M112&lt;&gt;"",$M112-$L112,IF(TODAY()&gt;$L112,TODAY()-$L112,0)))</f>
        <v/>
      </c>
      <c r="AA112" s="37"/>
    </row>
    <row r="113" customFormat="false" ht="18" hidden="false" customHeight="true" outlineLevel="0" collapsed="false">
      <c r="A113" s="30"/>
      <c r="B113" s="31"/>
      <c r="C113" s="31"/>
      <c r="D113" s="31"/>
      <c r="E113" s="31"/>
      <c r="F113" s="32"/>
      <c r="G113" s="31"/>
      <c r="H113" s="31"/>
      <c r="I113" s="33"/>
      <c r="J113" s="34"/>
      <c r="K113" s="34"/>
      <c r="L113" s="34"/>
      <c r="M113" s="34"/>
      <c r="N113" s="19" t="str">
        <f aca="false">IF($J113="","",YEAR($J113)-IF(MONTH($J113)&lt;マスタ!$B$4,1,0))</f>
        <v/>
      </c>
      <c r="O113" s="20" t="str">
        <f aca="false">IF($J113="","","Q"&amp;(INT(MOD(MONTH($J113)-マスタ!$B$4+12,12)/3)+1))</f>
        <v/>
      </c>
      <c r="P113" s="35"/>
      <c r="Q113" s="22" t="str">
        <f aca="false">IF($P113="","",$P113*N($F113))</f>
        <v/>
      </c>
      <c r="R113" s="35"/>
      <c r="S113" s="22" t="str">
        <f aca="false">IF($P113="","",$P113-N($R113))</f>
        <v/>
      </c>
      <c r="T113" s="23" t="str">
        <f aca="false">IF(N($P113)=0,"",$S113/$P113)</f>
        <v/>
      </c>
      <c r="U113" s="36"/>
      <c r="V113" s="25" t="str">
        <f aca="false">IF($A113="","",SUMIFS(工数明細!$G$3:$G$302,工数明細!$B$3:$B$302,$A113))</f>
        <v/>
      </c>
      <c r="W113" s="26" t="str">
        <f aca="false">IF($U113="","",$U113-N($V113))</f>
        <v/>
      </c>
      <c r="X113" s="23" t="str">
        <f aca="false">IF(N($U113)=0,"",$V113/$U113)</f>
        <v/>
      </c>
      <c r="Y113" s="20" t="str">
        <f aca="false">IF(N($U113)=0,"",IF($V113&gt;$U113,"超過",IF($V113&gt;=$U113*0.9,"注意","適正")))</f>
        <v/>
      </c>
      <c r="Z113" s="27" t="str">
        <f aca="true">IF($L113="","",IF($M113&lt;&gt;"",$M113-$L113,IF(TODAY()&gt;$L113,TODAY()-$L113,0)))</f>
        <v/>
      </c>
      <c r="AA113" s="37"/>
    </row>
    <row r="114" customFormat="false" ht="18" hidden="false" customHeight="true" outlineLevel="0" collapsed="false">
      <c r="A114" s="30"/>
      <c r="B114" s="31"/>
      <c r="C114" s="31"/>
      <c r="D114" s="31"/>
      <c r="E114" s="31"/>
      <c r="F114" s="32"/>
      <c r="G114" s="31"/>
      <c r="H114" s="31"/>
      <c r="I114" s="33"/>
      <c r="J114" s="34"/>
      <c r="K114" s="34"/>
      <c r="L114" s="34"/>
      <c r="M114" s="34"/>
      <c r="N114" s="19" t="str">
        <f aca="false">IF($J114="","",YEAR($J114)-IF(MONTH($J114)&lt;マスタ!$B$4,1,0))</f>
        <v/>
      </c>
      <c r="O114" s="20" t="str">
        <f aca="false">IF($J114="","","Q"&amp;(INT(MOD(MONTH($J114)-マスタ!$B$4+12,12)/3)+1))</f>
        <v/>
      </c>
      <c r="P114" s="35"/>
      <c r="Q114" s="22" t="str">
        <f aca="false">IF($P114="","",$P114*N($F114))</f>
        <v/>
      </c>
      <c r="R114" s="35"/>
      <c r="S114" s="22" t="str">
        <f aca="false">IF($P114="","",$P114-N($R114))</f>
        <v/>
      </c>
      <c r="T114" s="23" t="str">
        <f aca="false">IF(N($P114)=0,"",$S114/$P114)</f>
        <v/>
      </c>
      <c r="U114" s="36"/>
      <c r="V114" s="25" t="str">
        <f aca="false">IF($A114="","",SUMIFS(工数明細!$G$3:$G$302,工数明細!$B$3:$B$302,$A114))</f>
        <v/>
      </c>
      <c r="W114" s="26" t="str">
        <f aca="false">IF($U114="","",$U114-N($V114))</f>
        <v/>
      </c>
      <c r="X114" s="23" t="str">
        <f aca="false">IF(N($U114)=0,"",$V114/$U114)</f>
        <v/>
      </c>
      <c r="Y114" s="20" t="str">
        <f aca="false">IF(N($U114)=0,"",IF($V114&gt;$U114,"超過",IF($V114&gt;=$U114*0.9,"注意","適正")))</f>
        <v/>
      </c>
      <c r="Z114" s="27" t="str">
        <f aca="true">IF($L114="","",IF($M114&lt;&gt;"",$M114-$L114,IF(TODAY()&gt;$L114,TODAY()-$L114,0)))</f>
        <v/>
      </c>
      <c r="AA114" s="37"/>
    </row>
    <row r="115" customFormat="false" ht="18" hidden="false" customHeight="true" outlineLevel="0" collapsed="false">
      <c r="A115" s="30"/>
      <c r="B115" s="31"/>
      <c r="C115" s="31"/>
      <c r="D115" s="31"/>
      <c r="E115" s="31"/>
      <c r="F115" s="32"/>
      <c r="G115" s="31"/>
      <c r="H115" s="31"/>
      <c r="I115" s="33"/>
      <c r="J115" s="34"/>
      <c r="K115" s="34"/>
      <c r="L115" s="34"/>
      <c r="M115" s="34"/>
      <c r="N115" s="19" t="str">
        <f aca="false">IF($J115="","",YEAR($J115)-IF(MONTH($J115)&lt;マスタ!$B$4,1,0))</f>
        <v/>
      </c>
      <c r="O115" s="20" t="str">
        <f aca="false">IF($J115="","","Q"&amp;(INT(MOD(MONTH($J115)-マスタ!$B$4+12,12)/3)+1))</f>
        <v/>
      </c>
      <c r="P115" s="35"/>
      <c r="Q115" s="22" t="str">
        <f aca="false">IF($P115="","",$P115*N($F115))</f>
        <v/>
      </c>
      <c r="R115" s="35"/>
      <c r="S115" s="22" t="str">
        <f aca="false">IF($P115="","",$P115-N($R115))</f>
        <v/>
      </c>
      <c r="T115" s="23" t="str">
        <f aca="false">IF(N($P115)=0,"",$S115/$P115)</f>
        <v/>
      </c>
      <c r="U115" s="36"/>
      <c r="V115" s="25" t="str">
        <f aca="false">IF($A115="","",SUMIFS(工数明細!$G$3:$G$302,工数明細!$B$3:$B$302,$A115))</f>
        <v/>
      </c>
      <c r="W115" s="26" t="str">
        <f aca="false">IF($U115="","",$U115-N($V115))</f>
        <v/>
      </c>
      <c r="X115" s="23" t="str">
        <f aca="false">IF(N($U115)=0,"",$V115/$U115)</f>
        <v/>
      </c>
      <c r="Y115" s="20" t="str">
        <f aca="false">IF(N($U115)=0,"",IF($V115&gt;$U115,"超過",IF($V115&gt;=$U115*0.9,"注意","適正")))</f>
        <v/>
      </c>
      <c r="Z115" s="27" t="str">
        <f aca="true">IF($L115="","",IF($M115&lt;&gt;"",$M115-$L115,IF(TODAY()&gt;$L115,TODAY()-$L115,0)))</f>
        <v/>
      </c>
      <c r="AA115" s="37"/>
    </row>
    <row r="116" customFormat="false" ht="18" hidden="false" customHeight="true" outlineLevel="0" collapsed="false">
      <c r="A116" s="30"/>
      <c r="B116" s="31"/>
      <c r="C116" s="31"/>
      <c r="D116" s="31"/>
      <c r="E116" s="31"/>
      <c r="F116" s="32"/>
      <c r="G116" s="31"/>
      <c r="H116" s="31"/>
      <c r="I116" s="33"/>
      <c r="J116" s="34"/>
      <c r="K116" s="34"/>
      <c r="L116" s="34"/>
      <c r="M116" s="34"/>
      <c r="N116" s="19" t="str">
        <f aca="false">IF($J116="","",YEAR($J116)-IF(MONTH($J116)&lt;マスタ!$B$4,1,0))</f>
        <v/>
      </c>
      <c r="O116" s="20" t="str">
        <f aca="false">IF($J116="","","Q"&amp;(INT(MOD(MONTH($J116)-マスタ!$B$4+12,12)/3)+1))</f>
        <v/>
      </c>
      <c r="P116" s="35"/>
      <c r="Q116" s="22" t="str">
        <f aca="false">IF($P116="","",$P116*N($F116))</f>
        <v/>
      </c>
      <c r="R116" s="35"/>
      <c r="S116" s="22" t="str">
        <f aca="false">IF($P116="","",$P116-N($R116))</f>
        <v/>
      </c>
      <c r="T116" s="23" t="str">
        <f aca="false">IF(N($P116)=0,"",$S116/$P116)</f>
        <v/>
      </c>
      <c r="U116" s="36"/>
      <c r="V116" s="25" t="str">
        <f aca="false">IF($A116="","",SUMIFS(工数明細!$G$3:$G$302,工数明細!$B$3:$B$302,$A116))</f>
        <v/>
      </c>
      <c r="W116" s="26" t="str">
        <f aca="false">IF($U116="","",$U116-N($V116))</f>
        <v/>
      </c>
      <c r="X116" s="23" t="str">
        <f aca="false">IF(N($U116)=0,"",$V116/$U116)</f>
        <v/>
      </c>
      <c r="Y116" s="20" t="str">
        <f aca="false">IF(N($U116)=0,"",IF($V116&gt;$U116,"超過",IF($V116&gt;=$U116*0.9,"注意","適正")))</f>
        <v/>
      </c>
      <c r="Z116" s="27" t="str">
        <f aca="true">IF($L116="","",IF($M116&lt;&gt;"",$M116-$L116,IF(TODAY()&gt;$L116,TODAY()-$L116,0)))</f>
        <v/>
      </c>
      <c r="AA116" s="37"/>
    </row>
    <row r="117" customFormat="false" ht="18" hidden="false" customHeight="true" outlineLevel="0" collapsed="false">
      <c r="A117" s="30"/>
      <c r="B117" s="31"/>
      <c r="C117" s="31"/>
      <c r="D117" s="31"/>
      <c r="E117" s="31"/>
      <c r="F117" s="32"/>
      <c r="G117" s="31"/>
      <c r="H117" s="31"/>
      <c r="I117" s="33"/>
      <c r="J117" s="34"/>
      <c r="K117" s="34"/>
      <c r="L117" s="34"/>
      <c r="M117" s="34"/>
      <c r="N117" s="19" t="str">
        <f aca="false">IF($J117="","",YEAR($J117)-IF(MONTH($J117)&lt;マスタ!$B$4,1,0))</f>
        <v/>
      </c>
      <c r="O117" s="20" t="str">
        <f aca="false">IF($J117="","","Q"&amp;(INT(MOD(MONTH($J117)-マスタ!$B$4+12,12)/3)+1))</f>
        <v/>
      </c>
      <c r="P117" s="35"/>
      <c r="Q117" s="22" t="str">
        <f aca="false">IF($P117="","",$P117*N($F117))</f>
        <v/>
      </c>
      <c r="R117" s="35"/>
      <c r="S117" s="22" t="str">
        <f aca="false">IF($P117="","",$P117-N($R117))</f>
        <v/>
      </c>
      <c r="T117" s="23" t="str">
        <f aca="false">IF(N($P117)=0,"",$S117/$P117)</f>
        <v/>
      </c>
      <c r="U117" s="36"/>
      <c r="V117" s="25" t="str">
        <f aca="false">IF($A117="","",SUMIFS(工数明細!$G$3:$G$302,工数明細!$B$3:$B$302,$A117))</f>
        <v/>
      </c>
      <c r="W117" s="26" t="str">
        <f aca="false">IF($U117="","",$U117-N($V117))</f>
        <v/>
      </c>
      <c r="X117" s="23" t="str">
        <f aca="false">IF(N($U117)=0,"",$V117/$U117)</f>
        <v/>
      </c>
      <c r="Y117" s="20" t="str">
        <f aca="false">IF(N($U117)=0,"",IF($V117&gt;$U117,"超過",IF($V117&gt;=$U117*0.9,"注意","適正")))</f>
        <v/>
      </c>
      <c r="Z117" s="27" t="str">
        <f aca="true">IF($L117="","",IF($M117&lt;&gt;"",$M117-$L117,IF(TODAY()&gt;$L117,TODAY()-$L117,0)))</f>
        <v/>
      </c>
      <c r="AA117" s="37"/>
    </row>
    <row r="118" customFormat="false" ht="18" hidden="false" customHeight="true" outlineLevel="0" collapsed="false">
      <c r="A118" s="30"/>
      <c r="B118" s="31"/>
      <c r="C118" s="31"/>
      <c r="D118" s="31"/>
      <c r="E118" s="31"/>
      <c r="F118" s="32"/>
      <c r="G118" s="31"/>
      <c r="H118" s="31"/>
      <c r="I118" s="33"/>
      <c r="J118" s="34"/>
      <c r="K118" s="34"/>
      <c r="L118" s="34"/>
      <c r="M118" s="34"/>
      <c r="N118" s="19" t="str">
        <f aca="false">IF($J118="","",YEAR($J118)-IF(MONTH($J118)&lt;マスタ!$B$4,1,0))</f>
        <v/>
      </c>
      <c r="O118" s="20" t="str">
        <f aca="false">IF($J118="","","Q"&amp;(INT(MOD(MONTH($J118)-マスタ!$B$4+12,12)/3)+1))</f>
        <v/>
      </c>
      <c r="P118" s="35"/>
      <c r="Q118" s="22" t="str">
        <f aca="false">IF($P118="","",$P118*N($F118))</f>
        <v/>
      </c>
      <c r="R118" s="35"/>
      <c r="S118" s="22" t="str">
        <f aca="false">IF($P118="","",$P118-N($R118))</f>
        <v/>
      </c>
      <c r="T118" s="23" t="str">
        <f aca="false">IF(N($P118)=0,"",$S118/$P118)</f>
        <v/>
      </c>
      <c r="U118" s="36"/>
      <c r="V118" s="25" t="str">
        <f aca="false">IF($A118="","",SUMIFS(工数明細!$G$3:$G$302,工数明細!$B$3:$B$302,$A118))</f>
        <v/>
      </c>
      <c r="W118" s="26" t="str">
        <f aca="false">IF($U118="","",$U118-N($V118))</f>
        <v/>
      </c>
      <c r="X118" s="23" t="str">
        <f aca="false">IF(N($U118)=0,"",$V118/$U118)</f>
        <v/>
      </c>
      <c r="Y118" s="20" t="str">
        <f aca="false">IF(N($U118)=0,"",IF($V118&gt;$U118,"超過",IF($V118&gt;=$U118*0.9,"注意","適正")))</f>
        <v/>
      </c>
      <c r="Z118" s="27" t="str">
        <f aca="true">IF($L118="","",IF($M118&lt;&gt;"",$M118-$L118,IF(TODAY()&gt;$L118,TODAY()-$L118,0)))</f>
        <v/>
      </c>
      <c r="AA118" s="37"/>
    </row>
    <row r="119" customFormat="false" ht="18" hidden="false" customHeight="true" outlineLevel="0" collapsed="false">
      <c r="A119" s="30"/>
      <c r="B119" s="31"/>
      <c r="C119" s="31"/>
      <c r="D119" s="31"/>
      <c r="E119" s="31"/>
      <c r="F119" s="32"/>
      <c r="G119" s="31"/>
      <c r="H119" s="31"/>
      <c r="I119" s="33"/>
      <c r="J119" s="34"/>
      <c r="K119" s="34"/>
      <c r="L119" s="34"/>
      <c r="M119" s="34"/>
      <c r="N119" s="19" t="str">
        <f aca="false">IF($J119="","",YEAR($J119)-IF(MONTH($J119)&lt;マスタ!$B$4,1,0))</f>
        <v/>
      </c>
      <c r="O119" s="20" t="str">
        <f aca="false">IF($J119="","","Q"&amp;(INT(MOD(MONTH($J119)-マスタ!$B$4+12,12)/3)+1))</f>
        <v/>
      </c>
      <c r="P119" s="35"/>
      <c r="Q119" s="22" t="str">
        <f aca="false">IF($P119="","",$P119*N($F119))</f>
        <v/>
      </c>
      <c r="R119" s="35"/>
      <c r="S119" s="22" t="str">
        <f aca="false">IF($P119="","",$P119-N($R119))</f>
        <v/>
      </c>
      <c r="T119" s="23" t="str">
        <f aca="false">IF(N($P119)=0,"",$S119/$P119)</f>
        <v/>
      </c>
      <c r="U119" s="36"/>
      <c r="V119" s="25" t="str">
        <f aca="false">IF($A119="","",SUMIFS(工数明細!$G$3:$G$302,工数明細!$B$3:$B$302,$A119))</f>
        <v/>
      </c>
      <c r="W119" s="26" t="str">
        <f aca="false">IF($U119="","",$U119-N($V119))</f>
        <v/>
      </c>
      <c r="X119" s="23" t="str">
        <f aca="false">IF(N($U119)=0,"",$V119/$U119)</f>
        <v/>
      </c>
      <c r="Y119" s="20" t="str">
        <f aca="false">IF(N($U119)=0,"",IF($V119&gt;$U119,"超過",IF($V119&gt;=$U119*0.9,"注意","適正")))</f>
        <v/>
      </c>
      <c r="Z119" s="27" t="str">
        <f aca="true">IF($L119="","",IF($M119&lt;&gt;"",$M119-$L119,IF(TODAY()&gt;$L119,TODAY()-$L119,0)))</f>
        <v/>
      </c>
      <c r="AA119" s="37"/>
    </row>
    <row r="120" customFormat="false" ht="18" hidden="false" customHeight="true" outlineLevel="0" collapsed="false">
      <c r="A120" s="30"/>
      <c r="B120" s="31"/>
      <c r="C120" s="31"/>
      <c r="D120" s="31"/>
      <c r="E120" s="31"/>
      <c r="F120" s="32"/>
      <c r="G120" s="31"/>
      <c r="H120" s="31"/>
      <c r="I120" s="33"/>
      <c r="J120" s="34"/>
      <c r="K120" s="34"/>
      <c r="L120" s="34"/>
      <c r="M120" s="34"/>
      <c r="N120" s="19" t="str">
        <f aca="false">IF($J120="","",YEAR($J120)-IF(MONTH($J120)&lt;マスタ!$B$4,1,0))</f>
        <v/>
      </c>
      <c r="O120" s="20" t="str">
        <f aca="false">IF($J120="","","Q"&amp;(INT(MOD(MONTH($J120)-マスタ!$B$4+12,12)/3)+1))</f>
        <v/>
      </c>
      <c r="P120" s="35"/>
      <c r="Q120" s="22" t="str">
        <f aca="false">IF($P120="","",$P120*N($F120))</f>
        <v/>
      </c>
      <c r="R120" s="35"/>
      <c r="S120" s="22" t="str">
        <f aca="false">IF($P120="","",$P120-N($R120))</f>
        <v/>
      </c>
      <c r="T120" s="23" t="str">
        <f aca="false">IF(N($P120)=0,"",$S120/$P120)</f>
        <v/>
      </c>
      <c r="U120" s="36"/>
      <c r="V120" s="25" t="str">
        <f aca="false">IF($A120="","",SUMIFS(工数明細!$G$3:$G$302,工数明細!$B$3:$B$302,$A120))</f>
        <v/>
      </c>
      <c r="W120" s="26" t="str">
        <f aca="false">IF($U120="","",$U120-N($V120))</f>
        <v/>
      </c>
      <c r="X120" s="23" t="str">
        <f aca="false">IF(N($U120)=0,"",$V120/$U120)</f>
        <v/>
      </c>
      <c r="Y120" s="20" t="str">
        <f aca="false">IF(N($U120)=0,"",IF($V120&gt;$U120,"超過",IF($V120&gt;=$U120*0.9,"注意","適正")))</f>
        <v/>
      </c>
      <c r="Z120" s="27" t="str">
        <f aca="true">IF($L120="","",IF($M120&lt;&gt;"",$M120-$L120,IF(TODAY()&gt;$L120,TODAY()-$L120,0)))</f>
        <v/>
      </c>
      <c r="AA120" s="37"/>
    </row>
    <row r="121" customFormat="false" ht="18" hidden="false" customHeight="true" outlineLevel="0" collapsed="false">
      <c r="A121" s="30"/>
      <c r="B121" s="31"/>
      <c r="C121" s="31"/>
      <c r="D121" s="31"/>
      <c r="E121" s="31"/>
      <c r="F121" s="32"/>
      <c r="G121" s="31"/>
      <c r="H121" s="31"/>
      <c r="I121" s="33"/>
      <c r="J121" s="34"/>
      <c r="K121" s="34"/>
      <c r="L121" s="34"/>
      <c r="M121" s="34"/>
      <c r="N121" s="19" t="str">
        <f aca="false">IF($J121="","",YEAR($J121)-IF(MONTH($J121)&lt;マスタ!$B$4,1,0))</f>
        <v/>
      </c>
      <c r="O121" s="20" t="str">
        <f aca="false">IF($J121="","","Q"&amp;(INT(MOD(MONTH($J121)-マスタ!$B$4+12,12)/3)+1))</f>
        <v/>
      </c>
      <c r="P121" s="35"/>
      <c r="Q121" s="22" t="str">
        <f aca="false">IF($P121="","",$P121*N($F121))</f>
        <v/>
      </c>
      <c r="R121" s="35"/>
      <c r="S121" s="22" t="str">
        <f aca="false">IF($P121="","",$P121-N($R121))</f>
        <v/>
      </c>
      <c r="T121" s="23" t="str">
        <f aca="false">IF(N($P121)=0,"",$S121/$P121)</f>
        <v/>
      </c>
      <c r="U121" s="36"/>
      <c r="V121" s="25" t="str">
        <f aca="false">IF($A121="","",SUMIFS(工数明細!$G$3:$G$302,工数明細!$B$3:$B$302,$A121))</f>
        <v/>
      </c>
      <c r="W121" s="26" t="str">
        <f aca="false">IF($U121="","",$U121-N($V121))</f>
        <v/>
      </c>
      <c r="X121" s="23" t="str">
        <f aca="false">IF(N($U121)=0,"",$V121/$U121)</f>
        <v/>
      </c>
      <c r="Y121" s="20" t="str">
        <f aca="false">IF(N($U121)=0,"",IF($V121&gt;$U121,"超過",IF($V121&gt;=$U121*0.9,"注意","適正")))</f>
        <v/>
      </c>
      <c r="Z121" s="27" t="str">
        <f aca="true">IF($L121="","",IF($M121&lt;&gt;"",$M121-$L121,IF(TODAY()&gt;$L121,TODAY()-$L121,0)))</f>
        <v/>
      </c>
      <c r="AA121" s="37"/>
    </row>
    <row r="122" customFormat="false" ht="18" hidden="false" customHeight="true" outlineLevel="0" collapsed="false">
      <c r="A122" s="30"/>
      <c r="B122" s="31"/>
      <c r="C122" s="31"/>
      <c r="D122" s="31"/>
      <c r="E122" s="31"/>
      <c r="F122" s="32"/>
      <c r="G122" s="31"/>
      <c r="H122" s="31"/>
      <c r="I122" s="33"/>
      <c r="J122" s="34"/>
      <c r="K122" s="34"/>
      <c r="L122" s="34"/>
      <c r="M122" s="34"/>
      <c r="N122" s="19" t="str">
        <f aca="false">IF($J122="","",YEAR($J122)-IF(MONTH($J122)&lt;マスタ!$B$4,1,0))</f>
        <v/>
      </c>
      <c r="O122" s="20" t="str">
        <f aca="false">IF($J122="","","Q"&amp;(INT(MOD(MONTH($J122)-マスタ!$B$4+12,12)/3)+1))</f>
        <v/>
      </c>
      <c r="P122" s="35"/>
      <c r="Q122" s="22" t="str">
        <f aca="false">IF($P122="","",$P122*N($F122))</f>
        <v/>
      </c>
      <c r="R122" s="35"/>
      <c r="S122" s="22" t="str">
        <f aca="false">IF($P122="","",$P122-N($R122))</f>
        <v/>
      </c>
      <c r="T122" s="23" t="str">
        <f aca="false">IF(N($P122)=0,"",$S122/$P122)</f>
        <v/>
      </c>
      <c r="U122" s="36"/>
      <c r="V122" s="25" t="str">
        <f aca="false">IF($A122="","",SUMIFS(工数明細!$G$3:$G$302,工数明細!$B$3:$B$302,$A122))</f>
        <v/>
      </c>
      <c r="W122" s="26" t="str">
        <f aca="false">IF($U122="","",$U122-N($V122))</f>
        <v/>
      </c>
      <c r="X122" s="23" t="str">
        <f aca="false">IF(N($U122)=0,"",$V122/$U122)</f>
        <v/>
      </c>
      <c r="Y122" s="20" t="str">
        <f aca="false">IF(N($U122)=0,"",IF($V122&gt;$U122,"超過",IF($V122&gt;=$U122*0.9,"注意","適正")))</f>
        <v/>
      </c>
      <c r="Z122" s="27" t="str">
        <f aca="true">IF($L122="","",IF($M122&lt;&gt;"",$M122-$L122,IF(TODAY()&gt;$L122,TODAY()-$L122,0)))</f>
        <v/>
      </c>
      <c r="AA122" s="37"/>
    </row>
    <row r="123" customFormat="false" ht="18" hidden="false" customHeight="true" outlineLevel="0" collapsed="false">
      <c r="A123" s="30"/>
      <c r="B123" s="31"/>
      <c r="C123" s="31"/>
      <c r="D123" s="31"/>
      <c r="E123" s="31"/>
      <c r="F123" s="32"/>
      <c r="G123" s="31"/>
      <c r="H123" s="31"/>
      <c r="I123" s="33"/>
      <c r="J123" s="34"/>
      <c r="K123" s="34"/>
      <c r="L123" s="34"/>
      <c r="M123" s="34"/>
      <c r="N123" s="19" t="str">
        <f aca="false">IF($J123="","",YEAR($J123)-IF(MONTH($J123)&lt;マスタ!$B$4,1,0))</f>
        <v/>
      </c>
      <c r="O123" s="20" t="str">
        <f aca="false">IF($J123="","","Q"&amp;(INT(MOD(MONTH($J123)-マスタ!$B$4+12,12)/3)+1))</f>
        <v/>
      </c>
      <c r="P123" s="35"/>
      <c r="Q123" s="22" t="str">
        <f aca="false">IF($P123="","",$P123*N($F123))</f>
        <v/>
      </c>
      <c r="R123" s="35"/>
      <c r="S123" s="22" t="str">
        <f aca="false">IF($P123="","",$P123-N($R123))</f>
        <v/>
      </c>
      <c r="T123" s="23" t="str">
        <f aca="false">IF(N($P123)=0,"",$S123/$P123)</f>
        <v/>
      </c>
      <c r="U123" s="36"/>
      <c r="V123" s="25" t="str">
        <f aca="false">IF($A123="","",SUMIFS(工数明細!$G$3:$G$302,工数明細!$B$3:$B$302,$A123))</f>
        <v/>
      </c>
      <c r="W123" s="26" t="str">
        <f aca="false">IF($U123="","",$U123-N($V123))</f>
        <v/>
      </c>
      <c r="X123" s="23" t="str">
        <f aca="false">IF(N($U123)=0,"",$V123/$U123)</f>
        <v/>
      </c>
      <c r="Y123" s="20" t="str">
        <f aca="false">IF(N($U123)=0,"",IF($V123&gt;$U123,"超過",IF($V123&gt;=$U123*0.9,"注意","適正")))</f>
        <v/>
      </c>
      <c r="Z123" s="27" t="str">
        <f aca="true">IF($L123="","",IF($M123&lt;&gt;"",$M123-$L123,IF(TODAY()&gt;$L123,TODAY()-$L123,0)))</f>
        <v/>
      </c>
      <c r="AA123" s="37"/>
    </row>
    <row r="124" customFormat="false" ht="18" hidden="false" customHeight="true" outlineLevel="0" collapsed="false">
      <c r="A124" s="30"/>
      <c r="B124" s="31"/>
      <c r="C124" s="31"/>
      <c r="D124" s="31"/>
      <c r="E124" s="31"/>
      <c r="F124" s="32"/>
      <c r="G124" s="31"/>
      <c r="H124" s="31"/>
      <c r="I124" s="33"/>
      <c r="J124" s="34"/>
      <c r="K124" s="34"/>
      <c r="L124" s="34"/>
      <c r="M124" s="34"/>
      <c r="N124" s="19" t="str">
        <f aca="false">IF($J124="","",YEAR($J124)-IF(MONTH($J124)&lt;マスタ!$B$4,1,0))</f>
        <v/>
      </c>
      <c r="O124" s="20" t="str">
        <f aca="false">IF($J124="","","Q"&amp;(INT(MOD(MONTH($J124)-マスタ!$B$4+12,12)/3)+1))</f>
        <v/>
      </c>
      <c r="P124" s="35"/>
      <c r="Q124" s="22" t="str">
        <f aca="false">IF($P124="","",$P124*N($F124))</f>
        <v/>
      </c>
      <c r="R124" s="35"/>
      <c r="S124" s="22" t="str">
        <f aca="false">IF($P124="","",$P124-N($R124))</f>
        <v/>
      </c>
      <c r="T124" s="23" t="str">
        <f aca="false">IF(N($P124)=0,"",$S124/$P124)</f>
        <v/>
      </c>
      <c r="U124" s="36"/>
      <c r="V124" s="25" t="str">
        <f aca="false">IF($A124="","",SUMIFS(工数明細!$G$3:$G$302,工数明細!$B$3:$B$302,$A124))</f>
        <v/>
      </c>
      <c r="W124" s="26" t="str">
        <f aca="false">IF($U124="","",$U124-N($V124))</f>
        <v/>
      </c>
      <c r="X124" s="23" t="str">
        <f aca="false">IF(N($U124)=0,"",$V124/$U124)</f>
        <v/>
      </c>
      <c r="Y124" s="20" t="str">
        <f aca="false">IF(N($U124)=0,"",IF($V124&gt;$U124,"超過",IF($V124&gt;=$U124*0.9,"注意","適正")))</f>
        <v/>
      </c>
      <c r="Z124" s="27" t="str">
        <f aca="true">IF($L124="","",IF($M124&lt;&gt;"",$M124-$L124,IF(TODAY()&gt;$L124,TODAY()-$L124,0)))</f>
        <v/>
      </c>
      <c r="AA124" s="37"/>
    </row>
    <row r="125" customFormat="false" ht="18" hidden="false" customHeight="true" outlineLevel="0" collapsed="false">
      <c r="A125" s="30"/>
      <c r="B125" s="31"/>
      <c r="C125" s="31"/>
      <c r="D125" s="31"/>
      <c r="E125" s="31"/>
      <c r="F125" s="32"/>
      <c r="G125" s="31"/>
      <c r="H125" s="31"/>
      <c r="I125" s="33"/>
      <c r="J125" s="34"/>
      <c r="K125" s="34"/>
      <c r="L125" s="34"/>
      <c r="M125" s="34"/>
      <c r="N125" s="19" t="str">
        <f aca="false">IF($J125="","",YEAR($J125)-IF(MONTH($J125)&lt;マスタ!$B$4,1,0))</f>
        <v/>
      </c>
      <c r="O125" s="20" t="str">
        <f aca="false">IF($J125="","","Q"&amp;(INT(MOD(MONTH($J125)-マスタ!$B$4+12,12)/3)+1))</f>
        <v/>
      </c>
      <c r="P125" s="35"/>
      <c r="Q125" s="22" t="str">
        <f aca="false">IF($P125="","",$P125*N($F125))</f>
        <v/>
      </c>
      <c r="R125" s="35"/>
      <c r="S125" s="22" t="str">
        <f aca="false">IF($P125="","",$P125-N($R125))</f>
        <v/>
      </c>
      <c r="T125" s="23" t="str">
        <f aca="false">IF(N($P125)=0,"",$S125/$P125)</f>
        <v/>
      </c>
      <c r="U125" s="36"/>
      <c r="V125" s="25" t="str">
        <f aca="false">IF($A125="","",SUMIFS(工数明細!$G$3:$G$302,工数明細!$B$3:$B$302,$A125))</f>
        <v/>
      </c>
      <c r="W125" s="26" t="str">
        <f aca="false">IF($U125="","",$U125-N($V125))</f>
        <v/>
      </c>
      <c r="X125" s="23" t="str">
        <f aca="false">IF(N($U125)=0,"",$V125/$U125)</f>
        <v/>
      </c>
      <c r="Y125" s="20" t="str">
        <f aca="false">IF(N($U125)=0,"",IF($V125&gt;$U125,"超過",IF($V125&gt;=$U125*0.9,"注意","適正")))</f>
        <v/>
      </c>
      <c r="Z125" s="27" t="str">
        <f aca="true">IF($L125="","",IF($M125&lt;&gt;"",$M125-$L125,IF(TODAY()&gt;$L125,TODAY()-$L125,0)))</f>
        <v/>
      </c>
      <c r="AA125" s="37"/>
    </row>
    <row r="126" customFormat="false" ht="18" hidden="false" customHeight="true" outlineLevel="0" collapsed="false">
      <c r="A126" s="30"/>
      <c r="B126" s="31"/>
      <c r="C126" s="31"/>
      <c r="D126" s="31"/>
      <c r="E126" s="31"/>
      <c r="F126" s="32"/>
      <c r="G126" s="31"/>
      <c r="H126" s="31"/>
      <c r="I126" s="33"/>
      <c r="J126" s="34"/>
      <c r="K126" s="34"/>
      <c r="L126" s="34"/>
      <c r="M126" s="34"/>
      <c r="N126" s="19" t="str">
        <f aca="false">IF($J126="","",YEAR($J126)-IF(MONTH($J126)&lt;マスタ!$B$4,1,0))</f>
        <v/>
      </c>
      <c r="O126" s="20" t="str">
        <f aca="false">IF($J126="","","Q"&amp;(INT(MOD(MONTH($J126)-マスタ!$B$4+12,12)/3)+1))</f>
        <v/>
      </c>
      <c r="P126" s="35"/>
      <c r="Q126" s="22" t="str">
        <f aca="false">IF($P126="","",$P126*N($F126))</f>
        <v/>
      </c>
      <c r="R126" s="35"/>
      <c r="S126" s="22" t="str">
        <f aca="false">IF($P126="","",$P126-N($R126))</f>
        <v/>
      </c>
      <c r="T126" s="23" t="str">
        <f aca="false">IF(N($P126)=0,"",$S126/$P126)</f>
        <v/>
      </c>
      <c r="U126" s="36"/>
      <c r="V126" s="25" t="str">
        <f aca="false">IF($A126="","",SUMIFS(工数明細!$G$3:$G$302,工数明細!$B$3:$B$302,$A126))</f>
        <v/>
      </c>
      <c r="W126" s="26" t="str">
        <f aca="false">IF($U126="","",$U126-N($V126))</f>
        <v/>
      </c>
      <c r="X126" s="23" t="str">
        <f aca="false">IF(N($U126)=0,"",$V126/$U126)</f>
        <v/>
      </c>
      <c r="Y126" s="20" t="str">
        <f aca="false">IF(N($U126)=0,"",IF($V126&gt;$U126,"超過",IF($V126&gt;=$U126*0.9,"注意","適正")))</f>
        <v/>
      </c>
      <c r="Z126" s="27" t="str">
        <f aca="true">IF($L126="","",IF($M126&lt;&gt;"",$M126-$L126,IF(TODAY()&gt;$L126,TODAY()-$L126,0)))</f>
        <v/>
      </c>
      <c r="AA126" s="37"/>
    </row>
    <row r="127" customFormat="false" ht="18" hidden="false" customHeight="true" outlineLevel="0" collapsed="false">
      <c r="A127" s="30"/>
      <c r="B127" s="31"/>
      <c r="C127" s="31"/>
      <c r="D127" s="31"/>
      <c r="E127" s="31"/>
      <c r="F127" s="32"/>
      <c r="G127" s="31"/>
      <c r="H127" s="31"/>
      <c r="I127" s="33"/>
      <c r="J127" s="34"/>
      <c r="K127" s="34"/>
      <c r="L127" s="34"/>
      <c r="M127" s="34"/>
      <c r="N127" s="19" t="str">
        <f aca="false">IF($J127="","",YEAR($J127)-IF(MONTH($J127)&lt;マスタ!$B$4,1,0))</f>
        <v/>
      </c>
      <c r="O127" s="20" t="str">
        <f aca="false">IF($J127="","","Q"&amp;(INT(MOD(MONTH($J127)-マスタ!$B$4+12,12)/3)+1))</f>
        <v/>
      </c>
      <c r="P127" s="35"/>
      <c r="Q127" s="22" t="str">
        <f aca="false">IF($P127="","",$P127*N($F127))</f>
        <v/>
      </c>
      <c r="R127" s="35"/>
      <c r="S127" s="22" t="str">
        <f aca="false">IF($P127="","",$P127-N($R127))</f>
        <v/>
      </c>
      <c r="T127" s="23" t="str">
        <f aca="false">IF(N($P127)=0,"",$S127/$P127)</f>
        <v/>
      </c>
      <c r="U127" s="36"/>
      <c r="V127" s="25" t="str">
        <f aca="false">IF($A127="","",SUMIFS(工数明細!$G$3:$G$302,工数明細!$B$3:$B$302,$A127))</f>
        <v/>
      </c>
      <c r="W127" s="26" t="str">
        <f aca="false">IF($U127="","",$U127-N($V127))</f>
        <v/>
      </c>
      <c r="X127" s="23" t="str">
        <f aca="false">IF(N($U127)=0,"",$V127/$U127)</f>
        <v/>
      </c>
      <c r="Y127" s="20" t="str">
        <f aca="false">IF(N($U127)=0,"",IF($V127&gt;$U127,"超過",IF($V127&gt;=$U127*0.9,"注意","適正")))</f>
        <v/>
      </c>
      <c r="Z127" s="27" t="str">
        <f aca="true">IF($L127="","",IF($M127&lt;&gt;"",$M127-$L127,IF(TODAY()&gt;$L127,TODAY()-$L127,0)))</f>
        <v/>
      </c>
      <c r="AA127" s="37"/>
    </row>
    <row r="128" customFormat="false" ht="18" hidden="false" customHeight="true" outlineLevel="0" collapsed="false">
      <c r="A128" s="30"/>
      <c r="B128" s="31"/>
      <c r="C128" s="31"/>
      <c r="D128" s="31"/>
      <c r="E128" s="31"/>
      <c r="F128" s="32"/>
      <c r="G128" s="31"/>
      <c r="H128" s="31"/>
      <c r="I128" s="33"/>
      <c r="J128" s="34"/>
      <c r="K128" s="34"/>
      <c r="L128" s="34"/>
      <c r="M128" s="34"/>
      <c r="N128" s="19" t="str">
        <f aca="false">IF($J128="","",YEAR($J128)-IF(MONTH($J128)&lt;マスタ!$B$4,1,0))</f>
        <v/>
      </c>
      <c r="O128" s="20" t="str">
        <f aca="false">IF($J128="","","Q"&amp;(INT(MOD(MONTH($J128)-マスタ!$B$4+12,12)/3)+1))</f>
        <v/>
      </c>
      <c r="P128" s="35"/>
      <c r="Q128" s="22" t="str">
        <f aca="false">IF($P128="","",$P128*N($F128))</f>
        <v/>
      </c>
      <c r="R128" s="35"/>
      <c r="S128" s="22" t="str">
        <f aca="false">IF($P128="","",$P128-N($R128))</f>
        <v/>
      </c>
      <c r="T128" s="23" t="str">
        <f aca="false">IF(N($P128)=0,"",$S128/$P128)</f>
        <v/>
      </c>
      <c r="U128" s="36"/>
      <c r="V128" s="25" t="str">
        <f aca="false">IF($A128="","",SUMIFS(工数明細!$G$3:$G$302,工数明細!$B$3:$B$302,$A128))</f>
        <v/>
      </c>
      <c r="W128" s="26" t="str">
        <f aca="false">IF($U128="","",$U128-N($V128))</f>
        <v/>
      </c>
      <c r="X128" s="23" t="str">
        <f aca="false">IF(N($U128)=0,"",$V128/$U128)</f>
        <v/>
      </c>
      <c r="Y128" s="20" t="str">
        <f aca="false">IF(N($U128)=0,"",IF($V128&gt;$U128,"超過",IF($V128&gt;=$U128*0.9,"注意","適正")))</f>
        <v/>
      </c>
      <c r="Z128" s="27" t="str">
        <f aca="true">IF($L128="","",IF($M128&lt;&gt;"",$M128-$L128,IF(TODAY()&gt;$L128,TODAY()-$L128,0)))</f>
        <v/>
      </c>
      <c r="AA128" s="37"/>
    </row>
    <row r="129" customFormat="false" ht="18" hidden="false" customHeight="true" outlineLevel="0" collapsed="false">
      <c r="A129" s="30"/>
      <c r="B129" s="31"/>
      <c r="C129" s="31"/>
      <c r="D129" s="31"/>
      <c r="E129" s="31"/>
      <c r="F129" s="32"/>
      <c r="G129" s="31"/>
      <c r="H129" s="31"/>
      <c r="I129" s="33"/>
      <c r="J129" s="34"/>
      <c r="K129" s="34"/>
      <c r="L129" s="34"/>
      <c r="M129" s="34"/>
      <c r="N129" s="19" t="str">
        <f aca="false">IF($J129="","",YEAR($J129)-IF(MONTH($J129)&lt;マスタ!$B$4,1,0))</f>
        <v/>
      </c>
      <c r="O129" s="20" t="str">
        <f aca="false">IF($J129="","","Q"&amp;(INT(MOD(MONTH($J129)-マスタ!$B$4+12,12)/3)+1))</f>
        <v/>
      </c>
      <c r="P129" s="35"/>
      <c r="Q129" s="22" t="str">
        <f aca="false">IF($P129="","",$P129*N($F129))</f>
        <v/>
      </c>
      <c r="R129" s="35"/>
      <c r="S129" s="22" t="str">
        <f aca="false">IF($P129="","",$P129-N($R129))</f>
        <v/>
      </c>
      <c r="T129" s="23" t="str">
        <f aca="false">IF(N($P129)=0,"",$S129/$P129)</f>
        <v/>
      </c>
      <c r="U129" s="36"/>
      <c r="V129" s="25" t="str">
        <f aca="false">IF($A129="","",SUMIFS(工数明細!$G$3:$G$302,工数明細!$B$3:$B$302,$A129))</f>
        <v/>
      </c>
      <c r="W129" s="26" t="str">
        <f aca="false">IF($U129="","",$U129-N($V129))</f>
        <v/>
      </c>
      <c r="X129" s="23" t="str">
        <f aca="false">IF(N($U129)=0,"",$V129/$U129)</f>
        <v/>
      </c>
      <c r="Y129" s="20" t="str">
        <f aca="false">IF(N($U129)=0,"",IF($V129&gt;$U129,"超過",IF($V129&gt;=$U129*0.9,"注意","適正")))</f>
        <v/>
      </c>
      <c r="Z129" s="27" t="str">
        <f aca="true">IF($L129="","",IF($M129&lt;&gt;"",$M129-$L129,IF(TODAY()&gt;$L129,TODAY()-$L129,0)))</f>
        <v/>
      </c>
      <c r="AA129" s="37"/>
    </row>
    <row r="130" customFormat="false" ht="18" hidden="false" customHeight="true" outlineLevel="0" collapsed="false">
      <c r="A130" s="30"/>
      <c r="B130" s="31"/>
      <c r="C130" s="31"/>
      <c r="D130" s="31"/>
      <c r="E130" s="31"/>
      <c r="F130" s="32"/>
      <c r="G130" s="31"/>
      <c r="H130" s="31"/>
      <c r="I130" s="33"/>
      <c r="J130" s="34"/>
      <c r="K130" s="34"/>
      <c r="L130" s="34"/>
      <c r="M130" s="34"/>
      <c r="N130" s="19" t="str">
        <f aca="false">IF($J130="","",YEAR($J130)-IF(MONTH($J130)&lt;マスタ!$B$4,1,0))</f>
        <v/>
      </c>
      <c r="O130" s="20" t="str">
        <f aca="false">IF($J130="","","Q"&amp;(INT(MOD(MONTH($J130)-マスタ!$B$4+12,12)/3)+1))</f>
        <v/>
      </c>
      <c r="P130" s="35"/>
      <c r="Q130" s="22" t="str">
        <f aca="false">IF($P130="","",$P130*N($F130))</f>
        <v/>
      </c>
      <c r="R130" s="35"/>
      <c r="S130" s="22" t="str">
        <f aca="false">IF($P130="","",$P130-N($R130))</f>
        <v/>
      </c>
      <c r="T130" s="23" t="str">
        <f aca="false">IF(N($P130)=0,"",$S130/$P130)</f>
        <v/>
      </c>
      <c r="U130" s="36"/>
      <c r="V130" s="25" t="str">
        <f aca="false">IF($A130="","",SUMIFS(工数明細!$G$3:$G$302,工数明細!$B$3:$B$302,$A130))</f>
        <v/>
      </c>
      <c r="W130" s="26" t="str">
        <f aca="false">IF($U130="","",$U130-N($V130))</f>
        <v/>
      </c>
      <c r="X130" s="23" t="str">
        <f aca="false">IF(N($U130)=0,"",$V130/$U130)</f>
        <v/>
      </c>
      <c r="Y130" s="20" t="str">
        <f aca="false">IF(N($U130)=0,"",IF($V130&gt;$U130,"超過",IF($V130&gt;=$U130*0.9,"注意","適正")))</f>
        <v/>
      </c>
      <c r="Z130" s="27" t="str">
        <f aca="true">IF($L130="","",IF($M130&lt;&gt;"",$M130-$L130,IF(TODAY()&gt;$L130,TODAY()-$L130,0)))</f>
        <v/>
      </c>
      <c r="AA130" s="37"/>
    </row>
    <row r="131" customFormat="false" ht="18" hidden="false" customHeight="true" outlineLevel="0" collapsed="false">
      <c r="A131" s="30"/>
      <c r="B131" s="31"/>
      <c r="C131" s="31"/>
      <c r="D131" s="31"/>
      <c r="E131" s="31"/>
      <c r="F131" s="32"/>
      <c r="G131" s="31"/>
      <c r="H131" s="31"/>
      <c r="I131" s="33"/>
      <c r="J131" s="34"/>
      <c r="K131" s="34"/>
      <c r="L131" s="34"/>
      <c r="M131" s="34"/>
      <c r="N131" s="19" t="str">
        <f aca="false">IF($J131="","",YEAR($J131)-IF(MONTH($J131)&lt;マスタ!$B$4,1,0))</f>
        <v/>
      </c>
      <c r="O131" s="20" t="str">
        <f aca="false">IF($J131="","","Q"&amp;(INT(MOD(MONTH($J131)-マスタ!$B$4+12,12)/3)+1))</f>
        <v/>
      </c>
      <c r="P131" s="35"/>
      <c r="Q131" s="22" t="str">
        <f aca="false">IF($P131="","",$P131*N($F131))</f>
        <v/>
      </c>
      <c r="R131" s="35"/>
      <c r="S131" s="22" t="str">
        <f aca="false">IF($P131="","",$P131-N($R131))</f>
        <v/>
      </c>
      <c r="T131" s="23" t="str">
        <f aca="false">IF(N($P131)=0,"",$S131/$P131)</f>
        <v/>
      </c>
      <c r="U131" s="36"/>
      <c r="V131" s="25" t="str">
        <f aca="false">IF($A131="","",SUMIFS(工数明細!$G$3:$G$302,工数明細!$B$3:$B$302,$A131))</f>
        <v/>
      </c>
      <c r="W131" s="26" t="str">
        <f aca="false">IF($U131="","",$U131-N($V131))</f>
        <v/>
      </c>
      <c r="X131" s="23" t="str">
        <f aca="false">IF(N($U131)=0,"",$V131/$U131)</f>
        <v/>
      </c>
      <c r="Y131" s="20" t="str">
        <f aca="false">IF(N($U131)=0,"",IF($V131&gt;$U131,"超過",IF($V131&gt;=$U131*0.9,"注意","適正")))</f>
        <v/>
      </c>
      <c r="Z131" s="27" t="str">
        <f aca="true">IF($L131="","",IF($M131&lt;&gt;"",$M131-$L131,IF(TODAY()&gt;$L131,TODAY()-$L131,0)))</f>
        <v/>
      </c>
      <c r="AA131" s="37"/>
    </row>
    <row r="132" customFormat="false" ht="18" hidden="false" customHeight="true" outlineLevel="0" collapsed="false">
      <c r="A132" s="30"/>
      <c r="B132" s="31"/>
      <c r="C132" s="31"/>
      <c r="D132" s="31"/>
      <c r="E132" s="31"/>
      <c r="F132" s="32"/>
      <c r="G132" s="31"/>
      <c r="H132" s="31"/>
      <c r="I132" s="33"/>
      <c r="J132" s="34"/>
      <c r="K132" s="34"/>
      <c r="L132" s="34"/>
      <c r="M132" s="34"/>
      <c r="N132" s="19" t="str">
        <f aca="false">IF($J132="","",YEAR($J132)-IF(MONTH($J132)&lt;マスタ!$B$4,1,0))</f>
        <v/>
      </c>
      <c r="O132" s="20" t="str">
        <f aca="false">IF($J132="","","Q"&amp;(INT(MOD(MONTH($J132)-マスタ!$B$4+12,12)/3)+1))</f>
        <v/>
      </c>
      <c r="P132" s="35"/>
      <c r="Q132" s="22" t="str">
        <f aca="false">IF($P132="","",$P132*N($F132))</f>
        <v/>
      </c>
      <c r="R132" s="35"/>
      <c r="S132" s="22" t="str">
        <f aca="false">IF($P132="","",$P132-N($R132))</f>
        <v/>
      </c>
      <c r="T132" s="23" t="str">
        <f aca="false">IF(N($P132)=0,"",$S132/$P132)</f>
        <v/>
      </c>
      <c r="U132" s="36"/>
      <c r="V132" s="25" t="str">
        <f aca="false">IF($A132="","",SUMIFS(工数明細!$G$3:$G$302,工数明細!$B$3:$B$302,$A132))</f>
        <v/>
      </c>
      <c r="W132" s="26" t="str">
        <f aca="false">IF($U132="","",$U132-N($V132))</f>
        <v/>
      </c>
      <c r="X132" s="23" t="str">
        <f aca="false">IF(N($U132)=0,"",$V132/$U132)</f>
        <v/>
      </c>
      <c r="Y132" s="20" t="str">
        <f aca="false">IF(N($U132)=0,"",IF($V132&gt;$U132,"超過",IF($V132&gt;=$U132*0.9,"注意","適正")))</f>
        <v/>
      </c>
      <c r="Z132" s="27" t="str">
        <f aca="true">IF($L132="","",IF($M132&lt;&gt;"",$M132-$L132,IF(TODAY()&gt;$L132,TODAY()-$L132,0)))</f>
        <v/>
      </c>
      <c r="AA132" s="37"/>
    </row>
    <row r="133" customFormat="false" ht="18" hidden="false" customHeight="true" outlineLevel="0" collapsed="false">
      <c r="A133" s="30"/>
      <c r="B133" s="31"/>
      <c r="C133" s="31"/>
      <c r="D133" s="31"/>
      <c r="E133" s="31"/>
      <c r="F133" s="32"/>
      <c r="G133" s="31"/>
      <c r="H133" s="31"/>
      <c r="I133" s="33"/>
      <c r="J133" s="34"/>
      <c r="K133" s="34"/>
      <c r="L133" s="34"/>
      <c r="M133" s="34"/>
      <c r="N133" s="19" t="str">
        <f aca="false">IF($J133="","",YEAR($J133)-IF(MONTH($J133)&lt;マスタ!$B$4,1,0))</f>
        <v/>
      </c>
      <c r="O133" s="20" t="str">
        <f aca="false">IF($J133="","","Q"&amp;(INT(MOD(MONTH($J133)-マスタ!$B$4+12,12)/3)+1))</f>
        <v/>
      </c>
      <c r="P133" s="35"/>
      <c r="Q133" s="22" t="str">
        <f aca="false">IF($P133="","",$P133*N($F133))</f>
        <v/>
      </c>
      <c r="R133" s="35"/>
      <c r="S133" s="22" t="str">
        <f aca="false">IF($P133="","",$P133-N($R133))</f>
        <v/>
      </c>
      <c r="T133" s="23" t="str">
        <f aca="false">IF(N($P133)=0,"",$S133/$P133)</f>
        <v/>
      </c>
      <c r="U133" s="36"/>
      <c r="V133" s="25" t="str">
        <f aca="false">IF($A133="","",SUMIFS(工数明細!$G$3:$G$302,工数明細!$B$3:$B$302,$A133))</f>
        <v/>
      </c>
      <c r="W133" s="26" t="str">
        <f aca="false">IF($U133="","",$U133-N($V133))</f>
        <v/>
      </c>
      <c r="X133" s="23" t="str">
        <f aca="false">IF(N($U133)=0,"",$V133/$U133)</f>
        <v/>
      </c>
      <c r="Y133" s="20" t="str">
        <f aca="false">IF(N($U133)=0,"",IF($V133&gt;$U133,"超過",IF($V133&gt;=$U133*0.9,"注意","適正")))</f>
        <v/>
      </c>
      <c r="Z133" s="27" t="str">
        <f aca="true">IF($L133="","",IF($M133&lt;&gt;"",$M133-$L133,IF(TODAY()&gt;$L133,TODAY()-$L133,0)))</f>
        <v/>
      </c>
      <c r="AA133" s="37"/>
    </row>
    <row r="134" customFormat="false" ht="18" hidden="false" customHeight="true" outlineLevel="0" collapsed="false">
      <c r="A134" s="30"/>
      <c r="B134" s="31"/>
      <c r="C134" s="31"/>
      <c r="D134" s="31"/>
      <c r="E134" s="31"/>
      <c r="F134" s="32"/>
      <c r="G134" s="31"/>
      <c r="H134" s="31"/>
      <c r="I134" s="33"/>
      <c r="J134" s="34"/>
      <c r="K134" s="34"/>
      <c r="L134" s="34"/>
      <c r="M134" s="34"/>
      <c r="N134" s="19" t="str">
        <f aca="false">IF($J134="","",YEAR($J134)-IF(MONTH($J134)&lt;マスタ!$B$4,1,0))</f>
        <v/>
      </c>
      <c r="O134" s="20" t="str">
        <f aca="false">IF($J134="","","Q"&amp;(INT(MOD(MONTH($J134)-マスタ!$B$4+12,12)/3)+1))</f>
        <v/>
      </c>
      <c r="P134" s="35"/>
      <c r="Q134" s="22" t="str">
        <f aca="false">IF($P134="","",$P134*N($F134))</f>
        <v/>
      </c>
      <c r="R134" s="35"/>
      <c r="S134" s="22" t="str">
        <f aca="false">IF($P134="","",$P134-N($R134))</f>
        <v/>
      </c>
      <c r="T134" s="23" t="str">
        <f aca="false">IF(N($P134)=0,"",$S134/$P134)</f>
        <v/>
      </c>
      <c r="U134" s="36"/>
      <c r="V134" s="25" t="str">
        <f aca="false">IF($A134="","",SUMIFS(工数明細!$G$3:$G$302,工数明細!$B$3:$B$302,$A134))</f>
        <v/>
      </c>
      <c r="W134" s="26" t="str">
        <f aca="false">IF($U134="","",$U134-N($V134))</f>
        <v/>
      </c>
      <c r="X134" s="23" t="str">
        <f aca="false">IF(N($U134)=0,"",$V134/$U134)</f>
        <v/>
      </c>
      <c r="Y134" s="20" t="str">
        <f aca="false">IF(N($U134)=0,"",IF($V134&gt;$U134,"超過",IF($V134&gt;=$U134*0.9,"注意","適正")))</f>
        <v/>
      </c>
      <c r="Z134" s="27" t="str">
        <f aca="true">IF($L134="","",IF($M134&lt;&gt;"",$M134-$L134,IF(TODAY()&gt;$L134,TODAY()-$L134,0)))</f>
        <v/>
      </c>
      <c r="AA134" s="37"/>
    </row>
    <row r="135" customFormat="false" ht="18" hidden="false" customHeight="true" outlineLevel="0" collapsed="false">
      <c r="A135" s="30"/>
      <c r="B135" s="31"/>
      <c r="C135" s="31"/>
      <c r="D135" s="31"/>
      <c r="E135" s="31"/>
      <c r="F135" s="32"/>
      <c r="G135" s="31"/>
      <c r="H135" s="31"/>
      <c r="I135" s="33"/>
      <c r="J135" s="34"/>
      <c r="K135" s="34"/>
      <c r="L135" s="34"/>
      <c r="M135" s="34"/>
      <c r="N135" s="19" t="str">
        <f aca="false">IF($J135="","",YEAR($J135)-IF(MONTH($J135)&lt;マスタ!$B$4,1,0))</f>
        <v/>
      </c>
      <c r="O135" s="20" t="str">
        <f aca="false">IF($J135="","","Q"&amp;(INT(MOD(MONTH($J135)-マスタ!$B$4+12,12)/3)+1))</f>
        <v/>
      </c>
      <c r="P135" s="35"/>
      <c r="Q135" s="22" t="str">
        <f aca="false">IF($P135="","",$P135*N($F135))</f>
        <v/>
      </c>
      <c r="R135" s="35"/>
      <c r="S135" s="22" t="str">
        <f aca="false">IF($P135="","",$P135-N($R135))</f>
        <v/>
      </c>
      <c r="T135" s="23" t="str">
        <f aca="false">IF(N($P135)=0,"",$S135/$P135)</f>
        <v/>
      </c>
      <c r="U135" s="36"/>
      <c r="V135" s="25" t="str">
        <f aca="false">IF($A135="","",SUMIFS(工数明細!$G$3:$G$302,工数明細!$B$3:$B$302,$A135))</f>
        <v/>
      </c>
      <c r="W135" s="26" t="str">
        <f aca="false">IF($U135="","",$U135-N($V135))</f>
        <v/>
      </c>
      <c r="X135" s="23" t="str">
        <f aca="false">IF(N($U135)=0,"",$V135/$U135)</f>
        <v/>
      </c>
      <c r="Y135" s="20" t="str">
        <f aca="false">IF(N($U135)=0,"",IF($V135&gt;$U135,"超過",IF($V135&gt;=$U135*0.9,"注意","適正")))</f>
        <v/>
      </c>
      <c r="Z135" s="27" t="str">
        <f aca="true">IF($L135="","",IF($M135&lt;&gt;"",$M135-$L135,IF(TODAY()&gt;$L135,TODAY()-$L135,0)))</f>
        <v/>
      </c>
      <c r="AA135" s="37"/>
    </row>
    <row r="136" customFormat="false" ht="18" hidden="false" customHeight="true" outlineLevel="0" collapsed="false">
      <c r="A136" s="30"/>
      <c r="B136" s="31"/>
      <c r="C136" s="31"/>
      <c r="D136" s="31"/>
      <c r="E136" s="31"/>
      <c r="F136" s="32"/>
      <c r="G136" s="31"/>
      <c r="H136" s="31"/>
      <c r="I136" s="33"/>
      <c r="J136" s="34"/>
      <c r="K136" s="34"/>
      <c r="L136" s="34"/>
      <c r="M136" s="34"/>
      <c r="N136" s="19" t="str">
        <f aca="false">IF($J136="","",YEAR($J136)-IF(MONTH($J136)&lt;マスタ!$B$4,1,0))</f>
        <v/>
      </c>
      <c r="O136" s="20" t="str">
        <f aca="false">IF($J136="","","Q"&amp;(INT(MOD(MONTH($J136)-マスタ!$B$4+12,12)/3)+1))</f>
        <v/>
      </c>
      <c r="P136" s="35"/>
      <c r="Q136" s="22" t="str">
        <f aca="false">IF($P136="","",$P136*N($F136))</f>
        <v/>
      </c>
      <c r="R136" s="35"/>
      <c r="S136" s="22" t="str">
        <f aca="false">IF($P136="","",$P136-N($R136))</f>
        <v/>
      </c>
      <c r="T136" s="23" t="str">
        <f aca="false">IF(N($P136)=0,"",$S136/$P136)</f>
        <v/>
      </c>
      <c r="U136" s="36"/>
      <c r="V136" s="25" t="str">
        <f aca="false">IF($A136="","",SUMIFS(工数明細!$G$3:$G$302,工数明細!$B$3:$B$302,$A136))</f>
        <v/>
      </c>
      <c r="W136" s="26" t="str">
        <f aca="false">IF($U136="","",$U136-N($V136))</f>
        <v/>
      </c>
      <c r="X136" s="23" t="str">
        <f aca="false">IF(N($U136)=0,"",$V136/$U136)</f>
        <v/>
      </c>
      <c r="Y136" s="20" t="str">
        <f aca="false">IF(N($U136)=0,"",IF($V136&gt;$U136,"超過",IF($V136&gt;=$U136*0.9,"注意","適正")))</f>
        <v/>
      </c>
      <c r="Z136" s="27" t="str">
        <f aca="true">IF($L136="","",IF($M136&lt;&gt;"",$M136-$L136,IF(TODAY()&gt;$L136,TODAY()-$L136,0)))</f>
        <v/>
      </c>
      <c r="AA136" s="37"/>
    </row>
    <row r="137" customFormat="false" ht="18" hidden="false" customHeight="true" outlineLevel="0" collapsed="false">
      <c r="A137" s="30"/>
      <c r="B137" s="31"/>
      <c r="C137" s="31"/>
      <c r="D137" s="31"/>
      <c r="E137" s="31"/>
      <c r="F137" s="32"/>
      <c r="G137" s="31"/>
      <c r="H137" s="31"/>
      <c r="I137" s="33"/>
      <c r="J137" s="34"/>
      <c r="K137" s="34"/>
      <c r="L137" s="34"/>
      <c r="M137" s="34"/>
      <c r="N137" s="19" t="str">
        <f aca="false">IF($J137="","",YEAR($J137)-IF(MONTH($J137)&lt;マスタ!$B$4,1,0))</f>
        <v/>
      </c>
      <c r="O137" s="20" t="str">
        <f aca="false">IF($J137="","","Q"&amp;(INT(MOD(MONTH($J137)-マスタ!$B$4+12,12)/3)+1))</f>
        <v/>
      </c>
      <c r="P137" s="35"/>
      <c r="Q137" s="22" t="str">
        <f aca="false">IF($P137="","",$P137*N($F137))</f>
        <v/>
      </c>
      <c r="R137" s="35"/>
      <c r="S137" s="22" t="str">
        <f aca="false">IF($P137="","",$P137-N($R137))</f>
        <v/>
      </c>
      <c r="T137" s="23" t="str">
        <f aca="false">IF(N($P137)=0,"",$S137/$P137)</f>
        <v/>
      </c>
      <c r="U137" s="36"/>
      <c r="V137" s="25" t="str">
        <f aca="false">IF($A137="","",SUMIFS(工数明細!$G$3:$G$302,工数明細!$B$3:$B$302,$A137))</f>
        <v/>
      </c>
      <c r="W137" s="26" t="str">
        <f aca="false">IF($U137="","",$U137-N($V137))</f>
        <v/>
      </c>
      <c r="X137" s="23" t="str">
        <f aca="false">IF(N($U137)=0,"",$V137/$U137)</f>
        <v/>
      </c>
      <c r="Y137" s="20" t="str">
        <f aca="false">IF(N($U137)=0,"",IF($V137&gt;$U137,"超過",IF($V137&gt;=$U137*0.9,"注意","適正")))</f>
        <v/>
      </c>
      <c r="Z137" s="27" t="str">
        <f aca="true">IF($L137="","",IF($M137&lt;&gt;"",$M137-$L137,IF(TODAY()&gt;$L137,TODAY()-$L137,0)))</f>
        <v/>
      </c>
      <c r="AA137" s="37"/>
    </row>
    <row r="138" customFormat="false" ht="18" hidden="false" customHeight="true" outlineLevel="0" collapsed="false">
      <c r="A138" s="30"/>
      <c r="B138" s="31"/>
      <c r="C138" s="31"/>
      <c r="D138" s="31"/>
      <c r="E138" s="31"/>
      <c r="F138" s="32"/>
      <c r="G138" s="31"/>
      <c r="H138" s="31"/>
      <c r="I138" s="33"/>
      <c r="J138" s="34"/>
      <c r="K138" s="34"/>
      <c r="L138" s="34"/>
      <c r="M138" s="34"/>
      <c r="N138" s="19" t="str">
        <f aca="false">IF($J138="","",YEAR($J138)-IF(MONTH($J138)&lt;マスタ!$B$4,1,0))</f>
        <v/>
      </c>
      <c r="O138" s="20" t="str">
        <f aca="false">IF($J138="","","Q"&amp;(INT(MOD(MONTH($J138)-マスタ!$B$4+12,12)/3)+1))</f>
        <v/>
      </c>
      <c r="P138" s="35"/>
      <c r="Q138" s="22" t="str">
        <f aca="false">IF($P138="","",$P138*N($F138))</f>
        <v/>
      </c>
      <c r="R138" s="35"/>
      <c r="S138" s="22" t="str">
        <f aca="false">IF($P138="","",$P138-N($R138))</f>
        <v/>
      </c>
      <c r="T138" s="23" t="str">
        <f aca="false">IF(N($P138)=0,"",$S138/$P138)</f>
        <v/>
      </c>
      <c r="U138" s="36"/>
      <c r="V138" s="25" t="str">
        <f aca="false">IF($A138="","",SUMIFS(工数明細!$G$3:$G$302,工数明細!$B$3:$B$302,$A138))</f>
        <v/>
      </c>
      <c r="W138" s="26" t="str">
        <f aca="false">IF($U138="","",$U138-N($V138))</f>
        <v/>
      </c>
      <c r="X138" s="23" t="str">
        <f aca="false">IF(N($U138)=0,"",$V138/$U138)</f>
        <v/>
      </c>
      <c r="Y138" s="20" t="str">
        <f aca="false">IF(N($U138)=0,"",IF($V138&gt;$U138,"超過",IF($V138&gt;=$U138*0.9,"注意","適正")))</f>
        <v/>
      </c>
      <c r="Z138" s="27" t="str">
        <f aca="true">IF($L138="","",IF($M138&lt;&gt;"",$M138-$L138,IF(TODAY()&gt;$L138,TODAY()-$L138,0)))</f>
        <v/>
      </c>
      <c r="AA138" s="37"/>
    </row>
    <row r="139" customFormat="false" ht="18" hidden="false" customHeight="true" outlineLevel="0" collapsed="false">
      <c r="A139" s="30"/>
      <c r="B139" s="31"/>
      <c r="C139" s="31"/>
      <c r="D139" s="31"/>
      <c r="E139" s="31"/>
      <c r="F139" s="32"/>
      <c r="G139" s="31"/>
      <c r="H139" s="31"/>
      <c r="I139" s="33"/>
      <c r="J139" s="34"/>
      <c r="K139" s="34"/>
      <c r="L139" s="34"/>
      <c r="M139" s="34"/>
      <c r="N139" s="19" t="str">
        <f aca="false">IF($J139="","",YEAR($J139)-IF(MONTH($J139)&lt;マスタ!$B$4,1,0))</f>
        <v/>
      </c>
      <c r="O139" s="20" t="str">
        <f aca="false">IF($J139="","","Q"&amp;(INT(MOD(MONTH($J139)-マスタ!$B$4+12,12)/3)+1))</f>
        <v/>
      </c>
      <c r="P139" s="35"/>
      <c r="Q139" s="22" t="str">
        <f aca="false">IF($P139="","",$P139*N($F139))</f>
        <v/>
      </c>
      <c r="R139" s="35"/>
      <c r="S139" s="22" t="str">
        <f aca="false">IF($P139="","",$P139-N($R139))</f>
        <v/>
      </c>
      <c r="T139" s="23" t="str">
        <f aca="false">IF(N($P139)=0,"",$S139/$P139)</f>
        <v/>
      </c>
      <c r="U139" s="36"/>
      <c r="V139" s="25" t="str">
        <f aca="false">IF($A139="","",SUMIFS(工数明細!$G$3:$G$302,工数明細!$B$3:$B$302,$A139))</f>
        <v/>
      </c>
      <c r="W139" s="26" t="str">
        <f aca="false">IF($U139="","",$U139-N($V139))</f>
        <v/>
      </c>
      <c r="X139" s="23" t="str">
        <f aca="false">IF(N($U139)=0,"",$V139/$U139)</f>
        <v/>
      </c>
      <c r="Y139" s="20" t="str">
        <f aca="false">IF(N($U139)=0,"",IF($V139&gt;$U139,"超過",IF($V139&gt;=$U139*0.9,"注意","適正")))</f>
        <v/>
      </c>
      <c r="Z139" s="27" t="str">
        <f aca="true">IF($L139="","",IF($M139&lt;&gt;"",$M139-$L139,IF(TODAY()&gt;$L139,TODAY()-$L139,0)))</f>
        <v/>
      </c>
      <c r="AA139" s="37"/>
    </row>
    <row r="140" customFormat="false" ht="18" hidden="false" customHeight="true" outlineLevel="0" collapsed="false">
      <c r="A140" s="30"/>
      <c r="B140" s="31"/>
      <c r="C140" s="31"/>
      <c r="D140" s="31"/>
      <c r="E140" s="31"/>
      <c r="F140" s="32"/>
      <c r="G140" s="31"/>
      <c r="H140" s="31"/>
      <c r="I140" s="33"/>
      <c r="J140" s="34"/>
      <c r="K140" s="34"/>
      <c r="L140" s="34"/>
      <c r="M140" s="34"/>
      <c r="N140" s="19" t="str">
        <f aca="false">IF($J140="","",YEAR($J140)-IF(MONTH($J140)&lt;マスタ!$B$4,1,0))</f>
        <v/>
      </c>
      <c r="O140" s="20" t="str">
        <f aca="false">IF($J140="","","Q"&amp;(INT(MOD(MONTH($J140)-マスタ!$B$4+12,12)/3)+1))</f>
        <v/>
      </c>
      <c r="P140" s="35"/>
      <c r="Q140" s="22" t="str">
        <f aca="false">IF($P140="","",$P140*N($F140))</f>
        <v/>
      </c>
      <c r="R140" s="35"/>
      <c r="S140" s="22" t="str">
        <f aca="false">IF($P140="","",$P140-N($R140))</f>
        <v/>
      </c>
      <c r="T140" s="23" t="str">
        <f aca="false">IF(N($P140)=0,"",$S140/$P140)</f>
        <v/>
      </c>
      <c r="U140" s="36"/>
      <c r="V140" s="25" t="str">
        <f aca="false">IF($A140="","",SUMIFS(工数明細!$G$3:$G$302,工数明細!$B$3:$B$302,$A140))</f>
        <v/>
      </c>
      <c r="W140" s="26" t="str">
        <f aca="false">IF($U140="","",$U140-N($V140))</f>
        <v/>
      </c>
      <c r="X140" s="23" t="str">
        <f aca="false">IF(N($U140)=0,"",$V140/$U140)</f>
        <v/>
      </c>
      <c r="Y140" s="20" t="str">
        <f aca="false">IF(N($U140)=0,"",IF($V140&gt;$U140,"超過",IF($V140&gt;=$U140*0.9,"注意","適正")))</f>
        <v/>
      </c>
      <c r="Z140" s="27" t="str">
        <f aca="true">IF($L140="","",IF($M140&lt;&gt;"",$M140-$L140,IF(TODAY()&gt;$L140,TODAY()-$L140,0)))</f>
        <v/>
      </c>
      <c r="AA140" s="37"/>
    </row>
    <row r="141" customFormat="false" ht="18" hidden="false" customHeight="true" outlineLevel="0" collapsed="false">
      <c r="A141" s="30"/>
      <c r="B141" s="31"/>
      <c r="C141" s="31"/>
      <c r="D141" s="31"/>
      <c r="E141" s="31"/>
      <c r="F141" s="32"/>
      <c r="G141" s="31"/>
      <c r="H141" s="31"/>
      <c r="I141" s="33"/>
      <c r="J141" s="34"/>
      <c r="K141" s="34"/>
      <c r="L141" s="34"/>
      <c r="M141" s="34"/>
      <c r="N141" s="19" t="str">
        <f aca="false">IF($J141="","",YEAR($J141)-IF(MONTH($J141)&lt;マスタ!$B$4,1,0))</f>
        <v/>
      </c>
      <c r="O141" s="20" t="str">
        <f aca="false">IF($J141="","","Q"&amp;(INT(MOD(MONTH($J141)-マスタ!$B$4+12,12)/3)+1))</f>
        <v/>
      </c>
      <c r="P141" s="35"/>
      <c r="Q141" s="22" t="str">
        <f aca="false">IF($P141="","",$P141*N($F141))</f>
        <v/>
      </c>
      <c r="R141" s="35"/>
      <c r="S141" s="22" t="str">
        <f aca="false">IF($P141="","",$P141-N($R141))</f>
        <v/>
      </c>
      <c r="T141" s="23" t="str">
        <f aca="false">IF(N($P141)=0,"",$S141/$P141)</f>
        <v/>
      </c>
      <c r="U141" s="36"/>
      <c r="V141" s="25" t="str">
        <f aca="false">IF($A141="","",SUMIFS(工数明細!$G$3:$G$302,工数明細!$B$3:$B$302,$A141))</f>
        <v/>
      </c>
      <c r="W141" s="26" t="str">
        <f aca="false">IF($U141="","",$U141-N($V141))</f>
        <v/>
      </c>
      <c r="X141" s="23" t="str">
        <f aca="false">IF(N($U141)=0,"",$V141/$U141)</f>
        <v/>
      </c>
      <c r="Y141" s="20" t="str">
        <f aca="false">IF(N($U141)=0,"",IF($V141&gt;$U141,"超過",IF($V141&gt;=$U141*0.9,"注意","適正")))</f>
        <v/>
      </c>
      <c r="Z141" s="27" t="str">
        <f aca="true">IF($L141="","",IF($M141&lt;&gt;"",$M141-$L141,IF(TODAY()&gt;$L141,TODAY()-$L141,0)))</f>
        <v/>
      </c>
      <c r="AA141" s="37"/>
    </row>
    <row r="142" customFormat="false" ht="18" hidden="false" customHeight="true" outlineLevel="0" collapsed="false">
      <c r="A142" s="30"/>
      <c r="B142" s="31"/>
      <c r="C142" s="31"/>
      <c r="D142" s="31"/>
      <c r="E142" s="31"/>
      <c r="F142" s="32"/>
      <c r="G142" s="31"/>
      <c r="H142" s="31"/>
      <c r="I142" s="33"/>
      <c r="J142" s="34"/>
      <c r="K142" s="34"/>
      <c r="L142" s="34"/>
      <c r="M142" s="34"/>
      <c r="N142" s="19" t="str">
        <f aca="false">IF($J142="","",YEAR($J142)-IF(MONTH($J142)&lt;マスタ!$B$4,1,0))</f>
        <v/>
      </c>
      <c r="O142" s="20" t="str">
        <f aca="false">IF($J142="","","Q"&amp;(INT(MOD(MONTH($J142)-マスタ!$B$4+12,12)/3)+1))</f>
        <v/>
      </c>
      <c r="P142" s="35"/>
      <c r="Q142" s="22" t="str">
        <f aca="false">IF($P142="","",$P142*N($F142))</f>
        <v/>
      </c>
      <c r="R142" s="35"/>
      <c r="S142" s="22" t="str">
        <f aca="false">IF($P142="","",$P142-N($R142))</f>
        <v/>
      </c>
      <c r="T142" s="23" t="str">
        <f aca="false">IF(N($P142)=0,"",$S142/$P142)</f>
        <v/>
      </c>
      <c r="U142" s="36"/>
      <c r="V142" s="25" t="str">
        <f aca="false">IF($A142="","",SUMIFS(工数明細!$G$3:$G$302,工数明細!$B$3:$B$302,$A142))</f>
        <v/>
      </c>
      <c r="W142" s="26" t="str">
        <f aca="false">IF($U142="","",$U142-N($V142))</f>
        <v/>
      </c>
      <c r="X142" s="23" t="str">
        <f aca="false">IF(N($U142)=0,"",$V142/$U142)</f>
        <v/>
      </c>
      <c r="Y142" s="20" t="str">
        <f aca="false">IF(N($U142)=0,"",IF($V142&gt;$U142,"超過",IF($V142&gt;=$U142*0.9,"注意","適正")))</f>
        <v/>
      </c>
      <c r="Z142" s="27" t="str">
        <f aca="true">IF($L142="","",IF($M142&lt;&gt;"",$M142-$L142,IF(TODAY()&gt;$L142,TODAY()-$L142,0)))</f>
        <v/>
      </c>
      <c r="AA142" s="37"/>
    </row>
    <row r="143" customFormat="false" ht="18" hidden="false" customHeight="true" outlineLevel="0" collapsed="false">
      <c r="A143" s="30"/>
      <c r="B143" s="31"/>
      <c r="C143" s="31"/>
      <c r="D143" s="31"/>
      <c r="E143" s="31"/>
      <c r="F143" s="32"/>
      <c r="G143" s="31"/>
      <c r="H143" s="31"/>
      <c r="I143" s="33"/>
      <c r="J143" s="34"/>
      <c r="K143" s="34"/>
      <c r="L143" s="34"/>
      <c r="M143" s="34"/>
      <c r="N143" s="19" t="str">
        <f aca="false">IF($J143="","",YEAR($J143)-IF(MONTH($J143)&lt;マスタ!$B$4,1,0))</f>
        <v/>
      </c>
      <c r="O143" s="20" t="str">
        <f aca="false">IF($J143="","","Q"&amp;(INT(MOD(MONTH($J143)-マスタ!$B$4+12,12)/3)+1))</f>
        <v/>
      </c>
      <c r="P143" s="35"/>
      <c r="Q143" s="22" t="str">
        <f aca="false">IF($P143="","",$P143*N($F143))</f>
        <v/>
      </c>
      <c r="R143" s="35"/>
      <c r="S143" s="22" t="str">
        <f aca="false">IF($P143="","",$P143-N($R143))</f>
        <v/>
      </c>
      <c r="T143" s="23" t="str">
        <f aca="false">IF(N($P143)=0,"",$S143/$P143)</f>
        <v/>
      </c>
      <c r="U143" s="36"/>
      <c r="V143" s="25" t="str">
        <f aca="false">IF($A143="","",SUMIFS(工数明細!$G$3:$G$302,工数明細!$B$3:$B$302,$A143))</f>
        <v/>
      </c>
      <c r="W143" s="26" t="str">
        <f aca="false">IF($U143="","",$U143-N($V143))</f>
        <v/>
      </c>
      <c r="X143" s="23" t="str">
        <f aca="false">IF(N($U143)=0,"",$V143/$U143)</f>
        <v/>
      </c>
      <c r="Y143" s="20" t="str">
        <f aca="false">IF(N($U143)=0,"",IF($V143&gt;$U143,"超過",IF($V143&gt;=$U143*0.9,"注意","適正")))</f>
        <v/>
      </c>
      <c r="Z143" s="27" t="str">
        <f aca="true">IF($L143="","",IF($M143&lt;&gt;"",$M143-$L143,IF(TODAY()&gt;$L143,TODAY()-$L143,0)))</f>
        <v/>
      </c>
      <c r="AA143" s="37"/>
    </row>
    <row r="144" customFormat="false" ht="18" hidden="false" customHeight="true" outlineLevel="0" collapsed="false">
      <c r="A144" s="30"/>
      <c r="B144" s="31"/>
      <c r="C144" s="31"/>
      <c r="D144" s="31"/>
      <c r="E144" s="31"/>
      <c r="F144" s="32"/>
      <c r="G144" s="31"/>
      <c r="H144" s="31"/>
      <c r="I144" s="33"/>
      <c r="J144" s="34"/>
      <c r="K144" s="34"/>
      <c r="L144" s="34"/>
      <c r="M144" s="34"/>
      <c r="N144" s="19" t="str">
        <f aca="false">IF($J144="","",YEAR($J144)-IF(MONTH($J144)&lt;マスタ!$B$4,1,0))</f>
        <v/>
      </c>
      <c r="O144" s="20" t="str">
        <f aca="false">IF($J144="","","Q"&amp;(INT(MOD(MONTH($J144)-マスタ!$B$4+12,12)/3)+1))</f>
        <v/>
      </c>
      <c r="P144" s="35"/>
      <c r="Q144" s="22" t="str">
        <f aca="false">IF($P144="","",$P144*N($F144))</f>
        <v/>
      </c>
      <c r="R144" s="35"/>
      <c r="S144" s="22" t="str">
        <f aca="false">IF($P144="","",$P144-N($R144))</f>
        <v/>
      </c>
      <c r="T144" s="23" t="str">
        <f aca="false">IF(N($P144)=0,"",$S144/$P144)</f>
        <v/>
      </c>
      <c r="U144" s="36"/>
      <c r="V144" s="25" t="str">
        <f aca="false">IF($A144="","",SUMIFS(工数明細!$G$3:$G$302,工数明細!$B$3:$B$302,$A144))</f>
        <v/>
      </c>
      <c r="W144" s="26" t="str">
        <f aca="false">IF($U144="","",$U144-N($V144))</f>
        <v/>
      </c>
      <c r="X144" s="23" t="str">
        <f aca="false">IF(N($U144)=0,"",$V144/$U144)</f>
        <v/>
      </c>
      <c r="Y144" s="20" t="str">
        <f aca="false">IF(N($U144)=0,"",IF($V144&gt;$U144,"超過",IF($V144&gt;=$U144*0.9,"注意","適正")))</f>
        <v/>
      </c>
      <c r="Z144" s="27" t="str">
        <f aca="true">IF($L144="","",IF($M144&lt;&gt;"",$M144-$L144,IF(TODAY()&gt;$L144,TODAY()-$L144,0)))</f>
        <v/>
      </c>
      <c r="AA144" s="37"/>
    </row>
    <row r="145" customFormat="false" ht="18" hidden="false" customHeight="true" outlineLevel="0" collapsed="false">
      <c r="A145" s="30"/>
      <c r="B145" s="31"/>
      <c r="C145" s="31"/>
      <c r="D145" s="31"/>
      <c r="E145" s="31"/>
      <c r="F145" s="32"/>
      <c r="G145" s="31"/>
      <c r="H145" s="31"/>
      <c r="I145" s="33"/>
      <c r="J145" s="34"/>
      <c r="K145" s="34"/>
      <c r="L145" s="34"/>
      <c r="M145" s="34"/>
      <c r="N145" s="19" t="str">
        <f aca="false">IF($J145="","",YEAR($J145)-IF(MONTH($J145)&lt;マスタ!$B$4,1,0))</f>
        <v/>
      </c>
      <c r="O145" s="20" t="str">
        <f aca="false">IF($J145="","","Q"&amp;(INT(MOD(MONTH($J145)-マスタ!$B$4+12,12)/3)+1))</f>
        <v/>
      </c>
      <c r="P145" s="35"/>
      <c r="Q145" s="22" t="str">
        <f aca="false">IF($P145="","",$P145*N($F145))</f>
        <v/>
      </c>
      <c r="R145" s="35"/>
      <c r="S145" s="22" t="str">
        <f aca="false">IF($P145="","",$P145-N($R145))</f>
        <v/>
      </c>
      <c r="T145" s="23" t="str">
        <f aca="false">IF(N($P145)=0,"",$S145/$P145)</f>
        <v/>
      </c>
      <c r="U145" s="36"/>
      <c r="V145" s="25" t="str">
        <f aca="false">IF($A145="","",SUMIFS(工数明細!$G$3:$G$302,工数明細!$B$3:$B$302,$A145))</f>
        <v/>
      </c>
      <c r="W145" s="26" t="str">
        <f aca="false">IF($U145="","",$U145-N($V145))</f>
        <v/>
      </c>
      <c r="X145" s="23" t="str">
        <f aca="false">IF(N($U145)=0,"",$V145/$U145)</f>
        <v/>
      </c>
      <c r="Y145" s="20" t="str">
        <f aca="false">IF(N($U145)=0,"",IF($V145&gt;$U145,"超過",IF($V145&gt;=$U145*0.9,"注意","適正")))</f>
        <v/>
      </c>
      <c r="Z145" s="27" t="str">
        <f aca="true">IF($L145="","",IF($M145&lt;&gt;"",$M145-$L145,IF(TODAY()&gt;$L145,TODAY()-$L145,0)))</f>
        <v/>
      </c>
      <c r="AA145" s="37"/>
    </row>
    <row r="146" customFormat="false" ht="18" hidden="false" customHeight="true" outlineLevel="0" collapsed="false">
      <c r="A146" s="30"/>
      <c r="B146" s="31"/>
      <c r="C146" s="31"/>
      <c r="D146" s="31"/>
      <c r="E146" s="31"/>
      <c r="F146" s="32"/>
      <c r="G146" s="31"/>
      <c r="H146" s="31"/>
      <c r="I146" s="33"/>
      <c r="J146" s="34"/>
      <c r="K146" s="34"/>
      <c r="L146" s="34"/>
      <c r="M146" s="34"/>
      <c r="N146" s="19" t="str">
        <f aca="false">IF($J146="","",YEAR($J146)-IF(MONTH($J146)&lt;マスタ!$B$4,1,0))</f>
        <v/>
      </c>
      <c r="O146" s="20" t="str">
        <f aca="false">IF($J146="","","Q"&amp;(INT(MOD(MONTH($J146)-マスタ!$B$4+12,12)/3)+1))</f>
        <v/>
      </c>
      <c r="P146" s="35"/>
      <c r="Q146" s="22" t="str">
        <f aca="false">IF($P146="","",$P146*N($F146))</f>
        <v/>
      </c>
      <c r="R146" s="35"/>
      <c r="S146" s="22" t="str">
        <f aca="false">IF($P146="","",$P146-N($R146))</f>
        <v/>
      </c>
      <c r="T146" s="23" t="str">
        <f aca="false">IF(N($P146)=0,"",$S146/$P146)</f>
        <v/>
      </c>
      <c r="U146" s="36"/>
      <c r="V146" s="25" t="str">
        <f aca="false">IF($A146="","",SUMIFS(工数明細!$G$3:$G$302,工数明細!$B$3:$B$302,$A146))</f>
        <v/>
      </c>
      <c r="W146" s="26" t="str">
        <f aca="false">IF($U146="","",$U146-N($V146))</f>
        <v/>
      </c>
      <c r="X146" s="23" t="str">
        <f aca="false">IF(N($U146)=0,"",$V146/$U146)</f>
        <v/>
      </c>
      <c r="Y146" s="20" t="str">
        <f aca="false">IF(N($U146)=0,"",IF($V146&gt;$U146,"超過",IF($V146&gt;=$U146*0.9,"注意","適正")))</f>
        <v/>
      </c>
      <c r="Z146" s="27" t="str">
        <f aca="true">IF($L146="","",IF($M146&lt;&gt;"",$M146-$L146,IF(TODAY()&gt;$L146,TODAY()-$L146,0)))</f>
        <v/>
      </c>
      <c r="AA146" s="37"/>
    </row>
    <row r="147" customFormat="false" ht="18" hidden="false" customHeight="true" outlineLevel="0" collapsed="false">
      <c r="A147" s="30"/>
      <c r="B147" s="31"/>
      <c r="C147" s="31"/>
      <c r="D147" s="31"/>
      <c r="E147" s="31"/>
      <c r="F147" s="32"/>
      <c r="G147" s="31"/>
      <c r="H147" s="31"/>
      <c r="I147" s="33"/>
      <c r="J147" s="34"/>
      <c r="K147" s="34"/>
      <c r="L147" s="34"/>
      <c r="M147" s="34"/>
      <c r="N147" s="19" t="str">
        <f aca="false">IF($J147="","",YEAR($J147)-IF(MONTH($J147)&lt;マスタ!$B$4,1,0))</f>
        <v/>
      </c>
      <c r="O147" s="20" t="str">
        <f aca="false">IF($J147="","","Q"&amp;(INT(MOD(MONTH($J147)-マスタ!$B$4+12,12)/3)+1))</f>
        <v/>
      </c>
      <c r="P147" s="35"/>
      <c r="Q147" s="22" t="str">
        <f aca="false">IF($P147="","",$P147*N($F147))</f>
        <v/>
      </c>
      <c r="R147" s="35"/>
      <c r="S147" s="22" t="str">
        <f aca="false">IF($P147="","",$P147-N($R147))</f>
        <v/>
      </c>
      <c r="T147" s="23" t="str">
        <f aca="false">IF(N($P147)=0,"",$S147/$P147)</f>
        <v/>
      </c>
      <c r="U147" s="36"/>
      <c r="V147" s="25" t="str">
        <f aca="false">IF($A147="","",SUMIFS(工数明細!$G$3:$G$302,工数明細!$B$3:$B$302,$A147))</f>
        <v/>
      </c>
      <c r="W147" s="26" t="str">
        <f aca="false">IF($U147="","",$U147-N($V147))</f>
        <v/>
      </c>
      <c r="X147" s="23" t="str">
        <f aca="false">IF(N($U147)=0,"",$V147/$U147)</f>
        <v/>
      </c>
      <c r="Y147" s="20" t="str">
        <f aca="false">IF(N($U147)=0,"",IF($V147&gt;$U147,"超過",IF($V147&gt;=$U147*0.9,"注意","適正")))</f>
        <v/>
      </c>
      <c r="Z147" s="27" t="str">
        <f aca="true">IF($L147="","",IF($M147&lt;&gt;"",$M147-$L147,IF(TODAY()&gt;$L147,TODAY()-$L147,0)))</f>
        <v/>
      </c>
      <c r="AA147" s="37"/>
    </row>
    <row r="148" customFormat="false" ht="18" hidden="false" customHeight="true" outlineLevel="0" collapsed="false">
      <c r="A148" s="30"/>
      <c r="B148" s="31"/>
      <c r="C148" s="31"/>
      <c r="D148" s="31"/>
      <c r="E148" s="31"/>
      <c r="F148" s="32"/>
      <c r="G148" s="31"/>
      <c r="H148" s="31"/>
      <c r="I148" s="33"/>
      <c r="J148" s="34"/>
      <c r="K148" s="34"/>
      <c r="L148" s="34"/>
      <c r="M148" s="34"/>
      <c r="N148" s="19" t="str">
        <f aca="false">IF($J148="","",YEAR($J148)-IF(MONTH($J148)&lt;マスタ!$B$4,1,0))</f>
        <v/>
      </c>
      <c r="O148" s="20" t="str">
        <f aca="false">IF($J148="","","Q"&amp;(INT(MOD(MONTH($J148)-マスタ!$B$4+12,12)/3)+1))</f>
        <v/>
      </c>
      <c r="P148" s="35"/>
      <c r="Q148" s="22" t="str">
        <f aca="false">IF($P148="","",$P148*N($F148))</f>
        <v/>
      </c>
      <c r="R148" s="35"/>
      <c r="S148" s="22" t="str">
        <f aca="false">IF($P148="","",$P148-N($R148))</f>
        <v/>
      </c>
      <c r="T148" s="23" t="str">
        <f aca="false">IF(N($P148)=0,"",$S148/$P148)</f>
        <v/>
      </c>
      <c r="U148" s="36"/>
      <c r="V148" s="25" t="str">
        <f aca="false">IF($A148="","",SUMIFS(工数明細!$G$3:$G$302,工数明細!$B$3:$B$302,$A148))</f>
        <v/>
      </c>
      <c r="W148" s="26" t="str">
        <f aca="false">IF($U148="","",$U148-N($V148))</f>
        <v/>
      </c>
      <c r="X148" s="23" t="str">
        <f aca="false">IF(N($U148)=0,"",$V148/$U148)</f>
        <v/>
      </c>
      <c r="Y148" s="20" t="str">
        <f aca="false">IF(N($U148)=0,"",IF($V148&gt;$U148,"超過",IF($V148&gt;=$U148*0.9,"注意","適正")))</f>
        <v/>
      </c>
      <c r="Z148" s="27" t="str">
        <f aca="true">IF($L148="","",IF($M148&lt;&gt;"",$M148-$L148,IF(TODAY()&gt;$L148,TODAY()-$L148,0)))</f>
        <v/>
      </c>
      <c r="AA148" s="37"/>
    </row>
    <row r="149" customFormat="false" ht="18" hidden="false" customHeight="true" outlineLevel="0" collapsed="false">
      <c r="A149" s="30"/>
      <c r="B149" s="31"/>
      <c r="C149" s="31"/>
      <c r="D149" s="31"/>
      <c r="E149" s="31"/>
      <c r="F149" s="32"/>
      <c r="G149" s="31"/>
      <c r="H149" s="31"/>
      <c r="I149" s="33"/>
      <c r="J149" s="34"/>
      <c r="K149" s="34"/>
      <c r="L149" s="34"/>
      <c r="M149" s="34"/>
      <c r="N149" s="19" t="str">
        <f aca="false">IF($J149="","",YEAR($J149)-IF(MONTH($J149)&lt;マスタ!$B$4,1,0))</f>
        <v/>
      </c>
      <c r="O149" s="20" t="str">
        <f aca="false">IF($J149="","","Q"&amp;(INT(MOD(MONTH($J149)-マスタ!$B$4+12,12)/3)+1))</f>
        <v/>
      </c>
      <c r="P149" s="35"/>
      <c r="Q149" s="22" t="str">
        <f aca="false">IF($P149="","",$P149*N($F149))</f>
        <v/>
      </c>
      <c r="R149" s="35"/>
      <c r="S149" s="22" t="str">
        <f aca="false">IF($P149="","",$P149-N($R149))</f>
        <v/>
      </c>
      <c r="T149" s="23" t="str">
        <f aca="false">IF(N($P149)=0,"",$S149/$P149)</f>
        <v/>
      </c>
      <c r="U149" s="36"/>
      <c r="V149" s="25" t="str">
        <f aca="false">IF($A149="","",SUMIFS(工数明細!$G$3:$G$302,工数明細!$B$3:$B$302,$A149))</f>
        <v/>
      </c>
      <c r="W149" s="26" t="str">
        <f aca="false">IF($U149="","",$U149-N($V149))</f>
        <v/>
      </c>
      <c r="X149" s="23" t="str">
        <f aca="false">IF(N($U149)=0,"",$V149/$U149)</f>
        <v/>
      </c>
      <c r="Y149" s="20" t="str">
        <f aca="false">IF(N($U149)=0,"",IF($V149&gt;$U149,"超過",IF($V149&gt;=$U149*0.9,"注意","適正")))</f>
        <v/>
      </c>
      <c r="Z149" s="27" t="str">
        <f aca="true">IF($L149="","",IF($M149&lt;&gt;"",$M149-$L149,IF(TODAY()&gt;$L149,TODAY()-$L149,0)))</f>
        <v/>
      </c>
      <c r="AA149" s="37"/>
    </row>
    <row r="150" customFormat="false" ht="18" hidden="false" customHeight="true" outlineLevel="0" collapsed="false">
      <c r="A150" s="30"/>
      <c r="B150" s="31"/>
      <c r="C150" s="31"/>
      <c r="D150" s="31"/>
      <c r="E150" s="31"/>
      <c r="F150" s="32"/>
      <c r="G150" s="31"/>
      <c r="H150" s="31"/>
      <c r="I150" s="33"/>
      <c r="J150" s="34"/>
      <c r="K150" s="34"/>
      <c r="L150" s="34"/>
      <c r="M150" s="34"/>
      <c r="N150" s="19" t="str">
        <f aca="false">IF($J150="","",YEAR($J150)-IF(MONTH($J150)&lt;マスタ!$B$4,1,0))</f>
        <v/>
      </c>
      <c r="O150" s="20" t="str">
        <f aca="false">IF($J150="","","Q"&amp;(INT(MOD(MONTH($J150)-マスタ!$B$4+12,12)/3)+1))</f>
        <v/>
      </c>
      <c r="P150" s="35"/>
      <c r="Q150" s="22" t="str">
        <f aca="false">IF($P150="","",$P150*N($F150))</f>
        <v/>
      </c>
      <c r="R150" s="35"/>
      <c r="S150" s="22" t="str">
        <f aca="false">IF($P150="","",$P150-N($R150))</f>
        <v/>
      </c>
      <c r="T150" s="23" t="str">
        <f aca="false">IF(N($P150)=0,"",$S150/$P150)</f>
        <v/>
      </c>
      <c r="U150" s="36"/>
      <c r="V150" s="25" t="str">
        <f aca="false">IF($A150="","",SUMIFS(工数明細!$G$3:$G$302,工数明細!$B$3:$B$302,$A150))</f>
        <v/>
      </c>
      <c r="W150" s="26" t="str">
        <f aca="false">IF($U150="","",$U150-N($V150))</f>
        <v/>
      </c>
      <c r="X150" s="23" t="str">
        <f aca="false">IF(N($U150)=0,"",$V150/$U150)</f>
        <v/>
      </c>
      <c r="Y150" s="20" t="str">
        <f aca="false">IF(N($U150)=0,"",IF($V150&gt;$U150,"超過",IF($V150&gt;=$U150*0.9,"注意","適正")))</f>
        <v/>
      </c>
      <c r="Z150" s="27" t="str">
        <f aca="true">IF($L150="","",IF($M150&lt;&gt;"",$M150-$L150,IF(TODAY()&gt;$L150,TODAY()-$L150,0)))</f>
        <v/>
      </c>
      <c r="AA150" s="37"/>
    </row>
    <row r="151" customFormat="false" ht="18" hidden="false" customHeight="true" outlineLevel="0" collapsed="false">
      <c r="A151" s="30"/>
      <c r="B151" s="31"/>
      <c r="C151" s="31"/>
      <c r="D151" s="31"/>
      <c r="E151" s="31"/>
      <c r="F151" s="32"/>
      <c r="G151" s="31"/>
      <c r="H151" s="31"/>
      <c r="I151" s="33"/>
      <c r="J151" s="34"/>
      <c r="K151" s="34"/>
      <c r="L151" s="34"/>
      <c r="M151" s="34"/>
      <c r="N151" s="19" t="str">
        <f aca="false">IF($J151="","",YEAR($J151)-IF(MONTH($J151)&lt;マスタ!$B$4,1,0))</f>
        <v/>
      </c>
      <c r="O151" s="20" t="str">
        <f aca="false">IF($J151="","","Q"&amp;(INT(MOD(MONTH($J151)-マスタ!$B$4+12,12)/3)+1))</f>
        <v/>
      </c>
      <c r="P151" s="35"/>
      <c r="Q151" s="22" t="str">
        <f aca="false">IF($P151="","",$P151*N($F151))</f>
        <v/>
      </c>
      <c r="R151" s="35"/>
      <c r="S151" s="22" t="str">
        <f aca="false">IF($P151="","",$P151-N($R151))</f>
        <v/>
      </c>
      <c r="T151" s="23" t="str">
        <f aca="false">IF(N($P151)=0,"",$S151/$P151)</f>
        <v/>
      </c>
      <c r="U151" s="36"/>
      <c r="V151" s="25" t="str">
        <f aca="false">IF($A151="","",SUMIFS(工数明細!$G$3:$G$302,工数明細!$B$3:$B$302,$A151))</f>
        <v/>
      </c>
      <c r="W151" s="26" t="str">
        <f aca="false">IF($U151="","",$U151-N($V151))</f>
        <v/>
      </c>
      <c r="X151" s="23" t="str">
        <f aca="false">IF(N($U151)=0,"",$V151/$U151)</f>
        <v/>
      </c>
      <c r="Y151" s="20" t="str">
        <f aca="false">IF(N($U151)=0,"",IF($V151&gt;$U151,"超過",IF($V151&gt;=$U151*0.9,"注意","適正")))</f>
        <v/>
      </c>
      <c r="Z151" s="27" t="str">
        <f aca="true">IF($L151="","",IF($M151&lt;&gt;"",$M151-$L151,IF(TODAY()&gt;$L151,TODAY()-$L151,0)))</f>
        <v/>
      </c>
      <c r="AA151" s="37"/>
    </row>
    <row r="152" customFormat="false" ht="18" hidden="false" customHeight="true" outlineLevel="0" collapsed="false">
      <c r="A152" s="30"/>
      <c r="B152" s="31"/>
      <c r="C152" s="31"/>
      <c r="D152" s="31"/>
      <c r="E152" s="31"/>
      <c r="F152" s="32"/>
      <c r="G152" s="31"/>
      <c r="H152" s="31"/>
      <c r="I152" s="33"/>
      <c r="J152" s="34"/>
      <c r="K152" s="34"/>
      <c r="L152" s="34"/>
      <c r="M152" s="34"/>
      <c r="N152" s="19" t="str">
        <f aca="false">IF($J152="","",YEAR($J152)-IF(MONTH($J152)&lt;マスタ!$B$4,1,0))</f>
        <v/>
      </c>
      <c r="O152" s="20" t="str">
        <f aca="false">IF($J152="","","Q"&amp;(INT(MOD(MONTH($J152)-マスタ!$B$4+12,12)/3)+1))</f>
        <v/>
      </c>
      <c r="P152" s="35"/>
      <c r="Q152" s="22" t="str">
        <f aca="false">IF($P152="","",$P152*N($F152))</f>
        <v/>
      </c>
      <c r="R152" s="35"/>
      <c r="S152" s="22" t="str">
        <f aca="false">IF($P152="","",$P152-N($R152))</f>
        <v/>
      </c>
      <c r="T152" s="23" t="str">
        <f aca="false">IF(N($P152)=0,"",$S152/$P152)</f>
        <v/>
      </c>
      <c r="U152" s="36"/>
      <c r="V152" s="25" t="str">
        <f aca="false">IF($A152="","",SUMIFS(工数明細!$G$3:$G$302,工数明細!$B$3:$B$302,$A152))</f>
        <v/>
      </c>
      <c r="W152" s="26" t="str">
        <f aca="false">IF($U152="","",$U152-N($V152))</f>
        <v/>
      </c>
      <c r="X152" s="23" t="str">
        <f aca="false">IF(N($U152)=0,"",$V152/$U152)</f>
        <v/>
      </c>
      <c r="Y152" s="20" t="str">
        <f aca="false">IF(N($U152)=0,"",IF($V152&gt;$U152,"超過",IF($V152&gt;=$U152*0.9,"注意","適正")))</f>
        <v/>
      </c>
      <c r="Z152" s="27" t="str">
        <f aca="true">IF($L152="","",IF($M152&lt;&gt;"",$M152-$L152,IF(TODAY()&gt;$L152,TODAY()-$L152,0)))</f>
        <v/>
      </c>
      <c r="AA152" s="37"/>
    </row>
    <row r="153" customFormat="false" ht="18" hidden="false" customHeight="true" outlineLevel="0" collapsed="false">
      <c r="A153" s="30"/>
      <c r="B153" s="31"/>
      <c r="C153" s="31"/>
      <c r="D153" s="31"/>
      <c r="E153" s="31"/>
      <c r="F153" s="32"/>
      <c r="G153" s="31"/>
      <c r="H153" s="31"/>
      <c r="I153" s="33"/>
      <c r="J153" s="34"/>
      <c r="K153" s="34"/>
      <c r="L153" s="34"/>
      <c r="M153" s="34"/>
      <c r="N153" s="19" t="str">
        <f aca="false">IF($J153="","",YEAR($J153)-IF(MONTH($J153)&lt;マスタ!$B$4,1,0))</f>
        <v/>
      </c>
      <c r="O153" s="20" t="str">
        <f aca="false">IF($J153="","","Q"&amp;(INT(MOD(MONTH($J153)-マスタ!$B$4+12,12)/3)+1))</f>
        <v/>
      </c>
      <c r="P153" s="35"/>
      <c r="Q153" s="22" t="str">
        <f aca="false">IF($P153="","",$P153*N($F153))</f>
        <v/>
      </c>
      <c r="R153" s="35"/>
      <c r="S153" s="22" t="str">
        <f aca="false">IF($P153="","",$P153-N($R153))</f>
        <v/>
      </c>
      <c r="T153" s="23" t="str">
        <f aca="false">IF(N($P153)=0,"",$S153/$P153)</f>
        <v/>
      </c>
      <c r="U153" s="36"/>
      <c r="V153" s="25" t="str">
        <f aca="false">IF($A153="","",SUMIFS(工数明細!$G$3:$G$302,工数明細!$B$3:$B$302,$A153))</f>
        <v/>
      </c>
      <c r="W153" s="26" t="str">
        <f aca="false">IF($U153="","",$U153-N($V153))</f>
        <v/>
      </c>
      <c r="X153" s="23" t="str">
        <f aca="false">IF(N($U153)=0,"",$V153/$U153)</f>
        <v/>
      </c>
      <c r="Y153" s="20" t="str">
        <f aca="false">IF(N($U153)=0,"",IF($V153&gt;$U153,"超過",IF($V153&gt;=$U153*0.9,"注意","適正")))</f>
        <v/>
      </c>
      <c r="Z153" s="27" t="str">
        <f aca="true">IF($L153="","",IF($M153&lt;&gt;"",$M153-$L153,IF(TODAY()&gt;$L153,TODAY()-$L153,0)))</f>
        <v/>
      </c>
      <c r="AA153" s="37"/>
    </row>
    <row r="154" customFormat="false" ht="18" hidden="false" customHeight="true" outlineLevel="0" collapsed="false">
      <c r="A154" s="30"/>
      <c r="B154" s="31"/>
      <c r="C154" s="31"/>
      <c r="D154" s="31"/>
      <c r="E154" s="31"/>
      <c r="F154" s="32"/>
      <c r="G154" s="31"/>
      <c r="H154" s="31"/>
      <c r="I154" s="33"/>
      <c r="J154" s="34"/>
      <c r="K154" s="34"/>
      <c r="L154" s="34"/>
      <c r="M154" s="34"/>
      <c r="N154" s="19" t="str">
        <f aca="false">IF($J154="","",YEAR($J154)-IF(MONTH($J154)&lt;マスタ!$B$4,1,0))</f>
        <v/>
      </c>
      <c r="O154" s="20" t="str">
        <f aca="false">IF($J154="","","Q"&amp;(INT(MOD(MONTH($J154)-マスタ!$B$4+12,12)/3)+1))</f>
        <v/>
      </c>
      <c r="P154" s="35"/>
      <c r="Q154" s="22" t="str">
        <f aca="false">IF($P154="","",$P154*N($F154))</f>
        <v/>
      </c>
      <c r="R154" s="35"/>
      <c r="S154" s="22" t="str">
        <f aca="false">IF($P154="","",$P154-N($R154))</f>
        <v/>
      </c>
      <c r="T154" s="23" t="str">
        <f aca="false">IF(N($P154)=0,"",$S154/$P154)</f>
        <v/>
      </c>
      <c r="U154" s="36"/>
      <c r="V154" s="25" t="str">
        <f aca="false">IF($A154="","",SUMIFS(工数明細!$G$3:$G$302,工数明細!$B$3:$B$302,$A154))</f>
        <v/>
      </c>
      <c r="W154" s="26" t="str">
        <f aca="false">IF($U154="","",$U154-N($V154))</f>
        <v/>
      </c>
      <c r="X154" s="23" t="str">
        <f aca="false">IF(N($U154)=0,"",$V154/$U154)</f>
        <v/>
      </c>
      <c r="Y154" s="20" t="str">
        <f aca="false">IF(N($U154)=0,"",IF($V154&gt;$U154,"超過",IF($V154&gt;=$U154*0.9,"注意","適正")))</f>
        <v/>
      </c>
      <c r="Z154" s="27" t="str">
        <f aca="true">IF($L154="","",IF($M154&lt;&gt;"",$M154-$L154,IF(TODAY()&gt;$L154,TODAY()-$L154,0)))</f>
        <v/>
      </c>
      <c r="AA154" s="37"/>
    </row>
    <row r="155" customFormat="false" ht="18" hidden="false" customHeight="true" outlineLevel="0" collapsed="false">
      <c r="A155" s="30"/>
      <c r="B155" s="31"/>
      <c r="C155" s="31"/>
      <c r="D155" s="31"/>
      <c r="E155" s="31"/>
      <c r="F155" s="32"/>
      <c r="G155" s="31"/>
      <c r="H155" s="31"/>
      <c r="I155" s="33"/>
      <c r="J155" s="34"/>
      <c r="K155" s="34"/>
      <c r="L155" s="34"/>
      <c r="M155" s="34"/>
      <c r="N155" s="19" t="str">
        <f aca="false">IF($J155="","",YEAR($J155)-IF(MONTH($J155)&lt;マスタ!$B$4,1,0))</f>
        <v/>
      </c>
      <c r="O155" s="20" t="str">
        <f aca="false">IF($J155="","","Q"&amp;(INT(MOD(MONTH($J155)-マスタ!$B$4+12,12)/3)+1))</f>
        <v/>
      </c>
      <c r="P155" s="35"/>
      <c r="Q155" s="22" t="str">
        <f aca="false">IF($P155="","",$P155*N($F155))</f>
        <v/>
      </c>
      <c r="R155" s="35"/>
      <c r="S155" s="22" t="str">
        <f aca="false">IF($P155="","",$P155-N($R155))</f>
        <v/>
      </c>
      <c r="T155" s="23" t="str">
        <f aca="false">IF(N($P155)=0,"",$S155/$P155)</f>
        <v/>
      </c>
      <c r="U155" s="36"/>
      <c r="V155" s="25" t="str">
        <f aca="false">IF($A155="","",SUMIFS(工数明細!$G$3:$G$302,工数明細!$B$3:$B$302,$A155))</f>
        <v/>
      </c>
      <c r="W155" s="26" t="str">
        <f aca="false">IF($U155="","",$U155-N($V155))</f>
        <v/>
      </c>
      <c r="X155" s="23" t="str">
        <f aca="false">IF(N($U155)=0,"",$V155/$U155)</f>
        <v/>
      </c>
      <c r="Y155" s="20" t="str">
        <f aca="false">IF(N($U155)=0,"",IF($V155&gt;$U155,"超過",IF($V155&gt;=$U155*0.9,"注意","適正")))</f>
        <v/>
      </c>
      <c r="Z155" s="27" t="str">
        <f aca="true">IF($L155="","",IF($M155&lt;&gt;"",$M155-$L155,IF(TODAY()&gt;$L155,TODAY()-$L155,0)))</f>
        <v/>
      </c>
      <c r="AA155" s="37"/>
    </row>
    <row r="156" customFormat="false" ht="18" hidden="false" customHeight="true" outlineLevel="0" collapsed="false">
      <c r="A156" s="30"/>
      <c r="B156" s="31"/>
      <c r="C156" s="31"/>
      <c r="D156" s="31"/>
      <c r="E156" s="31"/>
      <c r="F156" s="32"/>
      <c r="G156" s="31"/>
      <c r="H156" s="31"/>
      <c r="I156" s="33"/>
      <c r="J156" s="34"/>
      <c r="K156" s="34"/>
      <c r="L156" s="34"/>
      <c r="M156" s="34"/>
      <c r="N156" s="19" t="str">
        <f aca="false">IF($J156="","",YEAR($J156)-IF(MONTH($J156)&lt;マスタ!$B$4,1,0))</f>
        <v/>
      </c>
      <c r="O156" s="20" t="str">
        <f aca="false">IF($J156="","","Q"&amp;(INT(MOD(MONTH($J156)-マスタ!$B$4+12,12)/3)+1))</f>
        <v/>
      </c>
      <c r="P156" s="35"/>
      <c r="Q156" s="22" t="str">
        <f aca="false">IF($P156="","",$P156*N($F156))</f>
        <v/>
      </c>
      <c r="R156" s="35"/>
      <c r="S156" s="22" t="str">
        <f aca="false">IF($P156="","",$P156-N($R156))</f>
        <v/>
      </c>
      <c r="T156" s="23" t="str">
        <f aca="false">IF(N($P156)=0,"",$S156/$P156)</f>
        <v/>
      </c>
      <c r="U156" s="36"/>
      <c r="V156" s="25" t="str">
        <f aca="false">IF($A156="","",SUMIFS(工数明細!$G$3:$G$302,工数明細!$B$3:$B$302,$A156))</f>
        <v/>
      </c>
      <c r="W156" s="26" t="str">
        <f aca="false">IF($U156="","",$U156-N($V156))</f>
        <v/>
      </c>
      <c r="X156" s="23" t="str">
        <f aca="false">IF(N($U156)=0,"",$V156/$U156)</f>
        <v/>
      </c>
      <c r="Y156" s="20" t="str">
        <f aca="false">IF(N($U156)=0,"",IF($V156&gt;$U156,"超過",IF($V156&gt;=$U156*0.9,"注意","適正")))</f>
        <v/>
      </c>
      <c r="Z156" s="27" t="str">
        <f aca="true">IF($L156="","",IF($M156&lt;&gt;"",$M156-$L156,IF(TODAY()&gt;$L156,TODAY()-$L156,0)))</f>
        <v/>
      </c>
      <c r="AA156" s="37"/>
    </row>
    <row r="157" customFormat="false" ht="18" hidden="false" customHeight="true" outlineLevel="0" collapsed="false">
      <c r="A157" s="30"/>
      <c r="B157" s="31"/>
      <c r="C157" s="31"/>
      <c r="D157" s="31"/>
      <c r="E157" s="31"/>
      <c r="F157" s="32"/>
      <c r="G157" s="31"/>
      <c r="H157" s="31"/>
      <c r="I157" s="33"/>
      <c r="J157" s="34"/>
      <c r="K157" s="34"/>
      <c r="L157" s="34"/>
      <c r="M157" s="34"/>
      <c r="N157" s="19" t="str">
        <f aca="false">IF($J157="","",YEAR($J157)-IF(MONTH($J157)&lt;マスタ!$B$4,1,0))</f>
        <v/>
      </c>
      <c r="O157" s="20" t="str">
        <f aca="false">IF($J157="","","Q"&amp;(INT(MOD(MONTH($J157)-マスタ!$B$4+12,12)/3)+1))</f>
        <v/>
      </c>
      <c r="P157" s="35"/>
      <c r="Q157" s="22" t="str">
        <f aca="false">IF($P157="","",$P157*N($F157))</f>
        <v/>
      </c>
      <c r="R157" s="35"/>
      <c r="S157" s="22" t="str">
        <f aca="false">IF($P157="","",$P157-N($R157))</f>
        <v/>
      </c>
      <c r="T157" s="23" t="str">
        <f aca="false">IF(N($P157)=0,"",$S157/$P157)</f>
        <v/>
      </c>
      <c r="U157" s="36"/>
      <c r="V157" s="25" t="str">
        <f aca="false">IF($A157="","",SUMIFS(工数明細!$G$3:$G$302,工数明細!$B$3:$B$302,$A157))</f>
        <v/>
      </c>
      <c r="W157" s="26" t="str">
        <f aca="false">IF($U157="","",$U157-N($V157))</f>
        <v/>
      </c>
      <c r="X157" s="23" t="str">
        <f aca="false">IF(N($U157)=0,"",$V157/$U157)</f>
        <v/>
      </c>
      <c r="Y157" s="20" t="str">
        <f aca="false">IF(N($U157)=0,"",IF($V157&gt;$U157,"超過",IF($V157&gt;=$U157*0.9,"注意","適正")))</f>
        <v/>
      </c>
      <c r="Z157" s="27" t="str">
        <f aca="true">IF($L157="","",IF($M157&lt;&gt;"",$M157-$L157,IF(TODAY()&gt;$L157,TODAY()-$L157,0)))</f>
        <v/>
      </c>
      <c r="AA157" s="37"/>
    </row>
    <row r="158" customFormat="false" ht="18" hidden="false" customHeight="true" outlineLevel="0" collapsed="false">
      <c r="A158" s="30"/>
      <c r="B158" s="31"/>
      <c r="C158" s="31"/>
      <c r="D158" s="31"/>
      <c r="E158" s="31"/>
      <c r="F158" s="32"/>
      <c r="G158" s="31"/>
      <c r="H158" s="31"/>
      <c r="I158" s="33"/>
      <c r="J158" s="34"/>
      <c r="K158" s="34"/>
      <c r="L158" s="34"/>
      <c r="M158" s="34"/>
      <c r="N158" s="19" t="str">
        <f aca="false">IF($J158="","",YEAR($J158)-IF(MONTH($J158)&lt;マスタ!$B$4,1,0))</f>
        <v/>
      </c>
      <c r="O158" s="20" t="str">
        <f aca="false">IF($J158="","","Q"&amp;(INT(MOD(MONTH($J158)-マスタ!$B$4+12,12)/3)+1))</f>
        <v/>
      </c>
      <c r="P158" s="35"/>
      <c r="Q158" s="22" t="str">
        <f aca="false">IF($P158="","",$P158*N($F158))</f>
        <v/>
      </c>
      <c r="R158" s="35"/>
      <c r="S158" s="22" t="str">
        <f aca="false">IF($P158="","",$P158-N($R158))</f>
        <v/>
      </c>
      <c r="T158" s="23" t="str">
        <f aca="false">IF(N($P158)=0,"",$S158/$P158)</f>
        <v/>
      </c>
      <c r="U158" s="36"/>
      <c r="V158" s="25" t="str">
        <f aca="false">IF($A158="","",SUMIFS(工数明細!$G$3:$G$302,工数明細!$B$3:$B$302,$A158))</f>
        <v/>
      </c>
      <c r="W158" s="26" t="str">
        <f aca="false">IF($U158="","",$U158-N($V158))</f>
        <v/>
      </c>
      <c r="X158" s="23" t="str">
        <f aca="false">IF(N($U158)=0,"",$V158/$U158)</f>
        <v/>
      </c>
      <c r="Y158" s="20" t="str">
        <f aca="false">IF(N($U158)=0,"",IF($V158&gt;$U158,"超過",IF($V158&gt;=$U158*0.9,"注意","適正")))</f>
        <v/>
      </c>
      <c r="Z158" s="27" t="str">
        <f aca="true">IF($L158="","",IF($M158&lt;&gt;"",$M158-$L158,IF(TODAY()&gt;$L158,TODAY()-$L158,0)))</f>
        <v/>
      </c>
      <c r="AA158" s="37"/>
    </row>
    <row r="159" customFormat="false" ht="18" hidden="false" customHeight="true" outlineLevel="0" collapsed="false">
      <c r="A159" s="30"/>
      <c r="B159" s="31"/>
      <c r="C159" s="31"/>
      <c r="D159" s="31"/>
      <c r="E159" s="31"/>
      <c r="F159" s="32"/>
      <c r="G159" s="31"/>
      <c r="H159" s="31"/>
      <c r="I159" s="33"/>
      <c r="J159" s="34"/>
      <c r="K159" s="34"/>
      <c r="L159" s="34"/>
      <c r="M159" s="34"/>
      <c r="N159" s="19" t="str">
        <f aca="false">IF($J159="","",YEAR($J159)-IF(MONTH($J159)&lt;マスタ!$B$4,1,0))</f>
        <v/>
      </c>
      <c r="O159" s="20" t="str">
        <f aca="false">IF($J159="","","Q"&amp;(INT(MOD(MONTH($J159)-マスタ!$B$4+12,12)/3)+1))</f>
        <v/>
      </c>
      <c r="P159" s="35"/>
      <c r="Q159" s="22" t="str">
        <f aca="false">IF($P159="","",$P159*N($F159))</f>
        <v/>
      </c>
      <c r="R159" s="35"/>
      <c r="S159" s="22" t="str">
        <f aca="false">IF($P159="","",$P159-N($R159))</f>
        <v/>
      </c>
      <c r="T159" s="23" t="str">
        <f aca="false">IF(N($P159)=0,"",$S159/$P159)</f>
        <v/>
      </c>
      <c r="U159" s="36"/>
      <c r="V159" s="25" t="str">
        <f aca="false">IF($A159="","",SUMIFS(工数明細!$G$3:$G$302,工数明細!$B$3:$B$302,$A159))</f>
        <v/>
      </c>
      <c r="W159" s="26" t="str">
        <f aca="false">IF($U159="","",$U159-N($V159))</f>
        <v/>
      </c>
      <c r="X159" s="23" t="str">
        <f aca="false">IF(N($U159)=0,"",$V159/$U159)</f>
        <v/>
      </c>
      <c r="Y159" s="20" t="str">
        <f aca="false">IF(N($U159)=0,"",IF($V159&gt;$U159,"超過",IF($V159&gt;=$U159*0.9,"注意","適正")))</f>
        <v/>
      </c>
      <c r="Z159" s="27" t="str">
        <f aca="true">IF($L159="","",IF($M159&lt;&gt;"",$M159-$L159,IF(TODAY()&gt;$L159,TODAY()-$L159,0)))</f>
        <v/>
      </c>
      <c r="AA159" s="37"/>
    </row>
    <row r="160" customFormat="false" ht="18" hidden="false" customHeight="true" outlineLevel="0" collapsed="false">
      <c r="A160" s="30"/>
      <c r="B160" s="31"/>
      <c r="C160" s="31"/>
      <c r="D160" s="31"/>
      <c r="E160" s="31"/>
      <c r="F160" s="32"/>
      <c r="G160" s="31"/>
      <c r="H160" s="31"/>
      <c r="I160" s="33"/>
      <c r="J160" s="34"/>
      <c r="K160" s="34"/>
      <c r="L160" s="34"/>
      <c r="M160" s="34"/>
      <c r="N160" s="19" t="str">
        <f aca="false">IF($J160="","",YEAR($J160)-IF(MONTH($J160)&lt;マスタ!$B$4,1,0))</f>
        <v/>
      </c>
      <c r="O160" s="20" t="str">
        <f aca="false">IF($J160="","","Q"&amp;(INT(MOD(MONTH($J160)-マスタ!$B$4+12,12)/3)+1))</f>
        <v/>
      </c>
      <c r="P160" s="35"/>
      <c r="Q160" s="22" t="str">
        <f aca="false">IF($P160="","",$P160*N($F160))</f>
        <v/>
      </c>
      <c r="R160" s="35"/>
      <c r="S160" s="22" t="str">
        <f aca="false">IF($P160="","",$P160-N($R160))</f>
        <v/>
      </c>
      <c r="T160" s="23" t="str">
        <f aca="false">IF(N($P160)=0,"",$S160/$P160)</f>
        <v/>
      </c>
      <c r="U160" s="36"/>
      <c r="V160" s="25" t="str">
        <f aca="false">IF($A160="","",SUMIFS(工数明細!$G$3:$G$302,工数明細!$B$3:$B$302,$A160))</f>
        <v/>
      </c>
      <c r="W160" s="26" t="str">
        <f aca="false">IF($U160="","",$U160-N($V160))</f>
        <v/>
      </c>
      <c r="X160" s="23" t="str">
        <f aca="false">IF(N($U160)=0,"",$V160/$U160)</f>
        <v/>
      </c>
      <c r="Y160" s="20" t="str">
        <f aca="false">IF(N($U160)=0,"",IF($V160&gt;$U160,"超過",IF($V160&gt;=$U160*0.9,"注意","適正")))</f>
        <v/>
      </c>
      <c r="Z160" s="27" t="str">
        <f aca="true">IF($L160="","",IF($M160&lt;&gt;"",$M160-$L160,IF(TODAY()&gt;$L160,TODAY()-$L160,0)))</f>
        <v/>
      </c>
      <c r="AA160" s="37"/>
    </row>
    <row r="161" customFormat="false" ht="18" hidden="false" customHeight="true" outlineLevel="0" collapsed="false">
      <c r="A161" s="30"/>
      <c r="B161" s="31"/>
      <c r="C161" s="31"/>
      <c r="D161" s="31"/>
      <c r="E161" s="31"/>
      <c r="F161" s="32"/>
      <c r="G161" s="31"/>
      <c r="H161" s="31"/>
      <c r="I161" s="33"/>
      <c r="J161" s="34"/>
      <c r="K161" s="34"/>
      <c r="L161" s="34"/>
      <c r="M161" s="34"/>
      <c r="N161" s="19" t="str">
        <f aca="false">IF($J161="","",YEAR($J161)-IF(MONTH($J161)&lt;マスタ!$B$4,1,0))</f>
        <v/>
      </c>
      <c r="O161" s="20" t="str">
        <f aca="false">IF($J161="","","Q"&amp;(INT(MOD(MONTH($J161)-マスタ!$B$4+12,12)/3)+1))</f>
        <v/>
      </c>
      <c r="P161" s="35"/>
      <c r="Q161" s="22" t="str">
        <f aca="false">IF($P161="","",$P161*N($F161))</f>
        <v/>
      </c>
      <c r="R161" s="35"/>
      <c r="S161" s="22" t="str">
        <f aca="false">IF($P161="","",$P161-N($R161))</f>
        <v/>
      </c>
      <c r="T161" s="23" t="str">
        <f aca="false">IF(N($P161)=0,"",$S161/$P161)</f>
        <v/>
      </c>
      <c r="U161" s="36"/>
      <c r="V161" s="25" t="str">
        <f aca="false">IF($A161="","",SUMIFS(工数明細!$G$3:$G$302,工数明細!$B$3:$B$302,$A161))</f>
        <v/>
      </c>
      <c r="W161" s="26" t="str">
        <f aca="false">IF($U161="","",$U161-N($V161))</f>
        <v/>
      </c>
      <c r="X161" s="23" t="str">
        <f aca="false">IF(N($U161)=0,"",$V161/$U161)</f>
        <v/>
      </c>
      <c r="Y161" s="20" t="str">
        <f aca="false">IF(N($U161)=0,"",IF($V161&gt;$U161,"超過",IF($V161&gt;=$U161*0.9,"注意","適正")))</f>
        <v/>
      </c>
      <c r="Z161" s="27" t="str">
        <f aca="true">IF($L161="","",IF($M161&lt;&gt;"",$M161-$L161,IF(TODAY()&gt;$L161,TODAY()-$L161,0)))</f>
        <v/>
      </c>
      <c r="AA161" s="37"/>
    </row>
    <row r="162" customFormat="false" ht="18" hidden="false" customHeight="true" outlineLevel="0" collapsed="false">
      <c r="A162" s="30"/>
      <c r="B162" s="31"/>
      <c r="C162" s="31"/>
      <c r="D162" s="31"/>
      <c r="E162" s="31"/>
      <c r="F162" s="32"/>
      <c r="G162" s="31"/>
      <c r="H162" s="31"/>
      <c r="I162" s="33"/>
      <c r="J162" s="34"/>
      <c r="K162" s="34"/>
      <c r="L162" s="34"/>
      <c r="M162" s="34"/>
      <c r="N162" s="19" t="str">
        <f aca="false">IF($J162="","",YEAR($J162)-IF(MONTH($J162)&lt;マスタ!$B$4,1,0))</f>
        <v/>
      </c>
      <c r="O162" s="20" t="str">
        <f aca="false">IF($J162="","","Q"&amp;(INT(MOD(MONTH($J162)-マスタ!$B$4+12,12)/3)+1))</f>
        <v/>
      </c>
      <c r="P162" s="35"/>
      <c r="Q162" s="22" t="str">
        <f aca="false">IF($P162="","",$P162*N($F162))</f>
        <v/>
      </c>
      <c r="R162" s="35"/>
      <c r="S162" s="22" t="str">
        <f aca="false">IF($P162="","",$P162-N($R162))</f>
        <v/>
      </c>
      <c r="T162" s="23" t="str">
        <f aca="false">IF(N($P162)=0,"",$S162/$P162)</f>
        <v/>
      </c>
      <c r="U162" s="36"/>
      <c r="V162" s="25" t="str">
        <f aca="false">IF($A162="","",SUMIFS(工数明細!$G$3:$G$302,工数明細!$B$3:$B$302,$A162))</f>
        <v/>
      </c>
      <c r="W162" s="26" t="str">
        <f aca="false">IF($U162="","",$U162-N($V162))</f>
        <v/>
      </c>
      <c r="X162" s="23" t="str">
        <f aca="false">IF(N($U162)=0,"",$V162/$U162)</f>
        <v/>
      </c>
      <c r="Y162" s="20" t="str">
        <f aca="false">IF(N($U162)=0,"",IF($V162&gt;$U162,"超過",IF($V162&gt;=$U162*0.9,"注意","適正")))</f>
        <v/>
      </c>
      <c r="Z162" s="27" t="str">
        <f aca="true">IF($L162="","",IF($M162&lt;&gt;"",$M162-$L162,IF(TODAY()&gt;$L162,TODAY()-$L162,0)))</f>
        <v/>
      </c>
      <c r="AA162" s="37"/>
    </row>
    <row r="163" customFormat="false" ht="18" hidden="false" customHeight="true" outlineLevel="0" collapsed="false">
      <c r="A163" s="30"/>
      <c r="B163" s="31"/>
      <c r="C163" s="31"/>
      <c r="D163" s="31"/>
      <c r="E163" s="31"/>
      <c r="F163" s="32"/>
      <c r="G163" s="31"/>
      <c r="H163" s="31"/>
      <c r="I163" s="33"/>
      <c r="J163" s="34"/>
      <c r="K163" s="34"/>
      <c r="L163" s="34"/>
      <c r="M163" s="34"/>
      <c r="N163" s="19" t="str">
        <f aca="false">IF($J163="","",YEAR($J163)-IF(MONTH($J163)&lt;マスタ!$B$4,1,0))</f>
        <v/>
      </c>
      <c r="O163" s="20" t="str">
        <f aca="false">IF($J163="","","Q"&amp;(INT(MOD(MONTH($J163)-マスタ!$B$4+12,12)/3)+1))</f>
        <v/>
      </c>
      <c r="P163" s="35"/>
      <c r="Q163" s="22" t="str">
        <f aca="false">IF($P163="","",$P163*N($F163))</f>
        <v/>
      </c>
      <c r="R163" s="35"/>
      <c r="S163" s="22" t="str">
        <f aca="false">IF($P163="","",$P163-N($R163))</f>
        <v/>
      </c>
      <c r="T163" s="23" t="str">
        <f aca="false">IF(N($P163)=0,"",$S163/$P163)</f>
        <v/>
      </c>
      <c r="U163" s="36"/>
      <c r="V163" s="25" t="str">
        <f aca="false">IF($A163="","",SUMIFS(工数明細!$G$3:$G$302,工数明細!$B$3:$B$302,$A163))</f>
        <v/>
      </c>
      <c r="W163" s="26" t="str">
        <f aca="false">IF($U163="","",$U163-N($V163))</f>
        <v/>
      </c>
      <c r="X163" s="23" t="str">
        <f aca="false">IF(N($U163)=0,"",$V163/$U163)</f>
        <v/>
      </c>
      <c r="Y163" s="20" t="str">
        <f aca="false">IF(N($U163)=0,"",IF($V163&gt;$U163,"超過",IF($V163&gt;=$U163*0.9,"注意","適正")))</f>
        <v/>
      </c>
      <c r="Z163" s="27" t="str">
        <f aca="true">IF($L163="","",IF($M163&lt;&gt;"",$M163-$L163,IF(TODAY()&gt;$L163,TODAY()-$L163,0)))</f>
        <v/>
      </c>
      <c r="AA163" s="37"/>
    </row>
    <row r="164" customFormat="false" ht="18" hidden="false" customHeight="true" outlineLevel="0" collapsed="false">
      <c r="A164" s="30"/>
      <c r="B164" s="31"/>
      <c r="C164" s="31"/>
      <c r="D164" s="31"/>
      <c r="E164" s="31"/>
      <c r="F164" s="32"/>
      <c r="G164" s="31"/>
      <c r="H164" s="31"/>
      <c r="I164" s="33"/>
      <c r="J164" s="34"/>
      <c r="K164" s="34"/>
      <c r="L164" s="34"/>
      <c r="M164" s="34"/>
      <c r="N164" s="19" t="str">
        <f aca="false">IF($J164="","",YEAR($J164)-IF(MONTH($J164)&lt;マスタ!$B$4,1,0))</f>
        <v/>
      </c>
      <c r="O164" s="20" t="str">
        <f aca="false">IF($J164="","","Q"&amp;(INT(MOD(MONTH($J164)-マスタ!$B$4+12,12)/3)+1))</f>
        <v/>
      </c>
      <c r="P164" s="35"/>
      <c r="Q164" s="22" t="str">
        <f aca="false">IF($P164="","",$P164*N($F164))</f>
        <v/>
      </c>
      <c r="R164" s="35"/>
      <c r="S164" s="22" t="str">
        <f aca="false">IF($P164="","",$P164-N($R164))</f>
        <v/>
      </c>
      <c r="T164" s="23" t="str">
        <f aca="false">IF(N($P164)=0,"",$S164/$P164)</f>
        <v/>
      </c>
      <c r="U164" s="36"/>
      <c r="V164" s="25" t="str">
        <f aca="false">IF($A164="","",SUMIFS(工数明細!$G$3:$G$302,工数明細!$B$3:$B$302,$A164))</f>
        <v/>
      </c>
      <c r="W164" s="26" t="str">
        <f aca="false">IF($U164="","",$U164-N($V164))</f>
        <v/>
      </c>
      <c r="X164" s="23" t="str">
        <f aca="false">IF(N($U164)=0,"",$V164/$U164)</f>
        <v/>
      </c>
      <c r="Y164" s="20" t="str">
        <f aca="false">IF(N($U164)=0,"",IF($V164&gt;$U164,"超過",IF($V164&gt;=$U164*0.9,"注意","適正")))</f>
        <v/>
      </c>
      <c r="Z164" s="27" t="str">
        <f aca="true">IF($L164="","",IF($M164&lt;&gt;"",$M164-$L164,IF(TODAY()&gt;$L164,TODAY()-$L164,0)))</f>
        <v/>
      </c>
      <c r="AA164" s="37"/>
    </row>
    <row r="165" customFormat="false" ht="18" hidden="false" customHeight="true" outlineLevel="0" collapsed="false">
      <c r="A165" s="30"/>
      <c r="B165" s="31"/>
      <c r="C165" s="31"/>
      <c r="D165" s="31"/>
      <c r="E165" s="31"/>
      <c r="F165" s="32"/>
      <c r="G165" s="31"/>
      <c r="H165" s="31"/>
      <c r="I165" s="33"/>
      <c r="J165" s="34"/>
      <c r="K165" s="34"/>
      <c r="L165" s="34"/>
      <c r="M165" s="34"/>
      <c r="N165" s="19" t="str">
        <f aca="false">IF($J165="","",YEAR($J165)-IF(MONTH($J165)&lt;マスタ!$B$4,1,0))</f>
        <v/>
      </c>
      <c r="O165" s="20" t="str">
        <f aca="false">IF($J165="","","Q"&amp;(INT(MOD(MONTH($J165)-マスタ!$B$4+12,12)/3)+1))</f>
        <v/>
      </c>
      <c r="P165" s="35"/>
      <c r="Q165" s="22" t="str">
        <f aca="false">IF($P165="","",$P165*N($F165))</f>
        <v/>
      </c>
      <c r="R165" s="35"/>
      <c r="S165" s="22" t="str">
        <f aca="false">IF($P165="","",$P165-N($R165))</f>
        <v/>
      </c>
      <c r="T165" s="23" t="str">
        <f aca="false">IF(N($P165)=0,"",$S165/$P165)</f>
        <v/>
      </c>
      <c r="U165" s="36"/>
      <c r="V165" s="25" t="str">
        <f aca="false">IF($A165="","",SUMIFS(工数明細!$G$3:$G$302,工数明細!$B$3:$B$302,$A165))</f>
        <v/>
      </c>
      <c r="W165" s="26" t="str">
        <f aca="false">IF($U165="","",$U165-N($V165))</f>
        <v/>
      </c>
      <c r="X165" s="23" t="str">
        <f aca="false">IF(N($U165)=0,"",$V165/$U165)</f>
        <v/>
      </c>
      <c r="Y165" s="20" t="str">
        <f aca="false">IF(N($U165)=0,"",IF($V165&gt;$U165,"超過",IF($V165&gt;=$U165*0.9,"注意","適正")))</f>
        <v/>
      </c>
      <c r="Z165" s="27" t="str">
        <f aca="true">IF($L165="","",IF($M165&lt;&gt;"",$M165-$L165,IF(TODAY()&gt;$L165,TODAY()-$L165,0)))</f>
        <v/>
      </c>
      <c r="AA165" s="37"/>
    </row>
    <row r="166" customFormat="false" ht="18" hidden="false" customHeight="true" outlineLevel="0" collapsed="false">
      <c r="A166" s="30"/>
      <c r="B166" s="31"/>
      <c r="C166" s="31"/>
      <c r="D166" s="31"/>
      <c r="E166" s="31"/>
      <c r="F166" s="32"/>
      <c r="G166" s="31"/>
      <c r="H166" s="31"/>
      <c r="I166" s="33"/>
      <c r="J166" s="34"/>
      <c r="K166" s="34"/>
      <c r="L166" s="34"/>
      <c r="M166" s="34"/>
      <c r="N166" s="19" t="str">
        <f aca="false">IF($J166="","",YEAR($J166)-IF(MONTH($J166)&lt;マスタ!$B$4,1,0))</f>
        <v/>
      </c>
      <c r="O166" s="20" t="str">
        <f aca="false">IF($J166="","","Q"&amp;(INT(MOD(MONTH($J166)-マスタ!$B$4+12,12)/3)+1))</f>
        <v/>
      </c>
      <c r="P166" s="35"/>
      <c r="Q166" s="22" t="str">
        <f aca="false">IF($P166="","",$P166*N($F166))</f>
        <v/>
      </c>
      <c r="R166" s="35"/>
      <c r="S166" s="22" t="str">
        <f aca="false">IF($P166="","",$P166-N($R166))</f>
        <v/>
      </c>
      <c r="T166" s="23" t="str">
        <f aca="false">IF(N($P166)=0,"",$S166/$P166)</f>
        <v/>
      </c>
      <c r="U166" s="36"/>
      <c r="V166" s="25" t="str">
        <f aca="false">IF($A166="","",SUMIFS(工数明細!$G$3:$G$302,工数明細!$B$3:$B$302,$A166))</f>
        <v/>
      </c>
      <c r="W166" s="26" t="str">
        <f aca="false">IF($U166="","",$U166-N($V166))</f>
        <v/>
      </c>
      <c r="X166" s="23" t="str">
        <f aca="false">IF(N($U166)=0,"",$V166/$U166)</f>
        <v/>
      </c>
      <c r="Y166" s="20" t="str">
        <f aca="false">IF(N($U166)=0,"",IF($V166&gt;$U166,"超過",IF($V166&gt;=$U166*0.9,"注意","適正")))</f>
        <v/>
      </c>
      <c r="Z166" s="27" t="str">
        <f aca="true">IF($L166="","",IF($M166&lt;&gt;"",$M166-$L166,IF(TODAY()&gt;$L166,TODAY()-$L166,0)))</f>
        <v/>
      </c>
      <c r="AA166" s="37"/>
    </row>
    <row r="167" customFormat="false" ht="18" hidden="false" customHeight="true" outlineLevel="0" collapsed="false">
      <c r="A167" s="30"/>
      <c r="B167" s="31"/>
      <c r="C167" s="31"/>
      <c r="D167" s="31"/>
      <c r="E167" s="31"/>
      <c r="F167" s="32"/>
      <c r="G167" s="31"/>
      <c r="H167" s="31"/>
      <c r="I167" s="33"/>
      <c r="J167" s="34"/>
      <c r="K167" s="34"/>
      <c r="L167" s="34"/>
      <c r="M167" s="34"/>
      <c r="N167" s="19" t="str">
        <f aca="false">IF($J167="","",YEAR($J167)-IF(MONTH($J167)&lt;マスタ!$B$4,1,0))</f>
        <v/>
      </c>
      <c r="O167" s="20" t="str">
        <f aca="false">IF($J167="","","Q"&amp;(INT(MOD(MONTH($J167)-マスタ!$B$4+12,12)/3)+1))</f>
        <v/>
      </c>
      <c r="P167" s="35"/>
      <c r="Q167" s="22" t="str">
        <f aca="false">IF($P167="","",$P167*N($F167))</f>
        <v/>
      </c>
      <c r="R167" s="35"/>
      <c r="S167" s="22" t="str">
        <f aca="false">IF($P167="","",$P167-N($R167))</f>
        <v/>
      </c>
      <c r="T167" s="23" t="str">
        <f aca="false">IF(N($P167)=0,"",$S167/$P167)</f>
        <v/>
      </c>
      <c r="U167" s="36"/>
      <c r="V167" s="25" t="str">
        <f aca="false">IF($A167="","",SUMIFS(工数明細!$G$3:$G$302,工数明細!$B$3:$B$302,$A167))</f>
        <v/>
      </c>
      <c r="W167" s="26" t="str">
        <f aca="false">IF($U167="","",$U167-N($V167))</f>
        <v/>
      </c>
      <c r="X167" s="23" t="str">
        <f aca="false">IF(N($U167)=0,"",$V167/$U167)</f>
        <v/>
      </c>
      <c r="Y167" s="20" t="str">
        <f aca="false">IF(N($U167)=0,"",IF($V167&gt;$U167,"超過",IF($V167&gt;=$U167*0.9,"注意","適正")))</f>
        <v/>
      </c>
      <c r="Z167" s="27" t="str">
        <f aca="true">IF($L167="","",IF($M167&lt;&gt;"",$M167-$L167,IF(TODAY()&gt;$L167,TODAY()-$L167,0)))</f>
        <v/>
      </c>
      <c r="AA167" s="37"/>
    </row>
    <row r="168" customFormat="false" ht="18" hidden="false" customHeight="true" outlineLevel="0" collapsed="false">
      <c r="A168" s="30"/>
      <c r="B168" s="31"/>
      <c r="C168" s="31"/>
      <c r="D168" s="31"/>
      <c r="E168" s="31"/>
      <c r="F168" s="32"/>
      <c r="G168" s="31"/>
      <c r="H168" s="31"/>
      <c r="I168" s="33"/>
      <c r="J168" s="34"/>
      <c r="K168" s="34"/>
      <c r="L168" s="34"/>
      <c r="M168" s="34"/>
      <c r="N168" s="19" t="str">
        <f aca="false">IF($J168="","",YEAR($J168)-IF(MONTH($J168)&lt;マスタ!$B$4,1,0))</f>
        <v/>
      </c>
      <c r="O168" s="20" t="str">
        <f aca="false">IF($J168="","","Q"&amp;(INT(MOD(MONTH($J168)-マスタ!$B$4+12,12)/3)+1))</f>
        <v/>
      </c>
      <c r="P168" s="35"/>
      <c r="Q168" s="22" t="str">
        <f aca="false">IF($P168="","",$P168*N($F168))</f>
        <v/>
      </c>
      <c r="R168" s="35"/>
      <c r="S168" s="22" t="str">
        <f aca="false">IF($P168="","",$P168-N($R168))</f>
        <v/>
      </c>
      <c r="T168" s="23" t="str">
        <f aca="false">IF(N($P168)=0,"",$S168/$P168)</f>
        <v/>
      </c>
      <c r="U168" s="36"/>
      <c r="V168" s="25" t="str">
        <f aca="false">IF($A168="","",SUMIFS(工数明細!$G$3:$G$302,工数明細!$B$3:$B$302,$A168))</f>
        <v/>
      </c>
      <c r="W168" s="26" t="str">
        <f aca="false">IF($U168="","",$U168-N($V168))</f>
        <v/>
      </c>
      <c r="X168" s="23" t="str">
        <f aca="false">IF(N($U168)=0,"",$V168/$U168)</f>
        <v/>
      </c>
      <c r="Y168" s="20" t="str">
        <f aca="false">IF(N($U168)=0,"",IF($V168&gt;$U168,"超過",IF($V168&gt;=$U168*0.9,"注意","適正")))</f>
        <v/>
      </c>
      <c r="Z168" s="27" t="str">
        <f aca="true">IF($L168="","",IF($M168&lt;&gt;"",$M168-$L168,IF(TODAY()&gt;$L168,TODAY()-$L168,0)))</f>
        <v/>
      </c>
      <c r="AA168" s="37"/>
    </row>
    <row r="169" customFormat="false" ht="18" hidden="false" customHeight="true" outlineLevel="0" collapsed="false">
      <c r="A169" s="30"/>
      <c r="B169" s="31"/>
      <c r="C169" s="31"/>
      <c r="D169" s="31"/>
      <c r="E169" s="31"/>
      <c r="F169" s="32"/>
      <c r="G169" s="31"/>
      <c r="H169" s="31"/>
      <c r="I169" s="33"/>
      <c r="J169" s="34"/>
      <c r="K169" s="34"/>
      <c r="L169" s="34"/>
      <c r="M169" s="34"/>
      <c r="N169" s="19" t="str">
        <f aca="false">IF($J169="","",YEAR($J169)-IF(MONTH($J169)&lt;マスタ!$B$4,1,0))</f>
        <v/>
      </c>
      <c r="O169" s="20" t="str">
        <f aca="false">IF($J169="","","Q"&amp;(INT(MOD(MONTH($J169)-マスタ!$B$4+12,12)/3)+1))</f>
        <v/>
      </c>
      <c r="P169" s="35"/>
      <c r="Q169" s="22" t="str">
        <f aca="false">IF($P169="","",$P169*N($F169))</f>
        <v/>
      </c>
      <c r="R169" s="35"/>
      <c r="S169" s="22" t="str">
        <f aca="false">IF($P169="","",$P169-N($R169))</f>
        <v/>
      </c>
      <c r="T169" s="23" t="str">
        <f aca="false">IF(N($P169)=0,"",$S169/$P169)</f>
        <v/>
      </c>
      <c r="U169" s="36"/>
      <c r="V169" s="25" t="str">
        <f aca="false">IF($A169="","",SUMIFS(工数明細!$G$3:$G$302,工数明細!$B$3:$B$302,$A169))</f>
        <v/>
      </c>
      <c r="W169" s="26" t="str">
        <f aca="false">IF($U169="","",$U169-N($V169))</f>
        <v/>
      </c>
      <c r="X169" s="23" t="str">
        <f aca="false">IF(N($U169)=0,"",$V169/$U169)</f>
        <v/>
      </c>
      <c r="Y169" s="20" t="str">
        <f aca="false">IF(N($U169)=0,"",IF($V169&gt;$U169,"超過",IF($V169&gt;=$U169*0.9,"注意","適正")))</f>
        <v/>
      </c>
      <c r="Z169" s="27" t="str">
        <f aca="true">IF($L169="","",IF($M169&lt;&gt;"",$M169-$L169,IF(TODAY()&gt;$L169,TODAY()-$L169,0)))</f>
        <v/>
      </c>
      <c r="AA169" s="37"/>
    </row>
    <row r="170" customFormat="false" ht="18" hidden="false" customHeight="true" outlineLevel="0" collapsed="false">
      <c r="A170" s="30"/>
      <c r="B170" s="31"/>
      <c r="C170" s="31"/>
      <c r="D170" s="31"/>
      <c r="E170" s="31"/>
      <c r="F170" s="32"/>
      <c r="G170" s="31"/>
      <c r="H170" s="31"/>
      <c r="I170" s="33"/>
      <c r="J170" s="34"/>
      <c r="K170" s="34"/>
      <c r="L170" s="34"/>
      <c r="M170" s="34"/>
      <c r="N170" s="19" t="str">
        <f aca="false">IF($J170="","",YEAR($J170)-IF(MONTH($J170)&lt;マスタ!$B$4,1,0))</f>
        <v/>
      </c>
      <c r="O170" s="20" t="str">
        <f aca="false">IF($J170="","","Q"&amp;(INT(MOD(MONTH($J170)-マスタ!$B$4+12,12)/3)+1))</f>
        <v/>
      </c>
      <c r="P170" s="35"/>
      <c r="Q170" s="22" t="str">
        <f aca="false">IF($P170="","",$P170*N($F170))</f>
        <v/>
      </c>
      <c r="R170" s="35"/>
      <c r="S170" s="22" t="str">
        <f aca="false">IF($P170="","",$P170-N($R170))</f>
        <v/>
      </c>
      <c r="T170" s="23" t="str">
        <f aca="false">IF(N($P170)=0,"",$S170/$P170)</f>
        <v/>
      </c>
      <c r="U170" s="36"/>
      <c r="V170" s="25" t="str">
        <f aca="false">IF($A170="","",SUMIFS(工数明細!$G$3:$G$302,工数明細!$B$3:$B$302,$A170))</f>
        <v/>
      </c>
      <c r="W170" s="26" t="str">
        <f aca="false">IF($U170="","",$U170-N($V170))</f>
        <v/>
      </c>
      <c r="X170" s="23" t="str">
        <f aca="false">IF(N($U170)=0,"",$V170/$U170)</f>
        <v/>
      </c>
      <c r="Y170" s="20" t="str">
        <f aca="false">IF(N($U170)=0,"",IF($V170&gt;$U170,"超過",IF($V170&gt;=$U170*0.9,"注意","適正")))</f>
        <v/>
      </c>
      <c r="Z170" s="27" t="str">
        <f aca="true">IF($L170="","",IF($M170&lt;&gt;"",$M170-$L170,IF(TODAY()&gt;$L170,TODAY()-$L170,0)))</f>
        <v/>
      </c>
      <c r="AA170" s="37"/>
    </row>
    <row r="171" customFormat="false" ht="18" hidden="false" customHeight="true" outlineLevel="0" collapsed="false">
      <c r="A171" s="30"/>
      <c r="B171" s="31"/>
      <c r="C171" s="31"/>
      <c r="D171" s="31"/>
      <c r="E171" s="31"/>
      <c r="F171" s="32"/>
      <c r="G171" s="31"/>
      <c r="H171" s="31"/>
      <c r="I171" s="33"/>
      <c r="J171" s="34"/>
      <c r="K171" s="34"/>
      <c r="L171" s="34"/>
      <c r="M171" s="34"/>
      <c r="N171" s="19" t="str">
        <f aca="false">IF($J171="","",YEAR($J171)-IF(MONTH($J171)&lt;マスタ!$B$4,1,0))</f>
        <v/>
      </c>
      <c r="O171" s="20" t="str">
        <f aca="false">IF($J171="","","Q"&amp;(INT(MOD(MONTH($J171)-マスタ!$B$4+12,12)/3)+1))</f>
        <v/>
      </c>
      <c r="P171" s="35"/>
      <c r="Q171" s="22" t="str">
        <f aca="false">IF($P171="","",$P171*N($F171))</f>
        <v/>
      </c>
      <c r="R171" s="35"/>
      <c r="S171" s="22" t="str">
        <f aca="false">IF($P171="","",$P171-N($R171))</f>
        <v/>
      </c>
      <c r="T171" s="23" t="str">
        <f aca="false">IF(N($P171)=0,"",$S171/$P171)</f>
        <v/>
      </c>
      <c r="U171" s="36"/>
      <c r="V171" s="25" t="str">
        <f aca="false">IF($A171="","",SUMIFS(工数明細!$G$3:$G$302,工数明細!$B$3:$B$302,$A171))</f>
        <v/>
      </c>
      <c r="W171" s="26" t="str">
        <f aca="false">IF($U171="","",$U171-N($V171))</f>
        <v/>
      </c>
      <c r="X171" s="23" t="str">
        <f aca="false">IF(N($U171)=0,"",$V171/$U171)</f>
        <v/>
      </c>
      <c r="Y171" s="20" t="str">
        <f aca="false">IF(N($U171)=0,"",IF($V171&gt;$U171,"超過",IF($V171&gt;=$U171*0.9,"注意","適正")))</f>
        <v/>
      </c>
      <c r="Z171" s="27" t="str">
        <f aca="true">IF($L171="","",IF($M171&lt;&gt;"",$M171-$L171,IF(TODAY()&gt;$L171,TODAY()-$L171,0)))</f>
        <v/>
      </c>
      <c r="AA171" s="37"/>
    </row>
    <row r="172" customFormat="false" ht="18" hidden="false" customHeight="true" outlineLevel="0" collapsed="false">
      <c r="A172" s="30"/>
      <c r="B172" s="31"/>
      <c r="C172" s="31"/>
      <c r="D172" s="31"/>
      <c r="E172" s="31"/>
      <c r="F172" s="32"/>
      <c r="G172" s="31"/>
      <c r="H172" s="31"/>
      <c r="I172" s="33"/>
      <c r="J172" s="34"/>
      <c r="K172" s="34"/>
      <c r="L172" s="34"/>
      <c r="M172" s="34"/>
      <c r="N172" s="19" t="str">
        <f aca="false">IF($J172="","",YEAR($J172)-IF(MONTH($J172)&lt;マスタ!$B$4,1,0))</f>
        <v/>
      </c>
      <c r="O172" s="20" t="str">
        <f aca="false">IF($J172="","","Q"&amp;(INT(MOD(MONTH($J172)-マスタ!$B$4+12,12)/3)+1))</f>
        <v/>
      </c>
      <c r="P172" s="35"/>
      <c r="Q172" s="22" t="str">
        <f aca="false">IF($P172="","",$P172*N($F172))</f>
        <v/>
      </c>
      <c r="R172" s="35"/>
      <c r="S172" s="22" t="str">
        <f aca="false">IF($P172="","",$P172-N($R172))</f>
        <v/>
      </c>
      <c r="T172" s="23" t="str">
        <f aca="false">IF(N($P172)=0,"",$S172/$P172)</f>
        <v/>
      </c>
      <c r="U172" s="36"/>
      <c r="V172" s="25" t="str">
        <f aca="false">IF($A172="","",SUMIFS(工数明細!$G$3:$G$302,工数明細!$B$3:$B$302,$A172))</f>
        <v/>
      </c>
      <c r="W172" s="26" t="str">
        <f aca="false">IF($U172="","",$U172-N($V172))</f>
        <v/>
      </c>
      <c r="X172" s="23" t="str">
        <f aca="false">IF(N($U172)=0,"",$V172/$U172)</f>
        <v/>
      </c>
      <c r="Y172" s="20" t="str">
        <f aca="false">IF(N($U172)=0,"",IF($V172&gt;$U172,"超過",IF($V172&gt;=$U172*0.9,"注意","適正")))</f>
        <v/>
      </c>
      <c r="Z172" s="27" t="str">
        <f aca="true">IF($L172="","",IF($M172&lt;&gt;"",$M172-$L172,IF(TODAY()&gt;$L172,TODAY()-$L172,0)))</f>
        <v/>
      </c>
      <c r="AA172" s="37"/>
    </row>
    <row r="173" customFormat="false" ht="18" hidden="false" customHeight="true" outlineLevel="0" collapsed="false">
      <c r="A173" s="30"/>
      <c r="B173" s="31"/>
      <c r="C173" s="31"/>
      <c r="D173" s="31"/>
      <c r="E173" s="31"/>
      <c r="F173" s="32"/>
      <c r="G173" s="31"/>
      <c r="H173" s="31"/>
      <c r="I173" s="33"/>
      <c r="J173" s="34"/>
      <c r="K173" s="34"/>
      <c r="L173" s="34"/>
      <c r="M173" s="34"/>
      <c r="N173" s="19" t="str">
        <f aca="false">IF($J173="","",YEAR($J173)-IF(MONTH($J173)&lt;マスタ!$B$4,1,0))</f>
        <v/>
      </c>
      <c r="O173" s="20" t="str">
        <f aca="false">IF($J173="","","Q"&amp;(INT(MOD(MONTH($J173)-マスタ!$B$4+12,12)/3)+1))</f>
        <v/>
      </c>
      <c r="P173" s="35"/>
      <c r="Q173" s="22" t="str">
        <f aca="false">IF($P173="","",$P173*N($F173))</f>
        <v/>
      </c>
      <c r="R173" s="35"/>
      <c r="S173" s="22" t="str">
        <f aca="false">IF($P173="","",$P173-N($R173))</f>
        <v/>
      </c>
      <c r="T173" s="23" t="str">
        <f aca="false">IF(N($P173)=0,"",$S173/$P173)</f>
        <v/>
      </c>
      <c r="U173" s="36"/>
      <c r="V173" s="25" t="str">
        <f aca="false">IF($A173="","",SUMIFS(工数明細!$G$3:$G$302,工数明細!$B$3:$B$302,$A173))</f>
        <v/>
      </c>
      <c r="W173" s="26" t="str">
        <f aca="false">IF($U173="","",$U173-N($V173))</f>
        <v/>
      </c>
      <c r="X173" s="23" t="str">
        <f aca="false">IF(N($U173)=0,"",$V173/$U173)</f>
        <v/>
      </c>
      <c r="Y173" s="20" t="str">
        <f aca="false">IF(N($U173)=0,"",IF($V173&gt;$U173,"超過",IF($V173&gt;=$U173*0.9,"注意","適正")))</f>
        <v/>
      </c>
      <c r="Z173" s="27" t="str">
        <f aca="true">IF($L173="","",IF($M173&lt;&gt;"",$M173-$L173,IF(TODAY()&gt;$L173,TODAY()-$L173,0)))</f>
        <v/>
      </c>
      <c r="AA173" s="37"/>
    </row>
    <row r="174" customFormat="false" ht="18" hidden="false" customHeight="true" outlineLevel="0" collapsed="false">
      <c r="A174" s="30"/>
      <c r="B174" s="31"/>
      <c r="C174" s="31"/>
      <c r="D174" s="31"/>
      <c r="E174" s="31"/>
      <c r="F174" s="32"/>
      <c r="G174" s="31"/>
      <c r="H174" s="31"/>
      <c r="I174" s="33"/>
      <c r="J174" s="34"/>
      <c r="K174" s="34"/>
      <c r="L174" s="34"/>
      <c r="M174" s="34"/>
      <c r="N174" s="19" t="str">
        <f aca="false">IF($J174="","",YEAR($J174)-IF(MONTH($J174)&lt;マスタ!$B$4,1,0))</f>
        <v/>
      </c>
      <c r="O174" s="20" t="str">
        <f aca="false">IF($J174="","","Q"&amp;(INT(MOD(MONTH($J174)-マスタ!$B$4+12,12)/3)+1))</f>
        <v/>
      </c>
      <c r="P174" s="35"/>
      <c r="Q174" s="22" t="str">
        <f aca="false">IF($P174="","",$P174*N($F174))</f>
        <v/>
      </c>
      <c r="R174" s="35"/>
      <c r="S174" s="22" t="str">
        <f aca="false">IF($P174="","",$P174-N($R174))</f>
        <v/>
      </c>
      <c r="T174" s="23" t="str">
        <f aca="false">IF(N($P174)=0,"",$S174/$P174)</f>
        <v/>
      </c>
      <c r="U174" s="36"/>
      <c r="V174" s="25" t="str">
        <f aca="false">IF($A174="","",SUMIFS(工数明細!$G$3:$G$302,工数明細!$B$3:$B$302,$A174))</f>
        <v/>
      </c>
      <c r="W174" s="26" t="str">
        <f aca="false">IF($U174="","",$U174-N($V174))</f>
        <v/>
      </c>
      <c r="X174" s="23" t="str">
        <f aca="false">IF(N($U174)=0,"",$V174/$U174)</f>
        <v/>
      </c>
      <c r="Y174" s="20" t="str">
        <f aca="false">IF(N($U174)=0,"",IF($V174&gt;$U174,"超過",IF($V174&gt;=$U174*0.9,"注意","適正")))</f>
        <v/>
      </c>
      <c r="Z174" s="27" t="str">
        <f aca="true">IF($L174="","",IF($M174&lt;&gt;"",$M174-$L174,IF(TODAY()&gt;$L174,TODAY()-$L174,0)))</f>
        <v/>
      </c>
      <c r="AA174" s="37"/>
    </row>
    <row r="175" customFormat="false" ht="18" hidden="false" customHeight="true" outlineLevel="0" collapsed="false">
      <c r="A175" s="30"/>
      <c r="B175" s="31"/>
      <c r="C175" s="31"/>
      <c r="D175" s="31"/>
      <c r="E175" s="31"/>
      <c r="F175" s="32"/>
      <c r="G175" s="31"/>
      <c r="H175" s="31"/>
      <c r="I175" s="33"/>
      <c r="J175" s="34"/>
      <c r="K175" s="34"/>
      <c r="L175" s="34"/>
      <c r="M175" s="34"/>
      <c r="N175" s="19" t="str">
        <f aca="false">IF($J175="","",YEAR($J175)-IF(MONTH($J175)&lt;マスタ!$B$4,1,0))</f>
        <v/>
      </c>
      <c r="O175" s="20" t="str">
        <f aca="false">IF($J175="","","Q"&amp;(INT(MOD(MONTH($J175)-マスタ!$B$4+12,12)/3)+1))</f>
        <v/>
      </c>
      <c r="P175" s="35"/>
      <c r="Q175" s="22" t="str">
        <f aca="false">IF($P175="","",$P175*N($F175))</f>
        <v/>
      </c>
      <c r="R175" s="35"/>
      <c r="S175" s="22" t="str">
        <f aca="false">IF($P175="","",$P175-N($R175))</f>
        <v/>
      </c>
      <c r="T175" s="23" t="str">
        <f aca="false">IF(N($P175)=0,"",$S175/$P175)</f>
        <v/>
      </c>
      <c r="U175" s="36"/>
      <c r="V175" s="25" t="str">
        <f aca="false">IF($A175="","",SUMIFS(工数明細!$G$3:$G$302,工数明細!$B$3:$B$302,$A175))</f>
        <v/>
      </c>
      <c r="W175" s="26" t="str">
        <f aca="false">IF($U175="","",$U175-N($V175))</f>
        <v/>
      </c>
      <c r="X175" s="23" t="str">
        <f aca="false">IF(N($U175)=0,"",$V175/$U175)</f>
        <v/>
      </c>
      <c r="Y175" s="20" t="str">
        <f aca="false">IF(N($U175)=0,"",IF($V175&gt;$U175,"超過",IF($V175&gt;=$U175*0.9,"注意","適正")))</f>
        <v/>
      </c>
      <c r="Z175" s="27" t="str">
        <f aca="true">IF($L175="","",IF($M175&lt;&gt;"",$M175-$L175,IF(TODAY()&gt;$L175,TODAY()-$L175,0)))</f>
        <v/>
      </c>
      <c r="AA175" s="37"/>
    </row>
    <row r="176" customFormat="false" ht="18" hidden="false" customHeight="true" outlineLevel="0" collapsed="false">
      <c r="A176" s="30"/>
      <c r="B176" s="31"/>
      <c r="C176" s="31"/>
      <c r="D176" s="31"/>
      <c r="E176" s="31"/>
      <c r="F176" s="32"/>
      <c r="G176" s="31"/>
      <c r="H176" s="31"/>
      <c r="I176" s="33"/>
      <c r="J176" s="34"/>
      <c r="K176" s="34"/>
      <c r="L176" s="34"/>
      <c r="M176" s="34"/>
      <c r="N176" s="19" t="str">
        <f aca="false">IF($J176="","",YEAR($J176)-IF(MONTH($J176)&lt;マスタ!$B$4,1,0))</f>
        <v/>
      </c>
      <c r="O176" s="20" t="str">
        <f aca="false">IF($J176="","","Q"&amp;(INT(MOD(MONTH($J176)-マスタ!$B$4+12,12)/3)+1))</f>
        <v/>
      </c>
      <c r="P176" s="35"/>
      <c r="Q176" s="22" t="str">
        <f aca="false">IF($P176="","",$P176*N($F176))</f>
        <v/>
      </c>
      <c r="R176" s="35"/>
      <c r="S176" s="22" t="str">
        <f aca="false">IF($P176="","",$P176-N($R176))</f>
        <v/>
      </c>
      <c r="T176" s="23" t="str">
        <f aca="false">IF(N($P176)=0,"",$S176/$P176)</f>
        <v/>
      </c>
      <c r="U176" s="36"/>
      <c r="V176" s="25" t="str">
        <f aca="false">IF($A176="","",SUMIFS(工数明細!$G$3:$G$302,工数明細!$B$3:$B$302,$A176))</f>
        <v/>
      </c>
      <c r="W176" s="26" t="str">
        <f aca="false">IF($U176="","",$U176-N($V176))</f>
        <v/>
      </c>
      <c r="X176" s="23" t="str">
        <f aca="false">IF(N($U176)=0,"",$V176/$U176)</f>
        <v/>
      </c>
      <c r="Y176" s="20" t="str">
        <f aca="false">IF(N($U176)=0,"",IF($V176&gt;$U176,"超過",IF($V176&gt;=$U176*0.9,"注意","適正")))</f>
        <v/>
      </c>
      <c r="Z176" s="27" t="str">
        <f aca="true">IF($L176="","",IF($M176&lt;&gt;"",$M176-$L176,IF(TODAY()&gt;$L176,TODAY()-$L176,0)))</f>
        <v/>
      </c>
      <c r="AA176" s="37"/>
    </row>
    <row r="177" customFormat="false" ht="18" hidden="false" customHeight="true" outlineLevel="0" collapsed="false">
      <c r="A177" s="30"/>
      <c r="B177" s="31"/>
      <c r="C177" s="31"/>
      <c r="D177" s="31"/>
      <c r="E177" s="31"/>
      <c r="F177" s="32"/>
      <c r="G177" s="31"/>
      <c r="H177" s="31"/>
      <c r="I177" s="33"/>
      <c r="J177" s="34"/>
      <c r="K177" s="34"/>
      <c r="L177" s="34"/>
      <c r="M177" s="34"/>
      <c r="N177" s="19" t="str">
        <f aca="false">IF($J177="","",YEAR($J177)-IF(MONTH($J177)&lt;マスタ!$B$4,1,0))</f>
        <v/>
      </c>
      <c r="O177" s="20" t="str">
        <f aca="false">IF($J177="","","Q"&amp;(INT(MOD(MONTH($J177)-マスタ!$B$4+12,12)/3)+1))</f>
        <v/>
      </c>
      <c r="P177" s="35"/>
      <c r="Q177" s="22" t="str">
        <f aca="false">IF($P177="","",$P177*N($F177))</f>
        <v/>
      </c>
      <c r="R177" s="35"/>
      <c r="S177" s="22" t="str">
        <f aca="false">IF($P177="","",$P177-N($R177))</f>
        <v/>
      </c>
      <c r="T177" s="23" t="str">
        <f aca="false">IF(N($P177)=0,"",$S177/$P177)</f>
        <v/>
      </c>
      <c r="U177" s="36"/>
      <c r="V177" s="25" t="str">
        <f aca="false">IF($A177="","",SUMIFS(工数明細!$G$3:$G$302,工数明細!$B$3:$B$302,$A177))</f>
        <v/>
      </c>
      <c r="W177" s="26" t="str">
        <f aca="false">IF($U177="","",$U177-N($V177))</f>
        <v/>
      </c>
      <c r="X177" s="23" t="str">
        <f aca="false">IF(N($U177)=0,"",$V177/$U177)</f>
        <v/>
      </c>
      <c r="Y177" s="20" t="str">
        <f aca="false">IF(N($U177)=0,"",IF($V177&gt;$U177,"超過",IF($V177&gt;=$U177*0.9,"注意","適正")))</f>
        <v/>
      </c>
      <c r="Z177" s="27" t="str">
        <f aca="true">IF($L177="","",IF($M177&lt;&gt;"",$M177-$L177,IF(TODAY()&gt;$L177,TODAY()-$L177,0)))</f>
        <v/>
      </c>
      <c r="AA177" s="37"/>
    </row>
    <row r="178" customFormat="false" ht="18" hidden="false" customHeight="true" outlineLevel="0" collapsed="false">
      <c r="A178" s="30"/>
      <c r="B178" s="31"/>
      <c r="C178" s="31"/>
      <c r="D178" s="31"/>
      <c r="E178" s="31"/>
      <c r="F178" s="32"/>
      <c r="G178" s="31"/>
      <c r="H178" s="31"/>
      <c r="I178" s="33"/>
      <c r="J178" s="34"/>
      <c r="K178" s="34"/>
      <c r="L178" s="34"/>
      <c r="M178" s="34"/>
      <c r="N178" s="19" t="str">
        <f aca="false">IF($J178="","",YEAR($J178)-IF(MONTH($J178)&lt;マスタ!$B$4,1,0))</f>
        <v/>
      </c>
      <c r="O178" s="20" t="str">
        <f aca="false">IF($J178="","","Q"&amp;(INT(MOD(MONTH($J178)-マスタ!$B$4+12,12)/3)+1))</f>
        <v/>
      </c>
      <c r="P178" s="35"/>
      <c r="Q178" s="22" t="str">
        <f aca="false">IF($P178="","",$P178*N($F178))</f>
        <v/>
      </c>
      <c r="R178" s="35"/>
      <c r="S178" s="22" t="str">
        <f aca="false">IF($P178="","",$P178-N($R178))</f>
        <v/>
      </c>
      <c r="T178" s="23" t="str">
        <f aca="false">IF(N($P178)=0,"",$S178/$P178)</f>
        <v/>
      </c>
      <c r="U178" s="36"/>
      <c r="V178" s="25" t="str">
        <f aca="false">IF($A178="","",SUMIFS(工数明細!$G$3:$G$302,工数明細!$B$3:$B$302,$A178))</f>
        <v/>
      </c>
      <c r="W178" s="26" t="str">
        <f aca="false">IF($U178="","",$U178-N($V178))</f>
        <v/>
      </c>
      <c r="X178" s="23" t="str">
        <f aca="false">IF(N($U178)=0,"",$V178/$U178)</f>
        <v/>
      </c>
      <c r="Y178" s="20" t="str">
        <f aca="false">IF(N($U178)=0,"",IF($V178&gt;$U178,"超過",IF($V178&gt;=$U178*0.9,"注意","適正")))</f>
        <v/>
      </c>
      <c r="Z178" s="27" t="str">
        <f aca="true">IF($L178="","",IF($M178&lt;&gt;"",$M178-$L178,IF(TODAY()&gt;$L178,TODAY()-$L178,0)))</f>
        <v/>
      </c>
      <c r="AA178" s="37"/>
    </row>
    <row r="179" customFormat="false" ht="18" hidden="false" customHeight="true" outlineLevel="0" collapsed="false">
      <c r="A179" s="30"/>
      <c r="B179" s="31"/>
      <c r="C179" s="31"/>
      <c r="D179" s="31"/>
      <c r="E179" s="31"/>
      <c r="F179" s="32"/>
      <c r="G179" s="31"/>
      <c r="H179" s="31"/>
      <c r="I179" s="33"/>
      <c r="J179" s="34"/>
      <c r="K179" s="34"/>
      <c r="L179" s="34"/>
      <c r="M179" s="34"/>
      <c r="N179" s="19" t="str">
        <f aca="false">IF($J179="","",YEAR($J179)-IF(MONTH($J179)&lt;マスタ!$B$4,1,0))</f>
        <v/>
      </c>
      <c r="O179" s="20" t="str">
        <f aca="false">IF($J179="","","Q"&amp;(INT(MOD(MONTH($J179)-マスタ!$B$4+12,12)/3)+1))</f>
        <v/>
      </c>
      <c r="P179" s="35"/>
      <c r="Q179" s="22" t="str">
        <f aca="false">IF($P179="","",$P179*N($F179))</f>
        <v/>
      </c>
      <c r="R179" s="35"/>
      <c r="S179" s="22" t="str">
        <f aca="false">IF($P179="","",$P179-N($R179))</f>
        <v/>
      </c>
      <c r="T179" s="23" t="str">
        <f aca="false">IF(N($P179)=0,"",$S179/$P179)</f>
        <v/>
      </c>
      <c r="U179" s="36"/>
      <c r="V179" s="25" t="str">
        <f aca="false">IF($A179="","",SUMIFS(工数明細!$G$3:$G$302,工数明細!$B$3:$B$302,$A179))</f>
        <v/>
      </c>
      <c r="W179" s="26" t="str">
        <f aca="false">IF($U179="","",$U179-N($V179))</f>
        <v/>
      </c>
      <c r="X179" s="23" t="str">
        <f aca="false">IF(N($U179)=0,"",$V179/$U179)</f>
        <v/>
      </c>
      <c r="Y179" s="20" t="str">
        <f aca="false">IF(N($U179)=0,"",IF($V179&gt;$U179,"超過",IF($V179&gt;=$U179*0.9,"注意","適正")))</f>
        <v/>
      </c>
      <c r="Z179" s="27" t="str">
        <f aca="true">IF($L179="","",IF($M179&lt;&gt;"",$M179-$L179,IF(TODAY()&gt;$L179,TODAY()-$L179,0)))</f>
        <v/>
      </c>
      <c r="AA179" s="37"/>
    </row>
    <row r="180" customFormat="false" ht="18" hidden="false" customHeight="true" outlineLevel="0" collapsed="false">
      <c r="A180" s="30"/>
      <c r="B180" s="31"/>
      <c r="C180" s="31"/>
      <c r="D180" s="31"/>
      <c r="E180" s="31"/>
      <c r="F180" s="32"/>
      <c r="G180" s="31"/>
      <c r="H180" s="31"/>
      <c r="I180" s="33"/>
      <c r="J180" s="34"/>
      <c r="K180" s="34"/>
      <c r="L180" s="34"/>
      <c r="M180" s="34"/>
      <c r="N180" s="19" t="str">
        <f aca="false">IF($J180="","",YEAR($J180)-IF(MONTH($J180)&lt;マスタ!$B$4,1,0))</f>
        <v/>
      </c>
      <c r="O180" s="20" t="str">
        <f aca="false">IF($J180="","","Q"&amp;(INT(MOD(MONTH($J180)-マスタ!$B$4+12,12)/3)+1))</f>
        <v/>
      </c>
      <c r="P180" s="35"/>
      <c r="Q180" s="22" t="str">
        <f aca="false">IF($P180="","",$P180*N($F180))</f>
        <v/>
      </c>
      <c r="R180" s="35"/>
      <c r="S180" s="22" t="str">
        <f aca="false">IF($P180="","",$P180-N($R180))</f>
        <v/>
      </c>
      <c r="T180" s="23" t="str">
        <f aca="false">IF(N($P180)=0,"",$S180/$P180)</f>
        <v/>
      </c>
      <c r="U180" s="36"/>
      <c r="V180" s="25" t="str">
        <f aca="false">IF($A180="","",SUMIFS(工数明細!$G$3:$G$302,工数明細!$B$3:$B$302,$A180))</f>
        <v/>
      </c>
      <c r="W180" s="26" t="str">
        <f aca="false">IF($U180="","",$U180-N($V180))</f>
        <v/>
      </c>
      <c r="X180" s="23" t="str">
        <f aca="false">IF(N($U180)=0,"",$V180/$U180)</f>
        <v/>
      </c>
      <c r="Y180" s="20" t="str">
        <f aca="false">IF(N($U180)=0,"",IF($V180&gt;$U180,"超過",IF($V180&gt;=$U180*0.9,"注意","適正")))</f>
        <v/>
      </c>
      <c r="Z180" s="27" t="str">
        <f aca="true">IF($L180="","",IF($M180&lt;&gt;"",$M180-$L180,IF(TODAY()&gt;$L180,TODAY()-$L180,0)))</f>
        <v/>
      </c>
      <c r="AA180" s="37"/>
    </row>
    <row r="181" customFormat="false" ht="18" hidden="false" customHeight="true" outlineLevel="0" collapsed="false">
      <c r="A181" s="30"/>
      <c r="B181" s="31"/>
      <c r="C181" s="31"/>
      <c r="D181" s="31"/>
      <c r="E181" s="31"/>
      <c r="F181" s="32"/>
      <c r="G181" s="31"/>
      <c r="H181" s="31"/>
      <c r="I181" s="33"/>
      <c r="J181" s="34"/>
      <c r="K181" s="34"/>
      <c r="L181" s="34"/>
      <c r="M181" s="34"/>
      <c r="N181" s="19" t="str">
        <f aca="false">IF($J181="","",YEAR($J181)-IF(MONTH($J181)&lt;マスタ!$B$4,1,0))</f>
        <v/>
      </c>
      <c r="O181" s="20" t="str">
        <f aca="false">IF($J181="","","Q"&amp;(INT(MOD(MONTH($J181)-マスタ!$B$4+12,12)/3)+1))</f>
        <v/>
      </c>
      <c r="P181" s="35"/>
      <c r="Q181" s="22" t="str">
        <f aca="false">IF($P181="","",$P181*N($F181))</f>
        <v/>
      </c>
      <c r="R181" s="35"/>
      <c r="S181" s="22" t="str">
        <f aca="false">IF($P181="","",$P181-N($R181))</f>
        <v/>
      </c>
      <c r="T181" s="23" t="str">
        <f aca="false">IF(N($P181)=0,"",$S181/$P181)</f>
        <v/>
      </c>
      <c r="U181" s="36"/>
      <c r="V181" s="25" t="str">
        <f aca="false">IF($A181="","",SUMIFS(工数明細!$G$3:$G$302,工数明細!$B$3:$B$302,$A181))</f>
        <v/>
      </c>
      <c r="W181" s="26" t="str">
        <f aca="false">IF($U181="","",$U181-N($V181))</f>
        <v/>
      </c>
      <c r="X181" s="23" t="str">
        <f aca="false">IF(N($U181)=0,"",$V181/$U181)</f>
        <v/>
      </c>
      <c r="Y181" s="20" t="str">
        <f aca="false">IF(N($U181)=0,"",IF($V181&gt;$U181,"超過",IF($V181&gt;=$U181*0.9,"注意","適正")))</f>
        <v/>
      </c>
      <c r="Z181" s="27" t="str">
        <f aca="true">IF($L181="","",IF($M181&lt;&gt;"",$M181-$L181,IF(TODAY()&gt;$L181,TODAY()-$L181,0)))</f>
        <v/>
      </c>
      <c r="AA181" s="37"/>
    </row>
    <row r="182" customFormat="false" ht="18" hidden="false" customHeight="true" outlineLevel="0" collapsed="false">
      <c r="A182" s="30"/>
      <c r="B182" s="31"/>
      <c r="C182" s="31"/>
      <c r="D182" s="31"/>
      <c r="E182" s="31"/>
      <c r="F182" s="32"/>
      <c r="G182" s="31"/>
      <c r="H182" s="31"/>
      <c r="I182" s="33"/>
      <c r="J182" s="34"/>
      <c r="K182" s="34"/>
      <c r="L182" s="34"/>
      <c r="M182" s="34"/>
      <c r="N182" s="19" t="str">
        <f aca="false">IF($J182="","",YEAR($J182)-IF(MONTH($J182)&lt;マスタ!$B$4,1,0))</f>
        <v/>
      </c>
      <c r="O182" s="20" t="str">
        <f aca="false">IF($J182="","","Q"&amp;(INT(MOD(MONTH($J182)-マスタ!$B$4+12,12)/3)+1))</f>
        <v/>
      </c>
      <c r="P182" s="35"/>
      <c r="Q182" s="22" t="str">
        <f aca="false">IF($P182="","",$P182*N($F182))</f>
        <v/>
      </c>
      <c r="R182" s="35"/>
      <c r="S182" s="22" t="str">
        <f aca="false">IF($P182="","",$P182-N($R182))</f>
        <v/>
      </c>
      <c r="T182" s="23" t="str">
        <f aca="false">IF(N($P182)=0,"",$S182/$P182)</f>
        <v/>
      </c>
      <c r="U182" s="36"/>
      <c r="V182" s="25" t="str">
        <f aca="false">IF($A182="","",SUMIFS(工数明細!$G$3:$G$302,工数明細!$B$3:$B$302,$A182))</f>
        <v/>
      </c>
      <c r="W182" s="26" t="str">
        <f aca="false">IF($U182="","",$U182-N($V182))</f>
        <v/>
      </c>
      <c r="X182" s="23" t="str">
        <f aca="false">IF(N($U182)=0,"",$V182/$U182)</f>
        <v/>
      </c>
      <c r="Y182" s="20" t="str">
        <f aca="false">IF(N($U182)=0,"",IF($V182&gt;$U182,"超過",IF($V182&gt;=$U182*0.9,"注意","適正")))</f>
        <v/>
      </c>
      <c r="Z182" s="27" t="str">
        <f aca="true">IF($L182="","",IF($M182&lt;&gt;"",$M182-$L182,IF(TODAY()&gt;$L182,TODAY()-$L182,0)))</f>
        <v/>
      </c>
      <c r="AA182" s="37"/>
    </row>
    <row r="183" customFormat="false" ht="18" hidden="false" customHeight="true" outlineLevel="0" collapsed="false">
      <c r="A183" s="30"/>
      <c r="B183" s="31"/>
      <c r="C183" s="31"/>
      <c r="D183" s="31"/>
      <c r="E183" s="31"/>
      <c r="F183" s="32"/>
      <c r="G183" s="31"/>
      <c r="H183" s="31"/>
      <c r="I183" s="33"/>
      <c r="J183" s="34"/>
      <c r="K183" s="34"/>
      <c r="L183" s="34"/>
      <c r="M183" s="34"/>
      <c r="N183" s="19" t="str">
        <f aca="false">IF($J183="","",YEAR($J183)-IF(MONTH($J183)&lt;マスタ!$B$4,1,0))</f>
        <v/>
      </c>
      <c r="O183" s="20" t="str">
        <f aca="false">IF($J183="","","Q"&amp;(INT(MOD(MONTH($J183)-マスタ!$B$4+12,12)/3)+1))</f>
        <v/>
      </c>
      <c r="P183" s="35"/>
      <c r="Q183" s="22" t="str">
        <f aca="false">IF($P183="","",$P183*N($F183))</f>
        <v/>
      </c>
      <c r="R183" s="35"/>
      <c r="S183" s="22" t="str">
        <f aca="false">IF($P183="","",$P183-N($R183))</f>
        <v/>
      </c>
      <c r="T183" s="23" t="str">
        <f aca="false">IF(N($P183)=0,"",$S183/$P183)</f>
        <v/>
      </c>
      <c r="U183" s="36"/>
      <c r="V183" s="25" t="str">
        <f aca="false">IF($A183="","",SUMIFS(工数明細!$G$3:$G$302,工数明細!$B$3:$B$302,$A183))</f>
        <v/>
      </c>
      <c r="W183" s="26" t="str">
        <f aca="false">IF($U183="","",$U183-N($V183))</f>
        <v/>
      </c>
      <c r="X183" s="23" t="str">
        <f aca="false">IF(N($U183)=0,"",$V183/$U183)</f>
        <v/>
      </c>
      <c r="Y183" s="20" t="str">
        <f aca="false">IF(N($U183)=0,"",IF($V183&gt;$U183,"超過",IF($V183&gt;=$U183*0.9,"注意","適正")))</f>
        <v/>
      </c>
      <c r="Z183" s="27" t="str">
        <f aca="true">IF($L183="","",IF($M183&lt;&gt;"",$M183-$L183,IF(TODAY()&gt;$L183,TODAY()-$L183,0)))</f>
        <v/>
      </c>
      <c r="AA183" s="37"/>
    </row>
    <row r="184" customFormat="false" ht="18" hidden="false" customHeight="true" outlineLevel="0" collapsed="false">
      <c r="A184" s="30"/>
      <c r="B184" s="31"/>
      <c r="C184" s="31"/>
      <c r="D184" s="31"/>
      <c r="E184" s="31"/>
      <c r="F184" s="32"/>
      <c r="G184" s="31"/>
      <c r="H184" s="31"/>
      <c r="I184" s="33"/>
      <c r="J184" s="34"/>
      <c r="K184" s="34"/>
      <c r="L184" s="34"/>
      <c r="M184" s="34"/>
      <c r="N184" s="19" t="str">
        <f aca="false">IF($J184="","",YEAR($J184)-IF(MONTH($J184)&lt;マスタ!$B$4,1,0))</f>
        <v/>
      </c>
      <c r="O184" s="20" t="str">
        <f aca="false">IF($J184="","","Q"&amp;(INT(MOD(MONTH($J184)-マスタ!$B$4+12,12)/3)+1))</f>
        <v/>
      </c>
      <c r="P184" s="35"/>
      <c r="Q184" s="22" t="str">
        <f aca="false">IF($P184="","",$P184*N($F184))</f>
        <v/>
      </c>
      <c r="R184" s="35"/>
      <c r="S184" s="22" t="str">
        <f aca="false">IF($P184="","",$P184-N($R184))</f>
        <v/>
      </c>
      <c r="T184" s="23" t="str">
        <f aca="false">IF(N($P184)=0,"",$S184/$P184)</f>
        <v/>
      </c>
      <c r="U184" s="36"/>
      <c r="V184" s="25" t="str">
        <f aca="false">IF($A184="","",SUMIFS(工数明細!$G$3:$G$302,工数明細!$B$3:$B$302,$A184))</f>
        <v/>
      </c>
      <c r="W184" s="26" t="str">
        <f aca="false">IF($U184="","",$U184-N($V184))</f>
        <v/>
      </c>
      <c r="X184" s="23" t="str">
        <f aca="false">IF(N($U184)=0,"",$V184/$U184)</f>
        <v/>
      </c>
      <c r="Y184" s="20" t="str">
        <f aca="false">IF(N($U184)=0,"",IF($V184&gt;$U184,"超過",IF($V184&gt;=$U184*0.9,"注意","適正")))</f>
        <v/>
      </c>
      <c r="Z184" s="27" t="str">
        <f aca="true">IF($L184="","",IF($M184&lt;&gt;"",$M184-$L184,IF(TODAY()&gt;$L184,TODAY()-$L184,0)))</f>
        <v/>
      </c>
      <c r="AA184" s="37"/>
    </row>
    <row r="185" customFormat="false" ht="18" hidden="false" customHeight="true" outlineLevel="0" collapsed="false">
      <c r="A185" s="30"/>
      <c r="B185" s="31"/>
      <c r="C185" s="31"/>
      <c r="D185" s="31"/>
      <c r="E185" s="31"/>
      <c r="F185" s="32"/>
      <c r="G185" s="31"/>
      <c r="H185" s="31"/>
      <c r="I185" s="33"/>
      <c r="J185" s="34"/>
      <c r="K185" s="34"/>
      <c r="L185" s="34"/>
      <c r="M185" s="34"/>
      <c r="N185" s="19" t="str">
        <f aca="false">IF($J185="","",YEAR($J185)-IF(MONTH($J185)&lt;マスタ!$B$4,1,0))</f>
        <v/>
      </c>
      <c r="O185" s="20" t="str">
        <f aca="false">IF($J185="","","Q"&amp;(INT(MOD(MONTH($J185)-マスタ!$B$4+12,12)/3)+1))</f>
        <v/>
      </c>
      <c r="P185" s="35"/>
      <c r="Q185" s="22" t="str">
        <f aca="false">IF($P185="","",$P185*N($F185))</f>
        <v/>
      </c>
      <c r="R185" s="35"/>
      <c r="S185" s="22" t="str">
        <f aca="false">IF($P185="","",$P185-N($R185))</f>
        <v/>
      </c>
      <c r="T185" s="23" t="str">
        <f aca="false">IF(N($P185)=0,"",$S185/$P185)</f>
        <v/>
      </c>
      <c r="U185" s="36"/>
      <c r="V185" s="25" t="str">
        <f aca="false">IF($A185="","",SUMIFS(工数明細!$G$3:$G$302,工数明細!$B$3:$B$302,$A185))</f>
        <v/>
      </c>
      <c r="W185" s="26" t="str">
        <f aca="false">IF($U185="","",$U185-N($V185))</f>
        <v/>
      </c>
      <c r="X185" s="23" t="str">
        <f aca="false">IF(N($U185)=0,"",$V185/$U185)</f>
        <v/>
      </c>
      <c r="Y185" s="20" t="str">
        <f aca="false">IF(N($U185)=0,"",IF($V185&gt;$U185,"超過",IF($V185&gt;=$U185*0.9,"注意","適正")))</f>
        <v/>
      </c>
      <c r="Z185" s="27" t="str">
        <f aca="true">IF($L185="","",IF($M185&lt;&gt;"",$M185-$L185,IF(TODAY()&gt;$L185,TODAY()-$L185,0)))</f>
        <v/>
      </c>
      <c r="AA185" s="37"/>
    </row>
    <row r="186" customFormat="false" ht="18" hidden="false" customHeight="true" outlineLevel="0" collapsed="false">
      <c r="A186" s="30"/>
      <c r="B186" s="31"/>
      <c r="C186" s="31"/>
      <c r="D186" s="31"/>
      <c r="E186" s="31"/>
      <c r="F186" s="32"/>
      <c r="G186" s="31"/>
      <c r="H186" s="31"/>
      <c r="I186" s="33"/>
      <c r="J186" s="34"/>
      <c r="K186" s="34"/>
      <c r="L186" s="34"/>
      <c r="M186" s="34"/>
      <c r="N186" s="19" t="str">
        <f aca="false">IF($J186="","",YEAR($J186)-IF(MONTH($J186)&lt;マスタ!$B$4,1,0))</f>
        <v/>
      </c>
      <c r="O186" s="20" t="str">
        <f aca="false">IF($J186="","","Q"&amp;(INT(MOD(MONTH($J186)-マスタ!$B$4+12,12)/3)+1))</f>
        <v/>
      </c>
      <c r="P186" s="35"/>
      <c r="Q186" s="22" t="str">
        <f aca="false">IF($P186="","",$P186*N($F186))</f>
        <v/>
      </c>
      <c r="R186" s="35"/>
      <c r="S186" s="22" t="str">
        <f aca="false">IF($P186="","",$P186-N($R186))</f>
        <v/>
      </c>
      <c r="T186" s="23" t="str">
        <f aca="false">IF(N($P186)=0,"",$S186/$P186)</f>
        <v/>
      </c>
      <c r="U186" s="36"/>
      <c r="V186" s="25" t="str">
        <f aca="false">IF($A186="","",SUMIFS(工数明細!$G$3:$G$302,工数明細!$B$3:$B$302,$A186))</f>
        <v/>
      </c>
      <c r="W186" s="26" t="str">
        <f aca="false">IF($U186="","",$U186-N($V186))</f>
        <v/>
      </c>
      <c r="X186" s="23" t="str">
        <f aca="false">IF(N($U186)=0,"",$V186/$U186)</f>
        <v/>
      </c>
      <c r="Y186" s="20" t="str">
        <f aca="false">IF(N($U186)=0,"",IF($V186&gt;$U186,"超過",IF($V186&gt;=$U186*0.9,"注意","適正")))</f>
        <v/>
      </c>
      <c r="Z186" s="27" t="str">
        <f aca="true">IF($L186="","",IF($M186&lt;&gt;"",$M186-$L186,IF(TODAY()&gt;$L186,TODAY()-$L186,0)))</f>
        <v/>
      </c>
      <c r="AA186" s="37"/>
    </row>
    <row r="187" customFormat="false" ht="18" hidden="false" customHeight="true" outlineLevel="0" collapsed="false">
      <c r="A187" s="30"/>
      <c r="B187" s="31"/>
      <c r="C187" s="31"/>
      <c r="D187" s="31"/>
      <c r="E187" s="31"/>
      <c r="F187" s="32"/>
      <c r="G187" s="31"/>
      <c r="H187" s="31"/>
      <c r="I187" s="33"/>
      <c r="J187" s="34"/>
      <c r="K187" s="34"/>
      <c r="L187" s="34"/>
      <c r="M187" s="34"/>
      <c r="N187" s="19" t="str">
        <f aca="false">IF($J187="","",YEAR($J187)-IF(MONTH($J187)&lt;マスタ!$B$4,1,0))</f>
        <v/>
      </c>
      <c r="O187" s="20" t="str">
        <f aca="false">IF($J187="","","Q"&amp;(INT(MOD(MONTH($J187)-マスタ!$B$4+12,12)/3)+1))</f>
        <v/>
      </c>
      <c r="P187" s="35"/>
      <c r="Q187" s="22" t="str">
        <f aca="false">IF($P187="","",$P187*N($F187))</f>
        <v/>
      </c>
      <c r="R187" s="35"/>
      <c r="S187" s="22" t="str">
        <f aca="false">IF($P187="","",$P187-N($R187))</f>
        <v/>
      </c>
      <c r="T187" s="23" t="str">
        <f aca="false">IF(N($P187)=0,"",$S187/$P187)</f>
        <v/>
      </c>
      <c r="U187" s="36"/>
      <c r="V187" s="25" t="str">
        <f aca="false">IF($A187="","",SUMIFS(工数明細!$G$3:$G$302,工数明細!$B$3:$B$302,$A187))</f>
        <v/>
      </c>
      <c r="W187" s="26" t="str">
        <f aca="false">IF($U187="","",$U187-N($V187))</f>
        <v/>
      </c>
      <c r="X187" s="23" t="str">
        <f aca="false">IF(N($U187)=0,"",$V187/$U187)</f>
        <v/>
      </c>
      <c r="Y187" s="20" t="str">
        <f aca="false">IF(N($U187)=0,"",IF($V187&gt;$U187,"超過",IF($V187&gt;=$U187*0.9,"注意","適正")))</f>
        <v/>
      </c>
      <c r="Z187" s="27" t="str">
        <f aca="true">IF($L187="","",IF($M187&lt;&gt;"",$M187-$L187,IF(TODAY()&gt;$L187,TODAY()-$L187,0)))</f>
        <v/>
      </c>
      <c r="AA187" s="37"/>
    </row>
    <row r="188" customFormat="false" ht="18" hidden="false" customHeight="true" outlineLevel="0" collapsed="false">
      <c r="A188" s="30"/>
      <c r="B188" s="31"/>
      <c r="C188" s="31"/>
      <c r="D188" s="31"/>
      <c r="E188" s="31"/>
      <c r="F188" s="32"/>
      <c r="G188" s="31"/>
      <c r="H188" s="31"/>
      <c r="I188" s="33"/>
      <c r="J188" s="34"/>
      <c r="K188" s="34"/>
      <c r="L188" s="34"/>
      <c r="M188" s="34"/>
      <c r="N188" s="19" t="str">
        <f aca="false">IF($J188="","",YEAR($J188)-IF(MONTH($J188)&lt;マスタ!$B$4,1,0))</f>
        <v/>
      </c>
      <c r="O188" s="20" t="str">
        <f aca="false">IF($J188="","","Q"&amp;(INT(MOD(MONTH($J188)-マスタ!$B$4+12,12)/3)+1))</f>
        <v/>
      </c>
      <c r="P188" s="35"/>
      <c r="Q188" s="22" t="str">
        <f aca="false">IF($P188="","",$P188*N($F188))</f>
        <v/>
      </c>
      <c r="R188" s="35"/>
      <c r="S188" s="22" t="str">
        <f aca="false">IF($P188="","",$P188-N($R188))</f>
        <v/>
      </c>
      <c r="T188" s="23" t="str">
        <f aca="false">IF(N($P188)=0,"",$S188/$P188)</f>
        <v/>
      </c>
      <c r="U188" s="36"/>
      <c r="V188" s="25" t="str">
        <f aca="false">IF($A188="","",SUMIFS(工数明細!$G$3:$G$302,工数明細!$B$3:$B$302,$A188))</f>
        <v/>
      </c>
      <c r="W188" s="26" t="str">
        <f aca="false">IF($U188="","",$U188-N($V188))</f>
        <v/>
      </c>
      <c r="X188" s="23" t="str">
        <f aca="false">IF(N($U188)=0,"",$V188/$U188)</f>
        <v/>
      </c>
      <c r="Y188" s="20" t="str">
        <f aca="false">IF(N($U188)=0,"",IF($V188&gt;$U188,"超過",IF($V188&gt;=$U188*0.9,"注意","適正")))</f>
        <v/>
      </c>
      <c r="Z188" s="27" t="str">
        <f aca="true">IF($L188="","",IF($M188&lt;&gt;"",$M188-$L188,IF(TODAY()&gt;$L188,TODAY()-$L188,0)))</f>
        <v/>
      </c>
      <c r="AA188" s="37"/>
    </row>
    <row r="189" customFormat="false" ht="18" hidden="false" customHeight="true" outlineLevel="0" collapsed="false">
      <c r="A189" s="30"/>
      <c r="B189" s="31"/>
      <c r="C189" s="31"/>
      <c r="D189" s="31"/>
      <c r="E189" s="31"/>
      <c r="F189" s="32"/>
      <c r="G189" s="31"/>
      <c r="H189" s="31"/>
      <c r="I189" s="33"/>
      <c r="J189" s="34"/>
      <c r="K189" s="34"/>
      <c r="L189" s="34"/>
      <c r="M189" s="34"/>
      <c r="N189" s="19" t="str">
        <f aca="false">IF($J189="","",YEAR($J189)-IF(MONTH($J189)&lt;マスタ!$B$4,1,0))</f>
        <v/>
      </c>
      <c r="O189" s="20" t="str">
        <f aca="false">IF($J189="","","Q"&amp;(INT(MOD(MONTH($J189)-マスタ!$B$4+12,12)/3)+1))</f>
        <v/>
      </c>
      <c r="P189" s="35"/>
      <c r="Q189" s="22" t="str">
        <f aca="false">IF($P189="","",$P189*N($F189))</f>
        <v/>
      </c>
      <c r="R189" s="35"/>
      <c r="S189" s="22" t="str">
        <f aca="false">IF($P189="","",$P189-N($R189))</f>
        <v/>
      </c>
      <c r="T189" s="23" t="str">
        <f aca="false">IF(N($P189)=0,"",$S189/$P189)</f>
        <v/>
      </c>
      <c r="U189" s="36"/>
      <c r="V189" s="25" t="str">
        <f aca="false">IF($A189="","",SUMIFS(工数明細!$G$3:$G$302,工数明細!$B$3:$B$302,$A189))</f>
        <v/>
      </c>
      <c r="W189" s="26" t="str">
        <f aca="false">IF($U189="","",$U189-N($V189))</f>
        <v/>
      </c>
      <c r="X189" s="23" t="str">
        <f aca="false">IF(N($U189)=0,"",$V189/$U189)</f>
        <v/>
      </c>
      <c r="Y189" s="20" t="str">
        <f aca="false">IF(N($U189)=0,"",IF($V189&gt;$U189,"超過",IF($V189&gt;=$U189*0.9,"注意","適正")))</f>
        <v/>
      </c>
      <c r="Z189" s="27" t="str">
        <f aca="true">IF($L189="","",IF($M189&lt;&gt;"",$M189-$L189,IF(TODAY()&gt;$L189,TODAY()-$L189,0)))</f>
        <v/>
      </c>
      <c r="AA189" s="37"/>
    </row>
    <row r="190" customFormat="false" ht="18" hidden="false" customHeight="true" outlineLevel="0" collapsed="false">
      <c r="A190" s="30"/>
      <c r="B190" s="31"/>
      <c r="C190" s="31"/>
      <c r="D190" s="31"/>
      <c r="E190" s="31"/>
      <c r="F190" s="32"/>
      <c r="G190" s="31"/>
      <c r="H190" s="31"/>
      <c r="I190" s="33"/>
      <c r="J190" s="34"/>
      <c r="K190" s="34"/>
      <c r="L190" s="34"/>
      <c r="M190" s="34"/>
      <c r="N190" s="19" t="str">
        <f aca="false">IF($J190="","",YEAR($J190)-IF(MONTH($J190)&lt;マスタ!$B$4,1,0))</f>
        <v/>
      </c>
      <c r="O190" s="20" t="str">
        <f aca="false">IF($J190="","","Q"&amp;(INT(MOD(MONTH($J190)-マスタ!$B$4+12,12)/3)+1))</f>
        <v/>
      </c>
      <c r="P190" s="35"/>
      <c r="Q190" s="22" t="str">
        <f aca="false">IF($P190="","",$P190*N($F190))</f>
        <v/>
      </c>
      <c r="R190" s="35"/>
      <c r="S190" s="22" t="str">
        <f aca="false">IF($P190="","",$P190-N($R190))</f>
        <v/>
      </c>
      <c r="T190" s="23" t="str">
        <f aca="false">IF(N($P190)=0,"",$S190/$P190)</f>
        <v/>
      </c>
      <c r="U190" s="36"/>
      <c r="V190" s="25" t="str">
        <f aca="false">IF($A190="","",SUMIFS(工数明細!$G$3:$G$302,工数明細!$B$3:$B$302,$A190))</f>
        <v/>
      </c>
      <c r="W190" s="26" t="str">
        <f aca="false">IF($U190="","",$U190-N($V190))</f>
        <v/>
      </c>
      <c r="X190" s="23" t="str">
        <f aca="false">IF(N($U190)=0,"",$V190/$U190)</f>
        <v/>
      </c>
      <c r="Y190" s="20" t="str">
        <f aca="false">IF(N($U190)=0,"",IF($V190&gt;$U190,"超過",IF($V190&gt;=$U190*0.9,"注意","適正")))</f>
        <v/>
      </c>
      <c r="Z190" s="27" t="str">
        <f aca="true">IF($L190="","",IF($M190&lt;&gt;"",$M190-$L190,IF(TODAY()&gt;$L190,TODAY()-$L190,0)))</f>
        <v/>
      </c>
      <c r="AA190" s="37"/>
    </row>
    <row r="191" customFormat="false" ht="18" hidden="false" customHeight="true" outlineLevel="0" collapsed="false">
      <c r="A191" s="30"/>
      <c r="B191" s="31"/>
      <c r="C191" s="31"/>
      <c r="D191" s="31"/>
      <c r="E191" s="31"/>
      <c r="F191" s="32"/>
      <c r="G191" s="31"/>
      <c r="H191" s="31"/>
      <c r="I191" s="33"/>
      <c r="J191" s="34"/>
      <c r="K191" s="34"/>
      <c r="L191" s="34"/>
      <c r="M191" s="34"/>
      <c r="N191" s="19" t="str">
        <f aca="false">IF($J191="","",YEAR($J191)-IF(MONTH($J191)&lt;マスタ!$B$4,1,0))</f>
        <v/>
      </c>
      <c r="O191" s="20" t="str">
        <f aca="false">IF($J191="","","Q"&amp;(INT(MOD(MONTH($J191)-マスタ!$B$4+12,12)/3)+1))</f>
        <v/>
      </c>
      <c r="P191" s="35"/>
      <c r="Q191" s="22" t="str">
        <f aca="false">IF($P191="","",$P191*N($F191))</f>
        <v/>
      </c>
      <c r="R191" s="35"/>
      <c r="S191" s="22" t="str">
        <f aca="false">IF($P191="","",$P191-N($R191))</f>
        <v/>
      </c>
      <c r="T191" s="23" t="str">
        <f aca="false">IF(N($P191)=0,"",$S191/$P191)</f>
        <v/>
      </c>
      <c r="U191" s="36"/>
      <c r="V191" s="25" t="str">
        <f aca="false">IF($A191="","",SUMIFS(工数明細!$G$3:$G$302,工数明細!$B$3:$B$302,$A191))</f>
        <v/>
      </c>
      <c r="W191" s="26" t="str">
        <f aca="false">IF($U191="","",$U191-N($V191))</f>
        <v/>
      </c>
      <c r="X191" s="23" t="str">
        <f aca="false">IF(N($U191)=0,"",$V191/$U191)</f>
        <v/>
      </c>
      <c r="Y191" s="20" t="str">
        <f aca="false">IF(N($U191)=0,"",IF($V191&gt;$U191,"超過",IF($V191&gt;=$U191*0.9,"注意","適正")))</f>
        <v/>
      </c>
      <c r="Z191" s="27" t="str">
        <f aca="true">IF($L191="","",IF($M191&lt;&gt;"",$M191-$L191,IF(TODAY()&gt;$L191,TODAY()-$L191,0)))</f>
        <v/>
      </c>
      <c r="AA191" s="37"/>
    </row>
    <row r="192" customFormat="false" ht="18" hidden="false" customHeight="true" outlineLevel="0" collapsed="false">
      <c r="A192" s="30"/>
      <c r="B192" s="31"/>
      <c r="C192" s="31"/>
      <c r="D192" s="31"/>
      <c r="E192" s="31"/>
      <c r="F192" s="32"/>
      <c r="G192" s="31"/>
      <c r="H192" s="31"/>
      <c r="I192" s="33"/>
      <c r="J192" s="34"/>
      <c r="K192" s="34"/>
      <c r="L192" s="34"/>
      <c r="M192" s="34"/>
      <c r="N192" s="19" t="str">
        <f aca="false">IF($J192="","",YEAR($J192)-IF(MONTH($J192)&lt;マスタ!$B$4,1,0))</f>
        <v/>
      </c>
      <c r="O192" s="20" t="str">
        <f aca="false">IF($J192="","","Q"&amp;(INT(MOD(MONTH($J192)-マスタ!$B$4+12,12)/3)+1))</f>
        <v/>
      </c>
      <c r="P192" s="35"/>
      <c r="Q192" s="22" t="str">
        <f aca="false">IF($P192="","",$P192*N($F192))</f>
        <v/>
      </c>
      <c r="R192" s="35"/>
      <c r="S192" s="22" t="str">
        <f aca="false">IF($P192="","",$P192-N($R192))</f>
        <v/>
      </c>
      <c r="T192" s="23" t="str">
        <f aca="false">IF(N($P192)=0,"",$S192/$P192)</f>
        <v/>
      </c>
      <c r="U192" s="36"/>
      <c r="V192" s="25" t="str">
        <f aca="false">IF($A192="","",SUMIFS(工数明細!$G$3:$G$302,工数明細!$B$3:$B$302,$A192))</f>
        <v/>
      </c>
      <c r="W192" s="26" t="str">
        <f aca="false">IF($U192="","",$U192-N($V192))</f>
        <v/>
      </c>
      <c r="X192" s="23" t="str">
        <f aca="false">IF(N($U192)=0,"",$V192/$U192)</f>
        <v/>
      </c>
      <c r="Y192" s="20" t="str">
        <f aca="false">IF(N($U192)=0,"",IF($V192&gt;$U192,"超過",IF($V192&gt;=$U192*0.9,"注意","適正")))</f>
        <v/>
      </c>
      <c r="Z192" s="27" t="str">
        <f aca="true">IF($L192="","",IF($M192&lt;&gt;"",$M192-$L192,IF(TODAY()&gt;$L192,TODAY()-$L192,0)))</f>
        <v/>
      </c>
      <c r="AA192" s="37"/>
    </row>
    <row r="193" customFormat="false" ht="18" hidden="false" customHeight="true" outlineLevel="0" collapsed="false">
      <c r="A193" s="30"/>
      <c r="B193" s="31"/>
      <c r="C193" s="31"/>
      <c r="D193" s="31"/>
      <c r="E193" s="31"/>
      <c r="F193" s="32"/>
      <c r="G193" s="31"/>
      <c r="H193" s="31"/>
      <c r="I193" s="33"/>
      <c r="J193" s="34"/>
      <c r="K193" s="34"/>
      <c r="L193" s="34"/>
      <c r="M193" s="34"/>
      <c r="N193" s="19" t="str">
        <f aca="false">IF($J193="","",YEAR($J193)-IF(MONTH($J193)&lt;マスタ!$B$4,1,0))</f>
        <v/>
      </c>
      <c r="O193" s="20" t="str">
        <f aca="false">IF($J193="","","Q"&amp;(INT(MOD(MONTH($J193)-マスタ!$B$4+12,12)/3)+1))</f>
        <v/>
      </c>
      <c r="P193" s="35"/>
      <c r="Q193" s="22" t="str">
        <f aca="false">IF($P193="","",$P193*N($F193))</f>
        <v/>
      </c>
      <c r="R193" s="35"/>
      <c r="S193" s="22" t="str">
        <f aca="false">IF($P193="","",$P193-N($R193))</f>
        <v/>
      </c>
      <c r="T193" s="23" t="str">
        <f aca="false">IF(N($P193)=0,"",$S193/$P193)</f>
        <v/>
      </c>
      <c r="U193" s="36"/>
      <c r="V193" s="25" t="str">
        <f aca="false">IF($A193="","",SUMIFS(工数明細!$G$3:$G$302,工数明細!$B$3:$B$302,$A193))</f>
        <v/>
      </c>
      <c r="W193" s="26" t="str">
        <f aca="false">IF($U193="","",$U193-N($V193))</f>
        <v/>
      </c>
      <c r="X193" s="23" t="str">
        <f aca="false">IF(N($U193)=0,"",$V193/$U193)</f>
        <v/>
      </c>
      <c r="Y193" s="20" t="str">
        <f aca="false">IF(N($U193)=0,"",IF($V193&gt;$U193,"超過",IF($V193&gt;=$U193*0.9,"注意","適正")))</f>
        <v/>
      </c>
      <c r="Z193" s="27" t="str">
        <f aca="true">IF($L193="","",IF($M193&lt;&gt;"",$M193-$L193,IF(TODAY()&gt;$L193,TODAY()-$L193,0)))</f>
        <v/>
      </c>
      <c r="AA193" s="37"/>
    </row>
    <row r="194" customFormat="false" ht="18" hidden="false" customHeight="true" outlineLevel="0" collapsed="false">
      <c r="A194" s="30"/>
      <c r="B194" s="31"/>
      <c r="C194" s="31"/>
      <c r="D194" s="31"/>
      <c r="E194" s="31"/>
      <c r="F194" s="32"/>
      <c r="G194" s="31"/>
      <c r="H194" s="31"/>
      <c r="I194" s="33"/>
      <c r="J194" s="34"/>
      <c r="K194" s="34"/>
      <c r="L194" s="34"/>
      <c r="M194" s="34"/>
      <c r="N194" s="19" t="str">
        <f aca="false">IF($J194="","",YEAR($J194)-IF(MONTH($J194)&lt;マスタ!$B$4,1,0))</f>
        <v/>
      </c>
      <c r="O194" s="20" t="str">
        <f aca="false">IF($J194="","","Q"&amp;(INT(MOD(MONTH($J194)-マスタ!$B$4+12,12)/3)+1))</f>
        <v/>
      </c>
      <c r="P194" s="35"/>
      <c r="Q194" s="22" t="str">
        <f aca="false">IF($P194="","",$P194*N($F194))</f>
        <v/>
      </c>
      <c r="R194" s="35"/>
      <c r="S194" s="22" t="str">
        <f aca="false">IF($P194="","",$P194-N($R194))</f>
        <v/>
      </c>
      <c r="T194" s="23" t="str">
        <f aca="false">IF(N($P194)=0,"",$S194/$P194)</f>
        <v/>
      </c>
      <c r="U194" s="36"/>
      <c r="V194" s="25" t="str">
        <f aca="false">IF($A194="","",SUMIFS(工数明細!$G$3:$G$302,工数明細!$B$3:$B$302,$A194))</f>
        <v/>
      </c>
      <c r="W194" s="26" t="str">
        <f aca="false">IF($U194="","",$U194-N($V194))</f>
        <v/>
      </c>
      <c r="X194" s="23" t="str">
        <f aca="false">IF(N($U194)=0,"",$V194/$U194)</f>
        <v/>
      </c>
      <c r="Y194" s="20" t="str">
        <f aca="false">IF(N($U194)=0,"",IF($V194&gt;$U194,"超過",IF($V194&gt;=$U194*0.9,"注意","適正")))</f>
        <v/>
      </c>
      <c r="Z194" s="27" t="str">
        <f aca="true">IF($L194="","",IF($M194&lt;&gt;"",$M194-$L194,IF(TODAY()&gt;$L194,TODAY()-$L194,0)))</f>
        <v/>
      </c>
      <c r="AA194" s="37"/>
    </row>
    <row r="195" customFormat="false" ht="18" hidden="false" customHeight="true" outlineLevel="0" collapsed="false">
      <c r="A195" s="30"/>
      <c r="B195" s="31"/>
      <c r="C195" s="31"/>
      <c r="D195" s="31"/>
      <c r="E195" s="31"/>
      <c r="F195" s="32"/>
      <c r="G195" s="31"/>
      <c r="H195" s="31"/>
      <c r="I195" s="33"/>
      <c r="J195" s="34"/>
      <c r="K195" s="34"/>
      <c r="L195" s="34"/>
      <c r="M195" s="34"/>
      <c r="N195" s="19" t="str">
        <f aca="false">IF($J195="","",YEAR($J195)-IF(MONTH($J195)&lt;マスタ!$B$4,1,0))</f>
        <v/>
      </c>
      <c r="O195" s="20" t="str">
        <f aca="false">IF($J195="","","Q"&amp;(INT(MOD(MONTH($J195)-マスタ!$B$4+12,12)/3)+1))</f>
        <v/>
      </c>
      <c r="P195" s="35"/>
      <c r="Q195" s="22" t="str">
        <f aca="false">IF($P195="","",$P195*N($F195))</f>
        <v/>
      </c>
      <c r="R195" s="35"/>
      <c r="S195" s="22" t="str">
        <f aca="false">IF($P195="","",$P195-N($R195))</f>
        <v/>
      </c>
      <c r="T195" s="23" t="str">
        <f aca="false">IF(N($P195)=0,"",$S195/$P195)</f>
        <v/>
      </c>
      <c r="U195" s="36"/>
      <c r="V195" s="25" t="str">
        <f aca="false">IF($A195="","",SUMIFS(工数明細!$G$3:$G$302,工数明細!$B$3:$B$302,$A195))</f>
        <v/>
      </c>
      <c r="W195" s="26" t="str">
        <f aca="false">IF($U195="","",$U195-N($V195))</f>
        <v/>
      </c>
      <c r="X195" s="23" t="str">
        <f aca="false">IF(N($U195)=0,"",$V195/$U195)</f>
        <v/>
      </c>
      <c r="Y195" s="20" t="str">
        <f aca="false">IF(N($U195)=0,"",IF($V195&gt;$U195,"超過",IF($V195&gt;=$U195*0.9,"注意","適正")))</f>
        <v/>
      </c>
      <c r="Z195" s="27" t="str">
        <f aca="true">IF($L195="","",IF($M195&lt;&gt;"",$M195-$L195,IF(TODAY()&gt;$L195,TODAY()-$L195,0)))</f>
        <v/>
      </c>
      <c r="AA195" s="37"/>
    </row>
    <row r="196" customFormat="false" ht="18" hidden="false" customHeight="true" outlineLevel="0" collapsed="false">
      <c r="A196" s="30"/>
      <c r="B196" s="31"/>
      <c r="C196" s="31"/>
      <c r="D196" s="31"/>
      <c r="E196" s="31"/>
      <c r="F196" s="32"/>
      <c r="G196" s="31"/>
      <c r="H196" s="31"/>
      <c r="I196" s="33"/>
      <c r="J196" s="34"/>
      <c r="K196" s="34"/>
      <c r="L196" s="34"/>
      <c r="M196" s="34"/>
      <c r="N196" s="19" t="str">
        <f aca="false">IF($J196="","",YEAR($J196)-IF(MONTH($J196)&lt;マスタ!$B$4,1,0))</f>
        <v/>
      </c>
      <c r="O196" s="20" t="str">
        <f aca="false">IF($J196="","","Q"&amp;(INT(MOD(MONTH($J196)-マスタ!$B$4+12,12)/3)+1))</f>
        <v/>
      </c>
      <c r="P196" s="35"/>
      <c r="Q196" s="22" t="str">
        <f aca="false">IF($P196="","",$P196*N($F196))</f>
        <v/>
      </c>
      <c r="R196" s="35"/>
      <c r="S196" s="22" t="str">
        <f aca="false">IF($P196="","",$P196-N($R196))</f>
        <v/>
      </c>
      <c r="T196" s="23" t="str">
        <f aca="false">IF(N($P196)=0,"",$S196/$P196)</f>
        <v/>
      </c>
      <c r="U196" s="36"/>
      <c r="V196" s="25" t="str">
        <f aca="false">IF($A196="","",SUMIFS(工数明細!$G$3:$G$302,工数明細!$B$3:$B$302,$A196))</f>
        <v/>
      </c>
      <c r="W196" s="26" t="str">
        <f aca="false">IF($U196="","",$U196-N($V196))</f>
        <v/>
      </c>
      <c r="X196" s="23" t="str">
        <f aca="false">IF(N($U196)=0,"",$V196/$U196)</f>
        <v/>
      </c>
      <c r="Y196" s="20" t="str">
        <f aca="false">IF(N($U196)=0,"",IF($V196&gt;$U196,"超過",IF($V196&gt;=$U196*0.9,"注意","適正")))</f>
        <v/>
      </c>
      <c r="Z196" s="27" t="str">
        <f aca="true">IF($L196="","",IF($M196&lt;&gt;"",$M196-$L196,IF(TODAY()&gt;$L196,TODAY()-$L196,0)))</f>
        <v/>
      </c>
      <c r="AA196" s="37"/>
    </row>
    <row r="197" customFormat="false" ht="18" hidden="false" customHeight="true" outlineLevel="0" collapsed="false">
      <c r="A197" s="30"/>
      <c r="B197" s="31"/>
      <c r="C197" s="31"/>
      <c r="D197" s="31"/>
      <c r="E197" s="31"/>
      <c r="F197" s="32"/>
      <c r="G197" s="31"/>
      <c r="H197" s="31"/>
      <c r="I197" s="33"/>
      <c r="J197" s="34"/>
      <c r="K197" s="34"/>
      <c r="L197" s="34"/>
      <c r="M197" s="34"/>
      <c r="N197" s="19" t="str">
        <f aca="false">IF($J197="","",YEAR($J197)-IF(MONTH($J197)&lt;マスタ!$B$4,1,0))</f>
        <v/>
      </c>
      <c r="O197" s="20" t="str">
        <f aca="false">IF($J197="","","Q"&amp;(INT(MOD(MONTH($J197)-マスタ!$B$4+12,12)/3)+1))</f>
        <v/>
      </c>
      <c r="P197" s="35"/>
      <c r="Q197" s="22" t="str">
        <f aca="false">IF($P197="","",$P197*N($F197))</f>
        <v/>
      </c>
      <c r="R197" s="35"/>
      <c r="S197" s="22" t="str">
        <f aca="false">IF($P197="","",$P197-N($R197))</f>
        <v/>
      </c>
      <c r="T197" s="23" t="str">
        <f aca="false">IF(N($P197)=0,"",$S197/$P197)</f>
        <v/>
      </c>
      <c r="U197" s="36"/>
      <c r="V197" s="25" t="str">
        <f aca="false">IF($A197="","",SUMIFS(工数明細!$G$3:$G$302,工数明細!$B$3:$B$302,$A197))</f>
        <v/>
      </c>
      <c r="W197" s="26" t="str">
        <f aca="false">IF($U197="","",$U197-N($V197))</f>
        <v/>
      </c>
      <c r="X197" s="23" t="str">
        <f aca="false">IF(N($U197)=0,"",$V197/$U197)</f>
        <v/>
      </c>
      <c r="Y197" s="20" t="str">
        <f aca="false">IF(N($U197)=0,"",IF($V197&gt;$U197,"超過",IF($V197&gt;=$U197*0.9,"注意","適正")))</f>
        <v/>
      </c>
      <c r="Z197" s="27" t="str">
        <f aca="true">IF($L197="","",IF($M197&lt;&gt;"",$M197-$L197,IF(TODAY()&gt;$L197,TODAY()-$L197,0)))</f>
        <v/>
      </c>
      <c r="AA197" s="37"/>
    </row>
    <row r="198" customFormat="false" ht="18" hidden="false" customHeight="true" outlineLevel="0" collapsed="false">
      <c r="A198" s="30"/>
      <c r="B198" s="31"/>
      <c r="C198" s="31"/>
      <c r="D198" s="31"/>
      <c r="E198" s="31"/>
      <c r="F198" s="32"/>
      <c r="G198" s="31"/>
      <c r="H198" s="31"/>
      <c r="I198" s="33"/>
      <c r="J198" s="34"/>
      <c r="K198" s="34"/>
      <c r="L198" s="34"/>
      <c r="M198" s="34"/>
      <c r="N198" s="19" t="str">
        <f aca="false">IF($J198="","",YEAR($J198)-IF(MONTH($J198)&lt;マスタ!$B$4,1,0))</f>
        <v/>
      </c>
      <c r="O198" s="20" t="str">
        <f aca="false">IF($J198="","","Q"&amp;(INT(MOD(MONTH($J198)-マスタ!$B$4+12,12)/3)+1))</f>
        <v/>
      </c>
      <c r="P198" s="35"/>
      <c r="Q198" s="22" t="str">
        <f aca="false">IF($P198="","",$P198*N($F198))</f>
        <v/>
      </c>
      <c r="R198" s="35"/>
      <c r="S198" s="22" t="str">
        <f aca="false">IF($P198="","",$P198-N($R198))</f>
        <v/>
      </c>
      <c r="T198" s="23" t="str">
        <f aca="false">IF(N($P198)=0,"",$S198/$P198)</f>
        <v/>
      </c>
      <c r="U198" s="36"/>
      <c r="V198" s="25" t="str">
        <f aca="false">IF($A198="","",SUMIFS(工数明細!$G$3:$G$302,工数明細!$B$3:$B$302,$A198))</f>
        <v/>
      </c>
      <c r="W198" s="26" t="str">
        <f aca="false">IF($U198="","",$U198-N($V198))</f>
        <v/>
      </c>
      <c r="X198" s="23" t="str">
        <f aca="false">IF(N($U198)=0,"",$V198/$U198)</f>
        <v/>
      </c>
      <c r="Y198" s="20" t="str">
        <f aca="false">IF(N($U198)=0,"",IF($V198&gt;$U198,"超過",IF($V198&gt;=$U198*0.9,"注意","適正")))</f>
        <v/>
      </c>
      <c r="Z198" s="27" t="str">
        <f aca="true">IF($L198="","",IF($M198&lt;&gt;"",$M198-$L198,IF(TODAY()&gt;$L198,TODAY()-$L198,0)))</f>
        <v/>
      </c>
      <c r="AA198" s="37"/>
    </row>
    <row r="199" customFormat="false" ht="18" hidden="false" customHeight="true" outlineLevel="0" collapsed="false">
      <c r="A199" s="30"/>
      <c r="B199" s="31"/>
      <c r="C199" s="31"/>
      <c r="D199" s="31"/>
      <c r="E199" s="31"/>
      <c r="F199" s="32"/>
      <c r="G199" s="31"/>
      <c r="H199" s="31"/>
      <c r="I199" s="33"/>
      <c r="J199" s="34"/>
      <c r="K199" s="34"/>
      <c r="L199" s="34"/>
      <c r="M199" s="34"/>
      <c r="N199" s="19" t="str">
        <f aca="false">IF($J199="","",YEAR($J199)-IF(MONTH($J199)&lt;マスタ!$B$4,1,0))</f>
        <v/>
      </c>
      <c r="O199" s="20" t="str">
        <f aca="false">IF($J199="","","Q"&amp;(INT(MOD(MONTH($J199)-マスタ!$B$4+12,12)/3)+1))</f>
        <v/>
      </c>
      <c r="P199" s="35"/>
      <c r="Q199" s="22" t="str">
        <f aca="false">IF($P199="","",$P199*N($F199))</f>
        <v/>
      </c>
      <c r="R199" s="35"/>
      <c r="S199" s="22" t="str">
        <f aca="false">IF($P199="","",$P199-N($R199))</f>
        <v/>
      </c>
      <c r="T199" s="23" t="str">
        <f aca="false">IF(N($P199)=0,"",$S199/$P199)</f>
        <v/>
      </c>
      <c r="U199" s="36"/>
      <c r="V199" s="25" t="str">
        <f aca="false">IF($A199="","",SUMIFS(工数明細!$G$3:$G$302,工数明細!$B$3:$B$302,$A199))</f>
        <v/>
      </c>
      <c r="W199" s="26" t="str">
        <f aca="false">IF($U199="","",$U199-N($V199))</f>
        <v/>
      </c>
      <c r="X199" s="23" t="str">
        <f aca="false">IF(N($U199)=0,"",$V199/$U199)</f>
        <v/>
      </c>
      <c r="Y199" s="20" t="str">
        <f aca="false">IF(N($U199)=0,"",IF($V199&gt;$U199,"超過",IF($V199&gt;=$U199*0.9,"注意","適正")))</f>
        <v/>
      </c>
      <c r="Z199" s="27" t="str">
        <f aca="true">IF($L199="","",IF($M199&lt;&gt;"",$M199-$L199,IF(TODAY()&gt;$L199,TODAY()-$L199,0)))</f>
        <v/>
      </c>
      <c r="AA199" s="37"/>
    </row>
    <row r="200" customFormat="false" ht="18" hidden="false" customHeight="true" outlineLevel="0" collapsed="false">
      <c r="A200" s="30"/>
      <c r="B200" s="31"/>
      <c r="C200" s="31"/>
      <c r="D200" s="31"/>
      <c r="E200" s="31"/>
      <c r="F200" s="32"/>
      <c r="G200" s="31"/>
      <c r="H200" s="31"/>
      <c r="I200" s="33"/>
      <c r="J200" s="34"/>
      <c r="K200" s="34"/>
      <c r="L200" s="34"/>
      <c r="M200" s="34"/>
      <c r="N200" s="19" t="str">
        <f aca="false">IF($J200="","",YEAR($J200)-IF(MONTH($J200)&lt;マスタ!$B$4,1,0))</f>
        <v/>
      </c>
      <c r="O200" s="20" t="str">
        <f aca="false">IF($J200="","","Q"&amp;(INT(MOD(MONTH($J200)-マスタ!$B$4+12,12)/3)+1))</f>
        <v/>
      </c>
      <c r="P200" s="35"/>
      <c r="Q200" s="22" t="str">
        <f aca="false">IF($P200="","",$P200*N($F200))</f>
        <v/>
      </c>
      <c r="R200" s="35"/>
      <c r="S200" s="22" t="str">
        <f aca="false">IF($P200="","",$P200-N($R200))</f>
        <v/>
      </c>
      <c r="T200" s="23" t="str">
        <f aca="false">IF(N($P200)=0,"",$S200/$P200)</f>
        <v/>
      </c>
      <c r="U200" s="36"/>
      <c r="V200" s="25" t="str">
        <f aca="false">IF($A200="","",SUMIFS(工数明細!$G$3:$G$302,工数明細!$B$3:$B$302,$A200))</f>
        <v/>
      </c>
      <c r="W200" s="26" t="str">
        <f aca="false">IF($U200="","",$U200-N($V200))</f>
        <v/>
      </c>
      <c r="X200" s="23" t="str">
        <f aca="false">IF(N($U200)=0,"",$V200/$U200)</f>
        <v/>
      </c>
      <c r="Y200" s="20" t="str">
        <f aca="false">IF(N($U200)=0,"",IF($V200&gt;$U200,"超過",IF($V200&gt;=$U200*0.9,"注意","適正")))</f>
        <v/>
      </c>
      <c r="Z200" s="27" t="str">
        <f aca="true">IF($L200="","",IF($M200&lt;&gt;"",$M200-$L200,IF(TODAY()&gt;$L200,TODAY()-$L200,0)))</f>
        <v/>
      </c>
      <c r="AA200" s="37"/>
    </row>
    <row r="201" customFormat="false" ht="18" hidden="false" customHeight="true" outlineLevel="0" collapsed="false">
      <c r="A201" s="30"/>
      <c r="B201" s="31"/>
      <c r="C201" s="31"/>
      <c r="D201" s="31"/>
      <c r="E201" s="31"/>
      <c r="F201" s="32"/>
      <c r="G201" s="31"/>
      <c r="H201" s="31"/>
      <c r="I201" s="33"/>
      <c r="J201" s="34"/>
      <c r="K201" s="34"/>
      <c r="L201" s="34"/>
      <c r="M201" s="34"/>
      <c r="N201" s="19" t="str">
        <f aca="false">IF($J201="","",YEAR($J201)-IF(MONTH($J201)&lt;マスタ!$B$4,1,0))</f>
        <v/>
      </c>
      <c r="O201" s="20" t="str">
        <f aca="false">IF($J201="","","Q"&amp;(INT(MOD(MONTH($J201)-マスタ!$B$4+12,12)/3)+1))</f>
        <v/>
      </c>
      <c r="P201" s="35"/>
      <c r="Q201" s="22" t="str">
        <f aca="false">IF($P201="","",$P201*N($F201))</f>
        <v/>
      </c>
      <c r="R201" s="35"/>
      <c r="S201" s="22" t="str">
        <f aca="false">IF($P201="","",$P201-N($R201))</f>
        <v/>
      </c>
      <c r="T201" s="23" t="str">
        <f aca="false">IF(N($P201)=0,"",$S201/$P201)</f>
        <v/>
      </c>
      <c r="U201" s="36"/>
      <c r="V201" s="25" t="str">
        <f aca="false">IF($A201="","",SUMIFS(工数明細!$G$3:$G$302,工数明細!$B$3:$B$302,$A201))</f>
        <v/>
      </c>
      <c r="W201" s="26" t="str">
        <f aca="false">IF($U201="","",$U201-N($V201))</f>
        <v/>
      </c>
      <c r="X201" s="23" t="str">
        <f aca="false">IF(N($U201)=0,"",$V201/$U201)</f>
        <v/>
      </c>
      <c r="Y201" s="20" t="str">
        <f aca="false">IF(N($U201)=0,"",IF($V201&gt;$U201,"超過",IF($V201&gt;=$U201*0.9,"注意","適正")))</f>
        <v/>
      </c>
      <c r="Z201" s="27" t="str">
        <f aca="true">IF($L201="","",IF($M201&lt;&gt;"",$M201-$L201,IF(TODAY()&gt;$L201,TODAY()-$L201,0)))</f>
        <v/>
      </c>
      <c r="AA201" s="37"/>
    </row>
    <row r="202" customFormat="false" ht="18" hidden="false" customHeight="true" outlineLevel="0" collapsed="false">
      <c r="A202" s="30"/>
      <c r="B202" s="31"/>
      <c r="C202" s="31"/>
      <c r="D202" s="31"/>
      <c r="E202" s="31"/>
      <c r="F202" s="32"/>
      <c r="G202" s="31"/>
      <c r="H202" s="31"/>
      <c r="I202" s="33"/>
      <c r="J202" s="34"/>
      <c r="K202" s="34"/>
      <c r="L202" s="34"/>
      <c r="M202" s="34"/>
      <c r="N202" s="19" t="str">
        <f aca="false">IF($J202="","",YEAR($J202)-IF(MONTH($J202)&lt;マスタ!$B$4,1,0))</f>
        <v/>
      </c>
      <c r="O202" s="20" t="str">
        <f aca="false">IF($J202="","","Q"&amp;(INT(MOD(MONTH($J202)-マスタ!$B$4+12,12)/3)+1))</f>
        <v/>
      </c>
      <c r="P202" s="35"/>
      <c r="Q202" s="22" t="str">
        <f aca="false">IF($P202="","",$P202*N($F202))</f>
        <v/>
      </c>
      <c r="R202" s="35"/>
      <c r="S202" s="22" t="str">
        <f aca="false">IF($P202="","",$P202-N($R202))</f>
        <v/>
      </c>
      <c r="T202" s="23" t="str">
        <f aca="false">IF(N($P202)=0,"",$S202/$P202)</f>
        <v/>
      </c>
      <c r="U202" s="36"/>
      <c r="V202" s="25" t="str">
        <f aca="false">IF($A202="","",SUMIFS(工数明細!$G$3:$G$302,工数明細!$B$3:$B$302,$A202))</f>
        <v/>
      </c>
      <c r="W202" s="26" t="str">
        <f aca="false">IF($U202="","",$U202-N($V202))</f>
        <v/>
      </c>
      <c r="X202" s="23" t="str">
        <f aca="false">IF(N($U202)=0,"",$V202/$U202)</f>
        <v/>
      </c>
      <c r="Y202" s="20" t="str">
        <f aca="false">IF(N($U202)=0,"",IF($V202&gt;$U202,"超過",IF($V202&gt;=$U202*0.9,"注意","適正")))</f>
        <v/>
      </c>
      <c r="Z202" s="27" t="str">
        <f aca="true">IF($L202="","",IF($M202&lt;&gt;"",$M202-$L202,IF(TODAY()&gt;$L202,TODAY()-$L202,0)))</f>
        <v/>
      </c>
      <c r="AA202" s="37"/>
    </row>
    <row r="204" customFormat="false" ht="15" hidden="false" customHeight="false" outlineLevel="0" collapsed="false">
      <c r="A204" s="3" t="s">
        <v>101</v>
      </c>
      <c r="B204" s="38" t="s">
        <v>102</v>
      </c>
      <c r="D204" s="4" t="s">
        <v>103</v>
      </c>
      <c r="H204" s="39" t="s">
        <v>104</v>
      </c>
    </row>
    <row r="205" customFormat="false" ht="15" hidden="false" customHeight="false" outlineLevel="0" collapsed="false">
      <c r="A205" s="40" t="s">
        <v>105</v>
      </c>
    </row>
  </sheetData>
  <autoFilter ref="A2:AA202"/>
  <mergeCells count="1">
    <mergeCell ref="A1:AA1"/>
  </mergeCells>
  <conditionalFormatting sqref="I3:I202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{19209C4F-F56A-4D9F-A73F-24DFFAF1B175}</x14:id>
        </ext>
      </extLst>
    </cfRule>
  </conditionalFormatting>
  <conditionalFormatting sqref="G3:G202">
    <cfRule type="cellIs" priority="3" operator="equal" aboveAverage="0" equalAverage="0" bottom="0" percent="0" rank="0" text="" dxfId="14">
      <formula>"完了"</formula>
    </cfRule>
    <cfRule type="cellIs" priority="4" operator="equal" aboveAverage="0" equalAverage="0" bottom="0" percent="0" rank="0" text="" dxfId="15">
      <formula>"進行中"</formula>
    </cfRule>
    <cfRule type="cellIs" priority="5" operator="equal" aboveAverage="0" equalAverage="0" bottom="0" percent="0" rank="0" text="" dxfId="16">
      <formula>"保留"</formula>
    </cfRule>
    <cfRule type="cellIs" priority="6" operator="equal" aboveAverage="0" equalAverage="0" bottom="0" percent="0" rank="0" text="" dxfId="17">
      <formula>"失注"</formula>
    </cfRule>
  </conditionalFormatting>
  <conditionalFormatting sqref="Y3:Y202">
    <cfRule type="cellIs" priority="7" operator="equal" aboveAverage="0" equalAverage="0" bottom="0" percent="0" rank="0" text="" dxfId="18">
      <formula>"超過"</formula>
    </cfRule>
    <cfRule type="cellIs" priority="8" operator="equal" aboveAverage="0" equalAverage="0" bottom="0" percent="0" rank="0" text="" dxfId="16">
      <formula>"注意"</formula>
    </cfRule>
    <cfRule type="cellIs" priority="9" operator="equal" aboveAverage="0" equalAverage="0" bottom="0" percent="0" rank="0" text="" dxfId="14">
      <formula>"適正"</formula>
    </cfRule>
  </conditionalFormatting>
  <conditionalFormatting sqref="Z3:Z202">
    <cfRule type="cellIs" priority="10" operator="greaterThan" aboveAverage="0" equalAverage="0" bottom="0" percent="0" rank="0" text="" dxfId="19">
      <formula>0</formula>
    </cfRule>
  </conditionalFormatting>
  <conditionalFormatting sqref="A3:AA202">
    <cfRule type="expression" priority="11" aboveAverage="0" equalAverage="0" bottom="0" percent="0" rank="0" text="" dxfId="20">
      <formula>$G3="失注"</formula>
    </cfRule>
  </conditionalFormatting>
  <dataValidations count="6">
    <dataValidation allowBlank="true" error="マスタシートのリストから選んでください。" errorStyle="stop" errorTitle="入力できない値です" operator="between" showDropDown="false" showErrorMessage="false" showInputMessage="false" sqref="G3:G202" type="list">
      <formula1>StatusList</formula1>
      <formula2>0</formula2>
    </dataValidation>
    <dataValidation allowBlank="true" error="マスタシートのリストから選んでください。" errorStyle="stop" errorTitle="入力できない値です" operator="between" showDropDown="false" showErrorMessage="false" showInputMessage="false" sqref="H3:H202" type="list">
      <formula1>PhaseList</formula1>
      <formula2>0</formula2>
    </dataValidation>
    <dataValidation allowBlank="true" error="マスタシートのリストから選んでください。" errorStyle="stop" errorTitle="入力できない値です" operator="between" showDropDown="false" showErrorMessage="false" showInputMessage="false" sqref="D3:D202" type="list">
      <formula1>OwnerList</formula1>
      <formula2>0</formula2>
    </dataValidation>
    <dataValidation allowBlank="true" error="マスタシートのリストから選んでください。" errorStyle="stop" errorTitle="入力できない値です" operator="between" showDropDown="false" showErrorMessage="false" showInputMessage="false" sqref="E3:E202" type="list">
      <formula1>TypeList</formula1>
      <formula2>0</formula2>
    </dataValidation>
    <dataValidation allowBlank="true" error="マスタシートのリストから選んでください。" errorStyle="stop" errorTitle="入力できない値です" operator="between" showDropDown="false" showErrorMessage="false" showInputMessage="false" sqref="F3:F202" type="list">
      <formula1>ProbList</formula1>
      <formula2>0</formula2>
    </dataValidation>
    <dataValidation allowBlank="true" error="0%〜100% の範囲で入力してください。" errorStyle="stop" errorTitle="進捗率の入力" operator="between" showDropDown="false" showErrorMessage="false" showInputMessage="false" sqref="I3:I202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209C4F-F56A-4D9F-A73F-24DFFAF1B17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I3:I202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7" min="6" style="0" width="12"/>
    <col collapsed="false" customWidth="true" hidden="false" outlineLevel="0" max="8" min="8" style="0" width="40"/>
  </cols>
  <sheetData>
    <row r="1" customFormat="false" ht="25.5" hidden="false" customHeight="true" outlineLevel="0" collapsed="false">
      <c r="A1" s="1" t="s">
        <v>106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13" t="s">
        <v>107</v>
      </c>
      <c r="B2" s="13" t="s">
        <v>52</v>
      </c>
      <c r="C2" s="14" t="s">
        <v>53</v>
      </c>
      <c r="D2" s="13" t="s">
        <v>55</v>
      </c>
      <c r="E2" s="13" t="s">
        <v>108</v>
      </c>
      <c r="F2" s="13" t="s">
        <v>109</v>
      </c>
      <c r="G2" s="14" t="s">
        <v>110</v>
      </c>
      <c r="H2" s="13" t="s">
        <v>111</v>
      </c>
    </row>
    <row r="3" customFormat="false" ht="15" hidden="false" customHeight="false" outlineLevel="0" collapsed="false">
      <c r="A3" s="18" t="n">
        <v>46176</v>
      </c>
      <c r="B3" s="41" t="s">
        <v>79</v>
      </c>
      <c r="C3" s="10" t="str">
        <f aca="false">IF($B3="","",IFERROR(INDEX(案件管理!$B$3:$B$202,MATCH($B3,案件管理!$A$3:$A$202,0)),"←IDが未登録です"))</f>
        <v>社内ネットワーク更改</v>
      </c>
      <c r="D3" s="12" t="s">
        <v>82</v>
      </c>
      <c r="E3" s="12" t="s">
        <v>85</v>
      </c>
      <c r="F3" s="42" t="n">
        <v>8</v>
      </c>
      <c r="G3" s="26" t="n">
        <f aca="false">IF(N($F3)=0,"",$F3/マスタ!$B$5)</f>
        <v>1</v>
      </c>
      <c r="H3" s="29" t="s">
        <v>112</v>
      </c>
    </row>
    <row r="4" customFormat="false" ht="15" hidden="false" customHeight="false" outlineLevel="0" collapsed="false">
      <c r="A4" s="18" t="n">
        <v>46177</v>
      </c>
      <c r="B4" s="41" t="s">
        <v>79</v>
      </c>
      <c r="C4" s="10" t="str">
        <f aca="false">IF($B4="","",IFERROR(INDEX(案件管理!$B$3:$B$202,MATCH($B4,案件管理!$A$3:$A$202,0)),"←IDが未登録です"))</f>
        <v>社内ネットワーク更改</v>
      </c>
      <c r="D4" s="12" t="s">
        <v>82</v>
      </c>
      <c r="E4" s="12" t="s">
        <v>85</v>
      </c>
      <c r="F4" s="42" t="n">
        <v>6</v>
      </c>
      <c r="G4" s="26" t="n">
        <f aca="false">IF(N($F4)=0,"",$F4/マスタ!$B$5)</f>
        <v>0.75</v>
      </c>
      <c r="H4" s="12" t="s">
        <v>113</v>
      </c>
    </row>
    <row r="5" customFormat="false" ht="15" hidden="false" customHeight="false" outlineLevel="0" collapsed="false">
      <c r="A5" s="18" t="n">
        <v>46178</v>
      </c>
      <c r="B5" s="41" t="s">
        <v>87</v>
      </c>
      <c r="C5" s="10" t="str">
        <f aca="false">IF($B5="","",IFERROR(INDEX(案件管理!$B$3:$B$202,MATCH($B5,案件管理!$A$3:$A$202,0)),"←IDが未登録です"))</f>
        <v>基幹システム保守（年間）</v>
      </c>
      <c r="D5" s="12" t="s">
        <v>90</v>
      </c>
      <c r="E5" s="12" t="s">
        <v>114</v>
      </c>
      <c r="F5" s="42" t="n">
        <v>4</v>
      </c>
      <c r="G5" s="26" t="n">
        <f aca="false">IF(N($F5)=0,"",$F5/マスタ!$B$5)</f>
        <v>0.5</v>
      </c>
      <c r="H5" s="12" t="s">
        <v>115</v>
      </c>
    </row>
    <row r="6" customFormat="false" ht="15" hidden="false" customHeight="false" outlineLevel="0" collapsed="false">
      <c r="A6" s="34"/>
      <c r="B6" s="43"/>
      <c r="C6" s="10" t="str">
        <f aca="false">IF($B6="","",IFERROR(INDEX(案件管理!$B$3:$B$202,MATCH($B6,案件管理!$A$3:$A$202,0)),"←IDが未登録です"))</f>
        <v/>
      </c>
      <c r="D6" s="31"/>
      <c r="E6" s="31"/>
      <c r="F6" s="44"/>
      <c r="G6" s="26" t="str">
        <f aca="false">IF(N($F6)=0,"",$F6/マスタ!$B$5)</f>
        <v/>
      </c>
      <c r="H6" s="8"/>
    </row>
    <row r="7" customFormat="false" ht="15" hidden="false" customHeight="false" outlineLevel="0" collapsed="false">
      <c r="A7" s="34"/>
      <c r="B7" s="43"/>
      <c r="C7" s="10" t="str">
        <f aca="false">IF($B7="","",IFERROR(INDEX(案件管理!$B$3:$B$202,MATCH($B7,案件管理!$A$3:$A$202,0)),"←IDが未登録です"))</f>
        <v/>
      </c>
      <c r="D7" s="31"/>
      <c r="E7" s="31"/>
      <c r="F7" s="44"/>
      <c r="G7" s="26" t="str">
        <f aca="false">IF(N($F7)=0,"",$F7/マスタ!$B$5)</f>
        <v/>
      </c>
      <c r="H7" s="8"/>
    </row>
    <row r="8" customFormat="false" ht="15" hidden="false" customHeight="false" outlineLevel="0" collapsed="false">
      <c r="A8" s="34"/>
      <c r="B8" s="43"/>
      <c r="C8" s="10" t="str">
        <f aca="false">IF($B8="","",IFERROR(INDEX(案件管理!$B$3:$B$202,MATCH($B8,案件管理!$A$3:$A$202,0)),"←IDが未登録です"))</f>
        <v/>
      </c>
      <c r="D8" s="31"/>
      <c r="E8" s="31"/>
      <c r="F8" s="44"/>
      <c r="G8" s="26" t="str">
        <f aca="false">IF(N($F8)=0,"",$F8/マスタ!$B$5)</f>
        <v/>
      </c>
      <c r="H8" s="8"/>
    </row>
    <row r="9" customFormat="false" ht="15" hidden="false" customHeight="false" outlineLevel="0" collapsed="false">
      <c r="A9" s="34"/>
      <c r="B9" s="43"/>
      <c r="C9" s="10" t="str">
        <f aca="false">IF($B9="","",IFERROR(INDEX(案件管理!$B$3:$B$202,MATCH($B9,案件管理!$A$3:$A$202,0)),"←IDが未登録です"))</f>
        <v/>
      </c>
      <c r="D9" s="31"/>
      <c r="E9" s="31"/>
      <c r="F9" s="44"/>
      <c r="G9" s="26" t="str">
        <f aca="false">IF(N($F9)=0,"",$F9/マスタ!$B$5)</f>
        <v/>
      </c>
      <c r="H9" s="8"/>
    </row>
    <row r="10" customFormat="false" ht="15" hidden="false" customHeight="false" outlineLevel="0" collapsed="false">
      <c r="A10" s="34"/>
      <c r="B10" s="43"/>
      <c r="C10" s="10" t="str">
        <f aca="false">IF($B10="","",IFERROR(INDEX(案件管理!$B$3:$B$202,MATCH($B10,案件管理!$A$3:$A$202,0)),"←IDが未登録です"))</f>
        <v/>
      </c>
      <c r="D10" s="31"/>
      <c r="E10" s="31"/>
      <c r="F10" s="44"/>
      <c r="G10" s="26" t="str">
        <f aca="false">IF(N($F10)=0,"",$F10/マスタ!$B$5)</f>
        <v/>
      </c>
      <c r="H10" s="8"/>
    </row>
    <row r="11" customFormat="false" ht="15" hidden="false" customHeight="false" outlineLevel="0" collapsed="false">
      <c r="A11" s="34"/>
      <c r="B11" s="43"/>
      <c r="C11" s="10" t="str">
        <f aca="false">IF($B11="","",IFERROR(INDEX(案件管理!$B$3:$B$202,MATCH($B11,案件管理!$A$3:$A$202,0)),"←IDが未登録です"))</f>
        <v/>
      </c>
      <c r="D11" s="31"/>
      <c r="E11" s="31"/>
      <c r="F11" s="44"/>
      <c r="G11" s="26" t="str">
        <f aca="false">IF(N($F11)=0,"",$F11/マスタ!$B$5)</f>
        <v/>
      </c>
      <c r="H11" s="8"/>
    </row>
    <row r="12" customFormat="false" ht="15" hidden="false" customHeight="false" outlineLevel="0" collapsed="false">
      <c r="A12" s="34"/>
      <c r="B12" s="43"/>
      <c r="C12" s="10" t="str">
        <f aca="false">IF($B12="","",IFERROR(INDEX(案件管理!$B$3:$B$202,MATCH($B12,案件管理!$A$3:$A$202,0)),"←IDが未登録です"))</f>
        <v/>
      </c>
      <c r="D12" s="31"/>
      <c r="E12" s="31"/>
      <c r="F12" s="44"/>
      <c r="G12" s="26" t="str">
        <f aca="false">IF(N($F12)=0,"",$F12/マスタ!$B$5)</f>
        <v/>
      </c>
      <c r="H12" s="8"/>
    </row>
    <row r="13" customFormat="false" ht="15" hidden="false" customHeight="false" outlineLevel="0" collapsed="false">
      <c r="A13" s="34"/>
      <c r="B13" s="43"/>
      <c r="C13" s="10" t="str">
        <f aca="false">IF($B13="","",IFERROR(INDEX(案件管理!$B$3:$B$202,MATCH($B13,案件管理!$A$3:$A$202,0)),"←IDが未登録です"))</f>
        <v/>
      </c>
      <c r="D13" s="31"/>
      <c r="E13" s="31"/>
      <c r="F13" s="44"/>
      <c r="G13" s="26" t="str">
        <f aca="false">IF(N($F13)=0,"",$F13/マスタ!$B$5)</f>
        <v/>
      </c>
      <c r="H13" s="8"/>
    </row>
    <row r="14" customFormat="false" ht="15" hidden="false" customHeight="false" outlineLevel="0" collapsed="false">
      <c r="A14" s="34"/>
      <c r="B14" s="43"/>
      <c r="C14" s="10" t="str">
        <f aca="false">IF($B14="","",IFERROR(INDEX(案件管理!$B$3:$B$202,MATCH($B14,案件管理!$A$3:$A$202,0)),"←IDが未登録です"))</f>
        <v/>
      </c>
      <c r="D14" s="31"/>
      <c r="E14" s="31"/>
      <c r="F14" s="44"/>
      <c r="G14" s="26" t="str">
        <f aca="false">IF(N($F14)=0,"",$F14/マスタ!$B$5)</f>
        <v/>
      </c>
      <c r="H14" s="8"/>
    </row>
    <row r="15" customFormat="false" ht="15" hidden="false" customHeight="false" outlineLevel="0" collapsed="false">
      <c r="A15" s="34"/>
      <c r="B15" s="43"/>
      <c r="C15" s="10" t="str">
        <f aca="false">IF($B15="","",IFERROR(INDEX(案件管理!$B$3:$B$202,MATCH($B15,案件管理!$A$3:$A$202,0)),"←IDが未登録です"))</f>
        <v/>
      </c>
      <c r="D15" s="31"/>
      <c r="E15" s="31"/>
      <c r="F15" s="44"/>
      <c r="G15" s="26" t="str">
        <f aca="false">IF(N($F15)=0,"",$F15/マスタ!$B$5)</f>
        <v/>
      </c>
      <c r="H15" s="8"/>
    </row>
    <row r="16" customFormat="false" ht="15" hidden="false" customHeight="false" outlineLevel="0" collapsed="false">
      <c r="A16" s="34"/>
      <c r="B16" s="43"/>
      <c r="C16" s="10" t="str">
        <f aca="false">IF($B16="","",IFERROR(INDEX(案件管理!$B$3:$B$202,MATCH($B16,案件管理!$A$3:$A$202,0)),"←IDが未登録です"))</f>
        <v/>
      </c>
      <c r="D16" s="31"/>
      <c r="E16" s="31"/>
      <c r="F16" s="44"/>
      <c r="G16" s="26" t="str">
        <f aca="false">IF(N($F16)=0,"",$F16/マスタ!$B$5)</f>
        <v/>
      </c>
      <c r="H16" s="8"/>
    </row>
    <row r="17" customFormat="false" ht="15" hidden="false" customHeight="false" outlineLevel="0" collapsed="false">
      <c r="A17" s="34"/>
      <c r="B17" s="43"/>
      <c r="C17" s="10" t="str">
        <f aca="false">IF($B17="","",IFERROR(INDEX(案件管理!$B$3:$B$202,MATCH($B17,案件管理!$A$3:$A$202,0)),"←IDが未登録です"))</f>
        <v/>
      </c>
      <c r="D17" s="31"/>
      <c r="E17" s="31"/>
      <c r="F17" s="44"/>
      <c r="G17" s="26" t="str">
        <f aca="false">IF(N($F17)=0,"",$F17/マスタ!$B$5)</f>
        <v/>
      </c>
      <c r="H17" s="8"/>
    </row>
    <row r="18" customFormat="false" ht="15" hidden="false" customHeight="false" outlineLevel="0" collapsed="false">
      <c r="A18" s="34"/>
      <c r="B18" s="43"/>
      <c r="C18" s="10" t="str">
        <f aca="false">IF($B18="","",IFERROR(INDEX(案件管理!$B$3:$B$202,MATCH($B18,案件管理!$A$3:$A$202,0)),"←IDが未登録です"))</f>
        <v/>
      </c>
      <c r="D18" s="31"/>
      <c r="E18" s="31"/>
      <c r="F18" s="44"/>
      <c r="G18" s="26" t="str">
        <f aca="false">IF(N($F18)=0,"",$F18/マスタ!$B$5)</f>
        <v/>
      </c>
      <c r="H18" s="8"/>
    </row>
    <row r="19" customFormat="false" ht="15" hidden="false" customHeight="false" outlineLevel="0" collapsed="false">
      <c r="A19" s="34"/>
      <c r="B19" s="43"/>
      <c r="C19" s="10" t="str">
        <f aca="false">IF($B19="","",IFERROR(INDEX(案件管理!$B$3:$B$202,MATCH($B19,案件管理!$A$3:$A$202,0)),"←IDが未登録です"))</f>
        <v/>
      </c>
      <c r="D19" s="31"/>
      <c r="E19" s="31"/>
      <c r="F19" s="44"/>
      <c r="G19" s="26" t="str">
        <f aca="false">IF(N($F19)=0,"",$F19/マスタ!$B$5)</f>
        <v/>
      </c>
      <c r="H19" s="8"/>
    </row>
    <row r="20" customFormat="false" ht="15" hidden="false" customHeight="false" outlineLevel="0" collapsed="false">
      <c r="A20" s="34"/>
      <c r="B20" s="43"/>
      <c r="C20" s="10" t="str">
        <f aca="false">IF($B20="","",IFERROR(INDEX(案件管理!$B$3:$B$202,MATCH($B20,案件管理!$A$3:$A$202,0)),"←IDが未登録です"))</f>
        <v/>
      </c>
      <c r="D20" s="31"/>
      <c r="E20" s="31"/>
      <c r="F20" s="44"/>
      <c r="G20" s="26" t="str">
        <f aca="false">IF(N($F20)=0,"",$F20/マスタ!$B$5)</f>
        <v/>
      </c>
      <c r="H20" s="8"/>
    </row>
    <row r="21" customFormat="false" ht="15" hidden="false" customHeight="false" outlineLevel="0" collapsed="false">
      <c r="A21" s="34"/>
      <c r="B21" s="43"/>
      <c r="C21" s="10" t="str">
        <f aca="false">IF($B21="","",IFERROR(INDEX(案件管理!$B$3:$B$202,MATCH($B21,案件管理!$A$3:$A$202,0)),"←IDが未登録です"))</f>
        <v/>
      </c>
      <c r="D21" s="31"/>
      <c r="E21" s="31"/>
      <c r="F21" s="44"/>
      <c r="G21" s="26" t="str">
        <f aca="false">IF(N($F21)=0,"",$F21/マスタ!$B$5)</f>
        <v/>
      </c>
      <c r="H21" s="8"/>
    </row>
    <row r="22" customFormat="false" ht="15" hidden="false" customHeight="false" outlineLevel="0" collapsed="false">
      <c r="A22" s="34"/>
      <c r="B22" s="43"/>
      <c r="C22" s="10" t="str">
        <f aca="false">IF($B22="","",IFERROR(INDEX(案件管理!$B$3:$B$202,MATCH($B22,案件管理!$A$3:$A$202,0)),"←IDが未登録です"))</f>
        <v/>
      </c>
      <c r="D22" s="31"/>
      <c r="E22" s="31"/>
      <c r="F22" s="44"/>
      <c r="G22" s="26" t="str">
        <f aca="false">IF(N($F22)=0,"",$F22/マスタ!$B$5)</f>
        <v/>
      </c>
      <c r="H22" s="8"/>
    </row>
    <row r="23" customFormat="false" ht="15" hidden="false" customHeight="false" outlineLevel="0" collapsed="false">
      <c r="A23" s="34"/>
      <c r="B23" s="43"/>
      <c r="C23" s="10" t="str">
        <f aca="false">IF($B23="","",IFERROR(INDEX(案件管理!$B$3:$B$202,MATCH($B23,案件管理!$A$3:$A$202,0)),"←IDが未登録です"))</f>
        <v/>
      </c>
      <c r="D23" s="31"/>
      <c r="E23" s="31"/>
      <c r="F23" s="44"/>
      <c r="G23" s="26" t="str">
        <f aca="false">IF(N($F23)=0,"",$F23/マスタ!$B$5)</f>
        <v/>
      </c>
      <c r="H23" s="8"/>
    </row>
    <row r="24" customFormat="false" ht="15" hidden="false" customHeight="false" outlineLevel="0" collapsed="false">
      <c r="A24" s="34"/>
      <c r="B24" s="43"/>
      <c r="C24" s="10" t="str">
        <f aca="false">IF($B24="","",IFERROR(INDEX(案件管理!$B$3:$B$202,MATCH($B24,案件管理!$A$3:$A$202,0)),"←IDが未登録です"))</f>
        <v/>
      </c>
      <c r="D24" s="31"/>
      <c r="E24" s="31"/>
      <c r="F24" s="44"/>
      <c r="G24" s="26" t="str">
        <f aca="false">IF(N($F24)=0,"",$F24/マスタ!$B$5)</f>
        <v/>
      </c>
      <c r="H24" s="8"/>
    </row>
    <row r="25" customFormat="false" ht="15" hidden="false" customHeight="false" outlineLevel="0" collapsed="false">
      <c r="A25" s="34"/>
      <c r="B25" s="43"/>
      <c r="C25" s="10" t="str">
        <f aca="false">IF($B25="","",IFERROR(INDEX(案件管理!$B$3:$B$202,MATCH($B25,案件管理!$A$3:$A$202,0)),"←IDが未登録です"))</f>
        <v/>
      </c>
      <c r="D25" s="31"/>
      <c r="E25" s="31"/>
      <c r="F25" s="44"/>
      <c r="G25" s="26" t="str">
        <f aca="false">IF(N($F25)=0,"",$F25/マスタ!$B$5)</f>
        <v/>
      </c>
      <c r="H25" s="8"/>
    </row>
    <row r="26" customFormat="false" ht="15" hidden="false" customHeight="false" outlineLevel="0" collapsed="false">
      <c r="A26" s="34"/>
      <c r="B26" s="43"/>
      <c r="C26" s="10" t="str">
        <f aca="false">IF($B26="","",IFERROR(INDEX(案件管理!$B$3:$B$202,MATCH($B26,案件管理!$A$3:$A$202,0)),"←IDが未登録です"))</f>
        <v/>
      </c>
      <c r="D26" s="31"/>
      <c r="E26" s="31"/>
      <c r="F26" s="44"/>
      <c r="G26" s="26" t="str">
        <f aca="false">IF(N($F26)=0,"",$F26/マスタ!$B$5)</f>
        <v/>
      </c>
      <c r="H26" s="8"/>
    </row>
    <row r="27" customFormat="false" ht="15" hidden="false" customHeight="false" outlineLevel="0" collapsed="false">
      <c r="A27" s="34"/>
      <c r="B27" s="43"/>
      <c r="C27" s="10" t="str">
        <f aca="false">IF($B27="","",IFERROR(INDEX(案件管理!$B$3:$B$202,MATCH($B27,案件管理!$A$3:$A$202,0)),"←IDが未登録です"))</f>
        <v/>
      </c>
      <c r="D27" s="31"/>
      <c r="E27" s="31"/>
      <c r="F27" s="44"/>
      <c r="G27" s="26" t="str">
        <f aca="false">IF(N($F27)=0,"",$F27/マスタ!$B$5)</f>
        <v/>
      </c>
      <c r="H27" s="8"/>
    </row>
    <row r="28" customFormat="false" ht="15" hidden="false" customHeight="false" outlineLevel="0" collapsed="false">
      <c r="A28" s="34"/>
      <c r="B28" s="43"/>
      <c r="C28" s="10" t="str">
        <f aca="false">IF($B28="","",IFERROR(INDEX(案件管理!$B$3:$B$202,MATCH($B28,案件管理!$A$3:$A$202,0)),"←IDが未登録です"))</f>
        <v/>
      </c>
      <c r="D28" s="31"/>
      <c r="E28" s="31"/>
      <c r="F28" s="44"/>
      <c r="G28" s="26" t="str">
        <f aca="false">IF(N($F28)=0,"",$F28/マスタ!$B$5)</f>
        <v/>
      </c>
      <c r="H28" s="8"/>
    </row>
    <row r="29" customFormat="false" ht="15" hidden="false" customHeight="false" outlineLevel="0" collapsed="false">
      <c r="A29" s="34"/>
      <c r="B29" s="43"/>
      <c r="C29" s="10" t="str">
        <f aca="false">IF($B29="","",IFERROR(INDEX(案件管理!$B$3:$B$202,MATCH($B29,案件管理!$A$3:$A$202,0)),"←IDが未登録です"))</f>
        <v/>
      </c>
      <c r="D29" s="31"/>
      <c r="E29" s="31"/>
      <c r="F29" s="44"/>
      <c r="G29" s="26" t="str">
        <f aca="false">IF(N($F29)=0,"",$F29/マスタ!$B$5)</f>
        <v/>
      </c>
      <c r="H29" s="8"/>
    </row>
    <row r="30" customFormat="false" ht="15" hidden="false" customHeight="false" outlineLevel="0" collapsed="false">
      <c r="A30" s="34"/>
      <c r="B30" s="43"/>
      <c r="C30" s="10" t="str">
        <f aca="false">IF($B30="","",IFERROR(INDEX(案件管理!$B$3:$B$202,MATCH($B30,案件管理!$A$3:$A$202,0)),"←IDが未登録です"))</f>
        <v/>
      </c>
      <c r="D30" s="31"/>
      <c r="E30" s="31"/>
      <c r="F30" s="44"/>
      <c r="G30" s="26" t="str">
        <f aca="false">IF(N($F30)=0,"",$F30/マスタ!$B$5)</f>
        <v/>
      </c>
      <c r="H30" s="8"/>
    </row>
    <row r="31" customFormat="false" ht="15" hidden="false" customHeight="false" outlineLevel="0" collapsed="false">
      <c r="A31" s="34"/>
      <c r="B31" s="43"/>
      <c r="C31" s="10" t="str">
        <f aca="false">IF($B31="","",IFERROR(INDEX(案件管理!$B$3:$B$202,MATCH($B31,案件管理!$A$3:$A$202,0)),"←IDが未登録です"))</f>
        <v/>
      </c>
      <c r="D31" s="31"/>
      <c r="E31" s="31"/>
      <c r="F31" s="44"/>
      <c r="G31" s="26" t="str">
        <f aca="false">IF(N($F31)=0,"",$F31/マスタ!$B$5)</f>
        <v/>
      </c>
      <c r="H31" s="8"/>
    </row>
    <row r="32" customFormat="false" ht="15" hidden="false" customHeight="false" outlineLevel="0" collapsed="false">
      <c r="A32" s="34"/>
      <c r="B32" s="43"/>
      <c r="C32" s="10" t="str">
        <f aca="false">IF($B32="","",IFERROR(INDEX(案件管理!$B$3:$B$202,MATCH($B32,案件管理!$A$3:$A$202,0)),"←IDが未登録です"))</f>
        <v/>
      </c>
      <c r="D32" s="31"/>
      <c r="E32" s="31"/>
      <c r="F32" s="44"/>
      <c r="G32" s="26" t="str">
        <f aca="false">IF(N($F32)=0,"",$F32/マスタ!$B$5)</f>
        <v/>
      </c>
      <c r="H32" s="8"/>
    </row>
    <row r="33" customFormat="false" ht="15" hidden="false" customHeight="false" outlineLevel="0" collapsed="false">
      <c r="A33" s="34"/>
      <c r="B33" s="43"/>
      <c r="C33" s="10" t="str">
        <f aca="false">IF($B33="","",IFERROR(INDEX(案件管理!$B$3:$B$202,MATCH($B33,案件管理!$A$3:$A$202,0)),"←IDが未登録です"))</f>
        <v/>
      </c>
      <c r="D33" s="31"/>
      <c r="E33" s="31"/>
      <c r="F33" s="44"/>
      <c r="G33" s="26" t="str">
        <f aca="false">IF(N($F33)=0,"",$F33/マスタ!$B$5)</f>
        <v/>
      </c>
      <c r="H33" s="8"/>
    </row>
    <row r="34" customFormat="false" ht="15" hidden="false" customHeight="false" outlineLevel="0" collapsed="false">
      <c r="A34" s="34"/>
      <c r="B34" s="43"/>
      <c r="C34" s="10" t="str">
        <f aca="false">IF($B34="","",IFERROR(INDEX(案件管理!$B$3:$B$202,MATCH($B34,案件管理!$A$3:$A$202,0)),"←IDが未登録です"))</f>
        <v/>
      </c>
      <c r="D34" s="31"/>
      <c r="E34" s="31"/>
      <c r="F34" s="44"/>
      <c r="G34" s="26" t="str">
        <f aca="false">IF(N($F34)=0,"",$F34/マスタ!$B$5)</f>
        <v/>
      </c>
      <c r="H34" s="8"/>
    </row>
    <row r="35" customFormat="false" ht="15" hidden="false" customHeight="false" outlineLevel="0" collapsed="false">
      <c r="A35" s="34"/>
      <c r="B35" s="43"/>
      <c r="C35" s="10" t="str">
        <f aca="false">IF($B35="","",IFERROR(INDEX(案件管理!$B$3:$B$202,MATCH($B35,案件管理!$A$3:$A$202,0)),"←IDが未登録です"))</f>
        <v/>
      </c>
      <c r="D35" s="31"/>
      <c r="E35" s="31"/>
      <c r="F35" s="44"/>
      <c r="G35" s="26" t="str">
        <f aca="false">IF(N($F35)=0,"",$F35/マスタ!$B$5)</f>
        <v/>
      </c>
      <c r="H35" s="8"/>
    </row>
    <row r="36" customFormat="false" ht="15" hidden="false" customHeight="false" outlineLevel="0" collapsed="false">
      <c r="A36" s="34"/>
      <c r="B36" s="43"/>
      <c r="C36" s="10" t="str">
        <f aca="false">IF($B36="","",IFERROR(INDEX(案件管理!$B$3:$B$202,MATCH($B36,案件管理!$A$3:$A$202,0)),"←IDが未登録です"))</f>
        <v/>
      </c>
      <c r="D36" s="31"/>
      <c r="E36" s="31"/>
      <c r="F36" s="44"/>
      <c r="G36" s="26" t="str">
        <f aca="false">IF(N($F36)=0,"",$F36/マスタ!$B$5)</f>
        <v/>
      </c>
      <c r="H36" s="8"/>
    </row>
    <row r="37" customFormat="false" ht="15" hidden="false" customHeight="false" outlineLevel="0" collapsed="false">
      <c r="A37" s="34"/>
      <c r="B37" s="43"/>
      <c r="C37" s="10" t="str">
        <f aca="false">IF($B37="","",IFERROR(INDEX(案件管理!$B$3:$B$202,MATCH($B37,案件管理!$A$3:$A$202,0)),"←IDが未登録です"))</f>
        <v/>
      </c>
      <c r="D37" s="31"/>
      <c r="E37" s="31"/>
      <c r="F37" s="44"/>
      <c r="G37" s="26" t="str">
        <f aca="false">IF(N($F37)=0,"",$F37/マスタ!$B$5)</f>
        <v/>
      </c>
      <c r="H37" s="8"/>
    </row>
    <row r="38" customFormat="false" ht="15" hidden="false" customHeight="false" outlineLevel="0" collapsed="false">
      <c r="A38" s="34"/>
      <c r="B38" s="43"/>
      <c r="C38" s="10" t="str">
        <f aca="false">IF($B38="","",IFERROR(INDEX(案件管理!$B$3:$B$202,MATCH($B38,案件管理!$A$3:$A$202,0)),"←IDが未登録です"))</f>
        <v/>
      </c>
      <c r="D38" s="31"/>
      <c r="E38" s="31"/>
      <c r="F38" s="44"/>
      <c r="G38" s="26" t="str">
        <f aca="false">IF(N($F38)=0,"",$F38/マスタ!$B$5)</f>
        <v/>
      </c>
      <c r="H38" s="8"/>
    </row>
    <row r="39" customFormat="false" ht="15" hidden="false" customHeight="false" outlineLevel="0" collapsed="false">
      <c r="A39" s="34"/>
      <c r="B39" s="43"/>
      <c r="C39" s="10" t="str">
        <f aca="false">IF($B39="","",IFERROR(INDEX(案件管理!$B$3:$B$202,MATCH($B39,案件管理!$A$3:$A$202,0)),"←IDが未登録です"))</f>
        <v/>
      </c>
      <c r="D39" s="31"/>
      <c r="E39" s="31"/>
      <c r="F39" s="44"/>
      <c r="G39" s="26" t="str">
        <f aca="false">IF(N($F39)=0,"",$F39/マスタ!$B$5)</f>
        <v/>
      </c>
      <c r="H39" s="8"/>
    </row>
    <row r="40" customFormat="false" ht="15" hidden="false" customHeight="false" outlineLevel="0" collapsed="false">
      <c r="A40" s="34"/>
      <c r="B40" s="43"/>
      <c r="C40" s="10" t="str">
        <f aca="false">IF($B40="","",IFERROR(INDEX(案件管理!$B$3:$B$202,MATCH($B40,案件管理!$A$3:$A$202,0)),"←IDが未登録です"))</f>
        <v/>
      </c>
      <c r="D40" s="31"/>
      <c r="E40" s="31"/>
      <c r="F40" s="44"/>
      <c r="G40" s="26" t="str">
        <f aca="false">IF(N($F40)=0,"",$F40/マスタ!$B$5)</f>
        <v/>
      </c>
      <c r="H40" s="8"/>
    </row>
    <row r="41" customFormat="false" ht="15" hidden="false" customHeight="false" outlineLevel="0" collapsed="false">
      <c r="A41" s="34"/>
      <c r="B41" s="43"/>
      <c r="C41" s="10" t="str">
        <f aca="false">IF($B41="","",IFERROR(INDEX(案件管理!$B$3:$B$202,MATCH($B41,案件管理!$A$3:$A$202,0)),"←IDが未登録です"))</f>
        <v/>
      </c>
      <c r="D41" s="31"/>
      <c r="E41" s="31"/>
      <c r="F41" s="44"/>
      <c r="G41" s="26" t="str">
        <f aca="false">IF(N($F41)=0,"",$F41/マスタ!$B$5)</f>
        <v/>
      </c>
      <c r="H41" s="8"/>
    </row>
    <row r="42" customFormat="false" ht="15" hidden="false" customHeight="false" outlineLevel="0" collapsed="false">
      <c r="A42" s="34"/>
      <c r="B42" s="43"/>
      <c r="C42" s="10" t="str">
        <f aca="false">IF($B42="","",IFERROR(INDEX(案件管理!$B$3:$B$202,MATCH($B42,案件管理!$A$3:$A$202,0)),"←IDが未登録です"))</f>
        <v/>
      </c>
      <c r="D42" s="31"/>
      <c r="E42" s="31"/>
      <c r="F42" s="44"/>
      <c r="G42" s="26" t="str">
        <f aca="false">IF(N($F42)=0,"",$F42/マスタ!$B$5)</f>
        <v/>
      </c>
      <c r="H42" s="8"/>
    </row>
    <row r="43" customFormat="false" ht="15" hidden="false" customHeight="false" outlineLevel="0" collapsed="false">
      <c r="A43" s="34"/>
      <c r="B43" s="43"/>
      <c r="C43" s="10" t="str">
        <f aca="false">IF($B43="","",IFERROR(INDEX(案件管理!$B$3:$B$202,MATCH($B43,案件管理!$A$3:$A$202,0)),"←IDが未登録です"))</f>
        <v/>
      </c>
      <c r="D43" s="31"/>
      <c r="E43" s="31"/>
      <c r="F43" s="44"/>
      <c r="G43" s="26" t="str">
        <f aca="false">IF(N($F43)=0,"",$F43/マスタ!$B$5)</f>
        <v/>
      </c>
      <c r="H43" s="8"/>
    </row>
    <row r="44" customFormat="false" ht="15" hidden="false" customHeight="false" outlineLevel="0" collapsed="false">
      <c r="A44" s="34"/>
      <c r="B44" s="43"/>
      <c r="C44" s="10" t="str">
        <f aca="false">IF($B44="","",IFERROR(INDEX(案件管理!$B$3:$B$202,MATCH($B44,案件管理!$A$3:$A$202,0)),"←IDが未登録です"))</f>
        <v/>
      </c>
      <c r="D44" s="31"/>
      <c r="E44" s="31"/>
      <c r="F44" s="44"/>
      <c r="G44" s="26" t="str">
        <f aca="false">IF(N($F44)=0,"",$F44/マスタ!$B$5)</f>
        <v/>
      </c>
      <c r="H44" s="8"/>
    </row>
    <row r="45" customFormat="false" ht="15" hidden="false" customHeight="false" outlineLevel="0" collapsed="false">
      <c r="A45" s="34"/>
      <c r="B45" s="43"/>
      <c r="C45" s="10" t="str">
        <f aca="false">IF($B45="","",IFERROR(INDEX(案件管理!$B$3:$B$202,MATCH($B45,案件管理!$A$3:$A$202,0)),"←IDが未登録です"))</f>
        <v/>
      </c>
      <c r="D45" s="31"/>
      <c r="E45" s="31"/>
      <c r="F45" s="44"/>
      <c r="G45" s="26" t="str">
        <f aca="false">IF(N($F45)=0,"",$F45/マスタ!$B$5)</f>
        <v/>
      </c>
      <c r="H45" s="8"/>
    </row>
    <row r="46" customFormat="false" ht="15" hidden="false" customHeight="false" outlineLevel="0" collapsed="false">
      <c r="A46" s="34"/>
      <c r="B46" s="43"/>
      <c r="C46" s="10" t="str">
        <f aca="false">IF($B46="","",IFERROR(INDEX(案件管理!$B$3:$B$202,MATCH($B46,案件管理!$A$3:$A$202,0)),"←IDが未登録です"))</f>
        <v/>
      </c>
      <c r="D46" s="31"/>
      <c r="E46" s="31"/>
      <c r="F46" s="44"/>
      <c r="G46" s="26" t="str">
        <f aca="false">IF(N($F46)=0,"",$F46/マスタ!$B$5)</f>
        <v/>
      </c>
      <c r="H46" s="8"/>
    </row>
    <row r="47" customFormat="false" ht="15" hidden="false" customHeight="false" outlineLevel="0" collapsed="false">
      <c r="A47" s="34"/>
      <c r="B47" s="43"/>
      <c r="C47" s="10" t="str">
        <f aca="false">IF($B47="","",IFERROR(INDEX(案件管理!$B$3:$B$202,MATCH($B47,案件管理!$A$3:$A$202,0)),"←IDが未登録です"))</f>
        <v/>
      </c>
      <c r="D47" s="31"/>
      <c r="E47" s="31"/>
      <c r="F47" s="44"/>
      <c r="G47" s="26" t="str">
        <f aca="false">IF(N($F47)=0,"",$F47/マスタ!$B$5)</f>
        <v/>
      </c>
      <c r="H47" s="8"/>
    </row>
    <row r="48" customFormat="false" ht="15" hidden="false" customHeight="false" outlineLevel="0" collapsed="false">
      <c r="A48" s="34"/>
      <c r="B48" s="43"/>
      <c r="C48" s="10" t="str">
        <f aca="false">IF($B48="","",IFERROR(INDEX(案件管理!$B$3:$B$202,MATCH($B48,案件管理!$A$3:$A$202,0)),"←IDが未登録です"))</f>
        <v/>
      </c>
      <c r="D48" s="31"/>
      <c r="E48" s="31"/>
      <c r="F48" s="44"/>
      <c r="G48" s="26" t="str">
        <f aca="false">IF(N($F48)=0,"",$F48/マスタ!$B$5)</f>
        <v/>
      </c>
      <c r="H48" s="8"/>
    </row>
    <row r="49" customFormat="false" ht="15" hidden="false" customHeight="false" outlineLevel="0" collapsed="false">
      <c r="A49" s="34"/>
      <c r="B49" s="43"/>
      <c r="C49" s="10" t="str">
        <f aca="false">IF($B49="","",IFERROR(INDEX(案件管理!$B$3:$B$202,MATCH($B49,案件管理!$A$3:$A$202,0)),"←IDが未登録です"))</f>
        <v/>
      </c>
      <c r="D49" s="31"/>
      <c r="E49" s="31"/>
      <c r="F49" s="44"/>
      <c r="G49" s="26" t="str">
        <f aca="false">IF(N($F49)=0,"",$F49/マスタ!$B$5)</f>
        <v/>
      </c>
      <c r="H49" s="8"/>
    </row>
    <row r="50" customFormat="false" ht="15" hidden="false" customHeight="false" outlineLevel="0" collapsed="false">
      <c r="A50" s="34"/>
      <c r="B50" s="43"/>
      <c r="C50" s="10" t="str">
        <f aca="false">IF($B50="","",IFERROR(INDEX(案件管理!$B$3:$B$202,MATCH($B50,案件管理!$A$3:$A$202,0)),"←IDが未登録です"))</f>
        <v/>
      </c>
      <c r="D50" s="31"/>
      <c r="E50" s="31"/>
      <c r="F50" s="44"/>
      <c r="G50" s="26" t="str">
        <f aca="false">IF(N($F50)=0,"",$F50/マスタ!$B$5)</f>
        <v/>
      </c>
      <c r="H50" s="8"/>
    </row>
    <row r="51" customFormat="false" ht="15" hidden="false" customHeight="false" outlineLevel="0" collapsed="false">
      <c r="A51" s="34"/>
      <c r="B51" s="43"/>
      <c r="C51" s="10" t="str">
        <f aca="false">IF($B51="","",IFERROR(INDEX(案件管理!$B$3:$B$202,MATCH($B51,案件管理!$A$3:$A$202,0)),"←IDが未登録です"))</f>
        <v/>
      </c>
      <c r="D51" s="31"/>
      <c r="E51" s="31"/>
      <c r="F51" s="44"/>
      <c r="G51" s="26" t="str">
        <f aca="false">IF(N($F51)=0,"",$F51/マスタ!$B$5)</f>
        <v/>
      </c>
      <c r="H51" s="8"/>
    </row>
    <row r="52" customFormat="false" ht="15" hidden="false" customHeight="false" outlineLevel="0" collapsed="false">
      <c r="A52" s="34"/>
      <c r="B52" s="43"/>
      <c r="C52" s="10" t="str">
        <f aca="false">IF($B52="","",IFERROR(INDEX(案件管理!$B$3:$B$202,MATCH($B52,案件管理!$A$3:$A$202,0)),"←IDが未登録です"))</f>
        <v/>
      </c>
      <c r="D52" s="31"/>
      <c r="E52" s="31"/>
      <c r="F52" s="44"/>
      <c r="G52" s="26" t="str">
        <f aca="false">IF(N($F52)=0,"",$F52/マスタ!$B$5)</f>
        <v/>
      </c>
      <c r="H52" s="8"/>
    </row>
    <row r="53" customFormat="false" ht="15" hidden="false" customHeight="false" outlineLevel="0" collapsed="false">
      <c r="A53" s="34"/>
      <c r="B53" s="43"/>
      <c r="C53" s="10" t="str">
        <f aca="false">IF($B53="","",IFERROR(INDEX(案件管理!$B$3:$B$202,MATCH($B53,案件管理!$A$3:$A$202,0)),"←IDが未登録です"))</f>
        <v/>
      </c>
      <c r="D53" s="31"/>
      <c r="E53" s="31"/>
      <c r="F53" s="44"/>
      <c r="G53" s="26" t="str">
        <f aca="false">IF(N($F53)=0,"",$F53/マスタ!$B$5)</f>
        <v/>
      </c>
      <c r="H53" s="8"/>
    </row>
    <row r="54" customFormat="false" ht="15" hidden="false" customHeight="false" outlineLevel="0" collapsed="false">
      <c r="A54" s="34"/>
      <c r="B54" s="43"/>
      <c r="C54" s="10" t="str">
        <f aca="false">IF($B54="","",IFERROR(INDEX(案件管理!$B$3:$B$202,MATCH($B54,案件管理!$A$3:$A$202,0)),"←IDが未登録です"))</f>
        <v/>
      </c>
      <c r="D54" s="31"/>
      <c r="E54" s="31"/>
      <c r="F54" s="44"/>
      <c r="G54" s="26" t="str">
        <f aca="false">IF(N($F54)=0,"",$F54/マスタ!$B$5)</f>
        <v/>
      </c>
      <c r="H54" s="8"/>
    </row>
    <row r="55" customFormat="false" ht="15" hidden="false" customHeight="false" outlineLevel="0" collapsed="false">
      <c r="A55" s="34"/>
      <c r="B55" s="43"/>
      <c r="C55" s="10" t="str">
        <f aca="false">IF($B55="","",IFERROR(INDEX(案件管理!$B$3:$B$202,MATCH($B55,案件管理!$A$3:$A$202,0)),"←IDが未登録です"))</f>
        <v/>
      </c>
      <c r="D55" s="31"/>
      <c r="E55" s="31"/>
      <c r="F55" s="44"/>
      <c r="G55" s="26" t="str">
        <f aca="false">IF(N($F55)=0,"",$F55/マスタ!$B$5)</f>
        <v/>
      </c>
      <c r="H55" s="8"/>
    </row>
    <row r="56" customFormat="false" ht="15" hidden="false" customHeight="false" outlineLevel="0" collapsed="false">
      <c r="A56" s="34"/>
      <c r="B56" s="43"/>
      <c r="C56" s="10" t="str">
        <f aca="false">IF($B56="","",IFERROR(INDEX(案件管理!$B$3:$B$202,MATCH($B56,案件管理!$A$3:$A$202,0)),"←IDが未登録です"))</f>
        <v/>
      </c>
      <c r="D56" s="31"/>
      <c r="E56" s="31"/>
      <c r="F56" s="44"/>
      <c r="G56" s="26" t="str">
        <f aca="false">IF(N($F56)=0,"",$F56/マスタ!$B$5)</f>
        <v/>
      </c>
      <c r="H56" s="8"/>
    </row>
    <row r="57" customFormat="false" ht="15" hidden="false" customHeight="false" outlineLevel="0" collapsed="false">
      <c r="A57" s="34"/>
      <c r="B57" s="43"/>
      <c r="C57" s="10" t="str">
        <f aca="false">IF($B57="","",IFERROR(INDEX(案件管理!$B$3:$B$202,MATCH($B57,案件管理!$A$3:$A$202,0)),"←IDが未登録です"))</f>
        <v/>
      </c>
      <c r="D57" s="31"/>
      <c r="E57" s="31"/>
      <c r="F57" s="44"/>
      <c r="G57" s="26" t="str">
        <f aca="false">IF(N($F57)=0,"",$F57/マスタ!$B$5)</f>
        <v/>
      </c>
      <c r="H57" s="8"/>
    </row>
    <row r="58" customFormat="false" ht="15" hidden="false" customHeight="false" outlineLevel="0" collapsed="false">
      <c r="A58" s="34"/>
      <c r="B58" s="43"/>
      <c r="C58" s="10" t="str">
        <f aca="false">IF($B58="","",IFERROR(INDEX(案件管理!$B$3:$B$202,MATCH($B58,案件管理!$A$3:$A$202,0)),"←IDが未登録です"))</f>
        <v/>
      </c>
      <c r="D58" s="31"/>
      <c r="E58" s="31"/>
      <c r="F58" s="44"/>
      <c r="G58" s="26" t="str">
        <f aca="false">IF(N($F58)=0,"",$F58/マスタ!$B$5)</f>
        <v/>
      </c>
      <c r="H58" s="8"/>
    </row>
    <row r="59" customFormat="false" ht="15" hidden="false" customHeight="false" outlineLevel="0" collapsed="false">
      <c r="A59" s="34"/>
      <c r="B59" s="43"/>
      <c r="C59" s="10" t="str">
        <f aca="false">IF($B59="","",IFERROR(INDEX(案件管理!$B$3:$B$202,MATCH($B59,案件管理!$A$3:$A$202,0)),"←IDが未登録です"))</f>
        <v/>
      </c>
      <c r="D59" s="31"/>
      <c r="E59" s="31"/>
      <c r="F59" s="44"/>
      <c r="G59" s="26" t="str">
        <f aca="false">IF(N($F59)=0,"",$F59/マスタ!$B$5)</f>
        <v/>
      </c>
      <c r="H59" s="8"/>
    </row>
    <row r="60" customFormat="false" ht="15" hidden="false" customHeight="false" outlineLevel="0" collapsed="false">
      <c r="A60" s="34"/>
      <c r="B60" s="43"/>
      <c r="C60" s="10" t="str">
        <f aca="false">IF($B60="","",IFERROR(INDEX(案件管理!$B$3:$B$202,MATCH($B60,案件管理!$A$3:$A$202,0)),"←IDが未登録です"))</f>
        <v/>
      </c>
      <c r="D60" s="31"/>
      <c r="E60" s="31"/>
      <c r="F60" s="44"/>
      <c r="G60" s="26" t="str">
        <f aca="false">IF(N($F60)=0,"",$F60/マスタ!$B$5)</f>
        <v/>
      </c>
      <c r="H60" s="8"/>
    </row>
    <row r="61" customFormat="false" ht="15" hidden="false" customHeight="false" outlineLevel="0" collapsed="false">
      <c r="A61" s="34"/>
      <c r="B61" s="43"/>
      <c r="C61" s="10" t="str">
        <f aca="false">IF($B61="","",IFERROR(INDEX(案件管理!$B$3:$B$202,MATCH($B61,案件管理!$A$3:$A$202,0)),"←IDが未登録です"))</f>
        <v/>
      </c>
      <c r="D61" s="31"/>
      <c r="E61" s="31"/>
      <c r="F61" s="44"/>
      <c r="G61" s="26" t="str">
        <f aca="false">IF(N($F61)=0,"",$F61/マスタ!$B$5)</f>
        <v/>
      </c>
      <c r="H61" s="8"/>
    </row>
    <row r="62" customFormat="false" ht="15" hidden="false" customHeight="false" outlineLevel="0" collapsed="false">
      <c r="A62" s="34"/>
      <c r="B62" s="43"/>
      <c r="C62" s="10" t="str">
        <f aca="false">IF($B62="","",IFERROR(INDEX(案件管理!$B$3:$B$202,MATCH($B62,案件管理!$A$3:$A$202,0)),"←IDが未登録です"))</f>
        <v/>
      </c>
      <c r="D62" s="31"/>
      <c r="E62" s="31"/>
      <c r="F62" s="44"/>
      <c r="G62" s="26" t="str">
        <f aca="false">IF(N($F62)=0,"",$F62/マスタ!$B$5)</f>
        <v/>
      </c>
      <c r="H62" s="8"/>
    </row>
    <row r="63" customFormat="false" ht="15" hidden="false" customHeight="false" outlineLevel="0" collapsed="false">
      <c r="A63" s="34"/>
      <c r="B63" s="43"/>
      <c r="C63" s="10" t="str">
        <f aca="false">IF($B63="","",IFERROR(INDEX(案件管理!$B$3:$B$202,MATCH($B63,案件管理!$A$3:$A$202,0)),"←IDが未登録です"))</f>
        <v/>
      </c>
      <c r="D63" s="31"/>
      <c r="E63" s="31"/>
      <c r="F63" s="44"/>
      <c r="G63" s="26" t="str">
        <f aca="false">IF(N($F63)=0,"",$F63/マスタ!$B$5)</f>
        <v/>
      </c>
      <c r="H63" s="8"/>
    </row>
    <row r="64" customFormat="false" ht="15" hidden="false" customHeight="false" outlineLevel="0" collapsed="false">
      <c r="A64" s="34"/>
      <c r="B64" s="43"/>
      <c r="C64" s="10" t="str">
        <f aca="false">IF($B64="","",IFERROR(INDEX(案件管理!$B$3:$B$202,MATCH($B64,案件管理!$A$3:$A$202,0)),"←IDが未登録です"))</f>
        <v/>
      </c>
      <c r="D64" s="31"/>
      <c r="E64" s="31"/>
      <c r="F64" s="44"/>
      <c r="G64" s="26" t="str">
        <f aca="false">IF(N($F64)=0,"",$F64/マスタ!$B$5)</f>
        <v/>
      </c>
      <c r="H64" s="8"/>
    </row>
    <row r="65" customFormat="false" ht="15" hidden="false" customHeight="false" outlineLevel="0" collapsed="false">
      <c r="A65" s="34"/>
      <c r="B65" s="43"/>
      <c r="C65" s="10" t="str">
        <f aca="false">IF($B65="","",IFERROR(INDEX(案件管理!$B$3:$B$202,MATCH($B65,案件管理!$A$3:$A$202,0)),"←IDが未登録です"))</f>
        <v/>
      </c>
      <c r="D65" s="31"/>
      <c r="E65" s="31"/>
      <c r="F65" s="44"/>
      <c r="G65" s="26" t="str">
        <f aca="false">IF(N($F65)=0,"",$F65/マスタ!$B$5)</f>
        <v/>
      </c>
      <c r="H65" s="8"/>
    </row>
    <row r="66" customFormat="false" ht="15" hidden="false" customHeight="false" outlineLevel="0" collapsed="false">
      <c r="A66" s="34"/>
      <c r="B66" s="43"/>
      <c r="C66" s="10" t="str">
        <f aca="false">IF($B66="","",IFERROR(INDEX(案件管理!$B$3:$B$202,MATCH($B66,案件管理!$A$3:$A$202,0)),"←IDが未登録です"))</f>
        <v/>
      </c>
      <c r="D66" s="31"/>
      <c r="E66" s="31"/>
      <c r="F66" s="44"/>
      <c r="G66" s="26" t="str">
        <f aca="false">IF(N($F66)=0,"",$F66/マスタ!$B$5)</f>
        <v/>
      </c>
      <c r="H66" s="8"/>
    </row>
    <row r="67" customFormat="false" ht="15" hidden="false" customHeight="false" outlineLevel="0" collapsed="false">
      <c r="A67" s="34"/>
      <c r="B67" s="43"/>
      <c r="C67" s="10" t="str">
        <f aca="false">IF($B67="","",IFERROR(INDEX(案件管理!$B$3:$B$202,MATCH($B67,案件管理!$A$3:$A$202,0)),"←IDが未登録です"))</f>
        <v/>
      </c>
      <c r="D67" s="31"/>
      <c r="E67" s="31"/>
      <c r="F67" s="44"/>
      <c r="G67" s="26" t="str">
        <f aca="false">IF(N($F67)=0,"",$F67/マスタ!$B$5)</f>
        <v/>
      </c>
      <c r="H67" s="8"/>
    </row>
    <row r="68" customFormat="false" ht="15" hidden="false" customHeight="false" outlineLevel="0" collapsed="false">
      <c r="A68" s="34"/>
      <c r="B68" s="43"/>
      <c r="C68" s="10" t="str">
        <f aca="false">IF($B68="","",IFERROR(INDEX(案件管理!$B$3:$B$202,MATCH($B68,案件管理!$A$3:$A$202,0)),"←IDが未登録です"))</f>
        <v/>
      </c>
      <c r="D68" s="31"/>
      <c r="E68" s="31"/>
      <c r="F68" s="44"/>
      <c r="G68" s="26" t="str">
        <f aca="false">IF(N($F68)=0,"",$F68/マスタ!$B$5)</f>
        <v/>
      </c>
      <c r="H68" s="8"/>
    </row>
    <row r="69" customFormat="false" ht="15" hidden="false" customHeight="false" outlineLevel="0" collapsed="false">
      <c r="A69" s="34"/>
      <c r="B69" s="43"/>
      <c r="C69" s="10" t="str">
        <f aca="false">IF($B69="","",IFERROR(INDEX(案件管理!$B$3:$B$202,MATCH($B69,案件管理!$A$3:$A$202,0)),"←IDが未登録です"))</f>
        <v/>
      </c>
      <c r="D69" s="31"/>
      <c r="E69" s="31"/>
      <c r="F69" s="44"/>
      <c r="G69" s="26" t="str">
        <f aca="false">IF(N($F69)=0,"",$F69/マスタ!$B$5)</f>
        <v/>
      </c>
      <c r="H69" s="8"/>
    </row>
    <row r="70" customFormat="false" ht="15" hidden="false" customHeight="false" outlineLevel="0" collapsed="false">
      <c r="A70" s="34"/>
      <c r="B70" s="43"/>
      <c r="C70" s="10" t="str">
        <f aca="false">IF($B70="","",IFERROR(INDEX(案件管理!$B$3:$B$202,MATCH($B70,案件管理!$A$3:$A$202,0)),"←IDが未登録です"))</f>
        <v/>
      </c>
      <c r="D70" s="31"/>
      <c r="E70" s="31"/>
      <c r="F70" s="44"/>
      <c r="G70" s="26" t="str">
        <f aca="false">IF(N($F70)=0,"",$F70/マスタ!$B$5)</f>
        <v/>
      </c>
      <c r="H70" s="8"/>
    </row>
    <row r="71" customFormat="false" ht="15" hidden="false" customHeight="false" outlineLevel="0" collapsed="false">
      <c r="A71" s="34"/>
      <c r="B71" s="43"/>
      <c r="C71" s="10" t="str">
        <f aca="false">IF($B71="","",IFERROR(INDEX(案件管理!$B$3:$B$202,MATCH($B71,案件管理!$A$3:$A$202,0)),"←IDが未登録です"))</f>
        <v/>
      </c>
      <c r="D71" s="31"/>
      <c r="E71" s="31"/>
      <c r="F71" s="44"/>
      <c r="G71" s="26" t="str">
        <f aca="false">IF(N($F71)=0,"",$F71/マスタ!$B$5)</f>
        <v/>
      </c>
      <c r="H71" s="8"/>
    </row>
    <row r="72" customFormat="false" ht="15" hidden="false" customHeight="false" outlineLevel="0" collapsed="false">
      <c r="A72" s="34"/>
      <c r="B72" s="43"/>
      <c r="C72" s="10" t="str">
        <f aca="false">IF($B72="","",IFERROR(INDEX(案件管理!$B$3:$B$202,MATCH($B72,案件管理!$A$3:$A$202,0)),"←IDが未登録です"))</f>
        <v/>
      </c>
      <c r="D72" s="31"/>
      <c r="E72" s="31"/>
      <c r="F72" s="44"/>
      <c r="G72" s="26" t="str">
        <f aca="false">IF(N($F72)=0,"",$F72/マスタ!$B$5)</f>
        <v/>
      </c>
      <c r="H72" s="8"/>
    </row>
    <row r="73" customFormat="false" ht="15" hidden="false" customHeight="false" outlineLevel="0" collapsed="false">
      <c r="A73" s="34"/>
      <c r="B73" s="43"/>
      <c r="C73" s="10" t="str">
        <f aca="false">IF($B73="","",IFERROR(INDEX(案件管理!$B$3:$B$202,MATCH($B73,案件管理!$A$3:$A$202,0)),"←IDが未登録です"))</f>
        <v/>
      </c>
      <c r="D73" s="31"/>
      <c r="E73" s="31"/>
      <c r="F73" s="44"/>
      <c r="G73" s="26" t="str">
        <f aca="false">IF(N($F73)=0,"",$F73/マスタ!$B$5)</f>
        <v/>
      </c>
      <c r="H73" s="8"/>
    </row>
    <row r="74" customFormat="false" ht="15" hidden="false" customHeight="false" outlineLevel="0" collapsed="false">
      <c r="A74" s="34"/>
      <c r="B74" s="43"/>
      <c r="C74" s="10" t="str">
        <f aca="false">IF($B74="","",IFERROR(INDEX(案件管理!$B$3:$B$202,MATCH($B74,案件管理!$A$3:$A$202,0)),"←IDが未登録です"))</f>
        <v/>
      </c>
      <c r="D74" s="31"/>
      <c r="E74" s="31"/>
      <c r="F74" s="44"/>
      <c r="G74" s="26" t="str">
        <f aca="false">IF(N($F74)=0,"",$F74/マスタ!$B$5)</f>
        <v/>
      </c>
      <c r="H74" s="8"/>
    </row>
    <row r="75" customFormat="false" ht="15" hidden="false" customHeight="false" outlineLevel="0" collapsed="false">
      <c r="A75" s="34"/>
      <c r="B75" s="43"/>
      <c r="C75" s="10" t="str">
        <f aca="false">IF($B75="","",IFERROR(INDEX(案件管理!$B$3:$B$202,MATCH($B75,案件管理!$A$3:$A$202,0)),"←IDが未登録です"))</f>
        <v/>
      </c>
      <c r="D75" s="31"/>
      <c r="E75" s="31"/>
      <c r="F75" s="44"/>
      <c r="G75" s="26" t="str">
        <f aca="false">IF(N($F75)=0,"",$F75/マスタ!$B$5)</f>
        <v/>
      </c>
      <c r="H75" s="8"/>
    </row>
    <row r="76" customFormat="false" ht="15" hidden="false" customHeight="false" outlineLevel="0" collapsed="false">
      <c r="A76" s="34"/>
      <c r="B76" s="43"/>
      <c r="C76" s="10" t="str">
        <f aca="false">IF($B76="","",IFERROR(INDEX(案件管理!$B$3:$B$202,MATCH($B76,案件管理!$A$3:$A$202,0)),"←IDが未登録です"))</f>
        <v/>
      </c>
      <c r="D76" s="31"/>
      <c r="E76" s="31"/>
      <c r="F76" s="44"/>
      <c r="G76" s="26" t="str">
        <f aca="false">IF(N($F76)=0,"",$F76/マスタ!$B$5)</f>
        <v/>
      </c>
      <c r="H76" s="8"/>
    </row>
    <row r="77" customFormat="false" ht="15" hidden="false" customHeight="false" outlineLevel="0" collapsed="false">
      <c r="A77" s="34"/>
      <c r="B77" s="43"/>
      <c r="C77" s="10" t="str">
        <f aca="false">IF($B77="","",IFERROR(INDEX(案件管理!$B$3:$B$202,MATCH($B77,案件管理!$A$3:$A$202,0)),"←IDが未登録です"))</f>
        <v/>
      </c>
      <c r="D77" s="31"/>
      <c r="E77" s="31"/>
      <c r="F77" s="44"/>
      <c r="G77" s="26" t="str">
        <f aca="false">IF(N($F77)=0,"",$F77/マスタ!$B$5)</f>
        <v/>
      </c>
      <c r="H77" s="8"/>
    </row>
    <row r="78" customFormat="false" ht="15" hidden="false" customHeight="false" outlineLevel="0" collapsed="false">
      <c r="A78" s="34"/>
      <c r="B78" s="43"/>
      <c r="C78" s="10" t="str">
        <f aca="false">IF($B78="","",IFERROR(INDEX(案件管理!$B$3:$B$202,MATCH($B78,案件管理!$A$3:$A$202,0)),"←IDが未登録です"))</f>
        <v/>
      </c>
      <c r="D78" s="31"/>
      <c r="E78" s="31"/>
      <c r="F78" s="44"/>
      <c r="G78" s="26" t="str">
        <f aca="false">IF(N($F78)=0,"",$F78/マスタ!$B$5)</f>
        <v/>
      </c>
      <c r="H78" s="8"/>
    </row>
    <row r="79" customFormat="false" ht="15" hidden="false" customHeight="false" outlineLevel="0" collapsed="false">
      <c r="A79" s="34"/>
      <c r="B79" s="43"/>
      <c r="C79" s="10" t="str">
        <f aca="false">IF($B79="","",IFERROR(INDEX(案件管理!$B$3:$B$202,MATCH($B79,案件管理!$A$3:$A$202,0)),"←IDが未登録です"))</f>
        <v/>
      </c>
      <c r="D79" s="31"/>
      <c r="E79" s="31"/>
      <c r="F79" s="44"/>
      <c r="G79" s="26" t="str">
        <f aca="false">IF(N($F79)=0,"",$F79/マスタ!$B$5)</f>
        <v/>
      </c>
      <c r="H79" s="8"/>
    </row>
    <row r="80" customFormat="false" ht="15" hidden="false" customHeight="false" outlineLevel="0" collapsed="false">
      <c r="A80" s="34"/>
      <c r="B80" s="43"/>
      <c r="C80" s="10" t="str">
        <f aca="false">IF($B80="","",IFERROR(INDEX(案件管理!$B$3:$B$202,MATCH($B80,案件管理!$A$3:$A$202,0)),"←IDが未登録です"))</f>
        <v/>
      </c>
      <c r="D80" s="31"/>
      <c r="E80" s="31"/>
      <c r="F80" s="44"/>
      <c r="G80" s="26" t="str">
        <f aca="false">IF(N($F80)=0,"",$F80/マスタ!$B$5)</f>
        <v/>
      </c>
      <c r="H80" s="8"/>
    </row>
    <row r="81" customFormat="false" ht="15" hidden="false" customHeight="false" outlineLevel="0" collapsed="false">
      <c r="A81" s="34"/>
      <c r="B81" s="43"/>
      <c r="C81" s="10" t="str">
        <f aca="false">IF($B81="","",IFERROR(INDEX(案件管理!$B$3:$B$202,MATCH($B81,案件管理!$A$3:$A$202,0)),"←IDが未登録です"))</f>
        <v/>
      </c>
      <c r="D81" s="31"/>
      <c r="E81" s="31"/>
      <c r="F81" s="44"/>
      <c r="G81" s="26" t="str">
        <f aca="false">IF(N($F81)=0,"",$F81/マスタ!$B$5)</f>
        <v/>
      </c>
      <c r="H81" s="8"/>
    </row>
    <row r="82" customFormat="false" ht="15" hidden="false" customHeight="false" outlineLevel="0" collapsed="false">
      <c r="A82" s="34"/>
      <c r="B82" s="43"/>
      <c r="C82" s="10" t="str">
        <f aca="false">IF($B82="","",IFERROR(INDEX(案件管理!$B$3:$B$202,MATCH($B82,案件管理!$A$3:$A$202,0)),"←IDが未登録です"))</f>
        <v/>
      </c>
      <c r="D82" s="31"/>
      <c r="E82" s="31"/>
      <c r="F82" s="44"/>
      <c r="G82" s="26" t="str">
        <f aca="false">IF(N($F82)=0,"",$F82/マスタ!$B$5)</f>
        <v/>
      </c>
      <c r="H82" s="8"/>
    </row>
    <row r="83" customFormat="false" ht="15" hidden="false" customHeight="false" outlineLevel="0" collapsed="false">
      <c r="A83" s="34"/>
      <c r="B83" s="43"/>
      <c r="C83" s="10" t="str">
        <f aca="false">IF($B83="","",IFERROR(INDEX(案件管理!$B$3:$B$202,MATCH($B83,案件管理!$A$3:$A$202,0)),"←IDが未登録です"))</f>
        <v/>
      </c>
      <c r="D83" s="31"/>
      <c r="E83" s="31"/>
      <c r="F83" s="44"/>
      <c r="G83" s="26" t="str">
        <f aca="false">IF(N($F83)=0,"",$F83/マスタ!$B$5)</f>
        <v/>
      </c>
      <c r="H83" s="8"/>
    </row>
    <row r="84" customFormat="false" ht="15" hidden="false" customHeight="false" outlineLevel="0" collapsed="false">
      <c r="A84" s="34"/>
      <c r="B84" s="43"/>
      <c r="C84" s="10" t="str">
        <f aca="false">IF($B84="","",IFERROR(INDEX(案件管理!$B$3:$B$202,MATCH($B84,案件管理!$A$3:$A$202,0)),"←IDが未登録です"))</f>
        <v/>
      </c>
      <c r="D84" s="31"/>
      <c r="E84" s="31"/>
      <c r="F84" s="44"/>
      <c r="G84" s="26" t="str">
        <f aca="false">IF(N($F84)=0,"",$F84/マスタ!$B$5)</f>
        <v/>
      </c>
      <c r="H84" s="8"/>
    </row>
    <row r="85" customFormat="false" ht="15" hidden="false" customHeight="false" outlineLevel="0" collapsed="false">
      <c r="A85" s="34"/>
      <c r="B85" s="43"/>
      <c r="C85" s="10" t="str">
        <f aca="false">IF($B85="","",IFERROR(INDEX(案件管理!$B$3:$B$202,MATCH($B85,案件管理!$A$3:$A$202,0)),"←IDが未登録です"))</f>
        <v/>
      </c>
      <c r="D85" s="31"/>
      <c r="E85" s="31"/>
      <c r="F85" s="44"/>
      <c r="G85" s="26" t="str">
        <f aca="false">IF(N($F85)=0,"",$F85/マスタ!$B$5)</f>
        <v/>
      </c>
      <c r="H85" s="8"/>
    </row>
    <row r="86" customFormat="false" ht="15" hidden="false" customHeight="false" outlineLevel="0" collapsed="false">
      <c r="A86" s="34"/>
      <c r="B86" s="43"/>
      <c r="C86" s="10" t="str">
        <f aca="false">IF($B86="","",IFERROR(INDEX(案件管理!$B$3:$B$202,MATCH($B86,案件管理!$A$3:$A$202,0)),"←IDが未登録です"))</f>
        <v/>
      </c>
      <c r="D86" s="31"/>
      <c r="E86" s="31"/>
      <c r="F86" s="44"/>
      <c r="G86" s="26" t="str">
        <f aca="false">IF(N($F86)=0,"",$F86/マスタ!$B$5)</f>
        <v/>
      </c>
      <c r="H86" s="8"/>
    </row>
    <row r="87" customFormat="false" ht="15" hidden="false" customHeight="false" outlineLevel="0" collapsed="false">
      <c r="A87" s="34"/>
      <c r="B87" s="43"/>
      <c r="C87" s="10" t="str">
        <f aca="false">IF($B87="","",IFERROR(INDEX(案件管理!$B$3:$B$202,MATCH($B87,案件管理!$A$3:$A$202,0)),"←IDが未登録です"))</f>
        <v/>
      </c>
      <c r="D87" s="31"/>
      <c r="E87" s="31"/>
      <c r="F87" s="44"/>
      <c r="G87" s="26" t="str">
        <f aca="false">IF(N($F87)=0,"",$F87/マスタ!$B$5)</f>
        <v/>
      </c>
      <c r="H87" s="8"/>
    </row>
    <row r="88" customFormat="false" ht="15" hidden="false" customHeight="false" outlineLevel="0" collapsed="false">
      <c r="A88" s="34"/>
      <c r="B88" s="43"/>
      <c r="C88" s="10" t="str">
        <f aca="false">IF($B88="","",IFERROR(INDEX(案件管理!$B$3:$B$202,MATCH($B88,案件管理!$A$3:$A$202,0)),"←IDが未登録です"))</f>
        <v/>
      </c>
      <c r="D88" s="31"/>
      <c r="E88" s="31"/>
      <c r="F88" s="44"/>
      <c r="G88" s="26" t="str">
        <f aca="false">IF(N($F88)=0,"",$F88/マスタ!$B$5)</f>
        <v/>
      </c>
      <c r="H88" s="8"/>
    </row>
    <row r="89" customFormat="false" ht="15" hidden="false" customHeight="false" outlineLevel="0" collapsed="false">
      <c r="A89" s="34"/>
      <c r="B89" s="43"/>
      <c r="C89" s="10" t="str">
        <f aca="false">IF($B89="","",IFERROR(INDEX(案件管理!$B$3:$B$202,MATCH($B89,案件管理!$A$3:$A$202,0)),"←IDが未登録です"))</f>
        <v/>
      </c>
      <c r="D89" s="31"/>
      <c r="E89" s="31"/>
      <c r="F89" s="44"/>
      <c r="G89" s="26" t="str">
        <f aca="false">IF(N($F89)=0,"",$F89/マスタ!$B$5)</f>
        <v/>
      </c>
      <c r="H89" s="8"/>
    </row>
    <row r="90" customFormat="false" ht="15" hidden="false" customHeight="false" outlineLevel="0" collapsed="false">
      <c r="A90" s="34"/>
      <c r="B90" s="43"/>
      <c r="C90" s="10" t="str">
        <f aca="false">IF($B90="","",IFERROR(INDEX(案件管理!$B$3:$B$202,MATCH($B90,案件管理!$A$3:$A$202,0)),"←IDが未登録です"))</f>
        <v/>
      </c>
      <c r="D90" s="31"/>
      <c r="E90" s="31"/>
      <c r="F90" s="44"/>
      <c r="G90" s="26" t="str">
        <f aca="false">IF(N($F90)=0,"",$F90/マスタ!$B$5)</f>
        <v/>
      </c>
      <c r="H90" s="8"/>
    </row>
    <row r="91" customFormat="false" ht="15" hidden="false" customHeight="false" outlineLevel="0" collapsed="false">
      <c r="A91" s="34"/>
      <c r="B91" s="43"/>
      <c r="C91" s="10" t="str">
        <f aca="false">IF($B91="","",IFERROR(INDEX(案件管理!$B$3:$B$202,MATCH($B91,案件管理!$A$3:$A$202,0)),"←IDが未登録です"))</f>
        <v/>
      </c>
      <c r="D91" s="31"/>
      <c r="E91" s="31"/>
      <c r="F91" s="44"/>
      <c r="G91" s="26" t="str">
        <f aca="false">IF(N($F91)=0,"",$F91/マスタ!$B$5)</f>
        <v/>
      </c>
      <c r="H91" s="8"/>
    </row>
    <row r="92" customFormat="false" ht="15" hidden="false" customHeight="false" outlineLevel="0" collapsed="false">
      <c r="A92" s="34"/>
      <c r="B92" s="43"/>
      <c r="C92" s="10" t="str">
        <f aca="false">IF($B92="","",IFERROR(INDEX(案件管理!$B$3:$B$202,MATCH($B92,案件管理!$A$3:$A$202,0)),"←IDが未登録です"))</f>
        <v/>
      </c>
      <c r="D92" s="31"/>
      <c r="E92" s="31"/>
      <c r="F92" s="44"/>
      <c r="G92" s="26" t="str">
        <f aca="false">IF(N($F92)=0,"",$F92/マスタ!$B$5)</f>
        <v/>
      </c>
      <c r="H92" s="8"/>
    </row>
    <row r="93" customFormat="false" ht="15" hidden="false" customHeight="false" outlineLevel="0" collapsed="false">
      <c r="A93" s="34"/>
      <c r="B93" s="43"/>
      <c r="C93" s="10" t="str">
        <f aca="false">IF($B93="","",IFERROR(INDEX(案件管理!$B$3:$B$202,MATCH($B93,案件管理!$A$3:$A$202,0)),"←IDが未登録です"))</f>
        <v/>
      </c>
      <c r="D93" s="31"/>
      <c r="E93" s="31"/>
      <c r="F93" s="44"/>
      <c r="G93" s="26" t="str">
        <f aca="false">IF(N($F93)=0,"",$F93/マスタ!$B$5)</f>
        <v/>
      </c>
      <c r="H93" s="8"/>
    </row>
    <row r="94" customFormat="false" ht="15" hidden="false" customHeight="false" outlineLevel="0" collapsed="false">
      <c r="A94" s="34"/>
      <c r="B94" s="43"/>
      <c r="C94" s="10" t="str">
        <f aca="false">IF($B94="","",IFERROR(INDEX(案件管理!$B$3:$B$202,MATCH($B94,案件管理!$A$3:$A$202,0)),"←IDが未登録です"))</f>
        <v/>
      </c>
      <c r="D94" s="31"/>
      <c r="E94" s="31"/>
      <c r="F94" s="44"/>
      <c r="G94" s="26" t="str">
        <f aca="false">IF(N($F94)=0,"",$F94/マスタ!$B$5)</f>
        <v/>
      </c>
      <c r="H94" s="8"/>
    </row>
    <row r="95" customFormat="false" ht="15" hidden="false" customHeight="false" outlineLevel="0" collapsed="false">
      <c r="A95" s="34"/>
      <c r="B95" s="43"/>
      <c r="C95" s="10" t="str">
        <f aca="false">IF($B95="","",IFERROR(INDEX(案件管理!$B$3:$B$202,MATCH($B95,案件管理!$A$3:$A$202,0)),"←IDが未登録です"))</f>
        <v/>
      </c>
      <c r="D95" s="31"/>
      <c r="E95" s="31"/>
      <c r="F95" s="44"/>
      <c r="G95" s="26" t="str">
        <f aca="false">IF(N($F95)=0,"",$F95/マスタ!$B$5)</f>
        <v/>
      </c>
      <c r="H95" s="8"/>
    </row>
    <row r="96" customFormat="false" ht="15" hidden="false" customHeight="false" outlineLevel="0" collapsed="false">
      <c r="A96" s="34"/>
      <c r="B96" s="43"/>
      <c r="C96" s="10" t="str">
        <f aca="false">IF($B96="","",IFERROR(INDEX(案件管理!$B$3:$B$202,MATCH($B96,案件管理!$A$3:$A$202,0)),"←IDが未登録です"))</f>
        <v/>
      </c>
      <c r="D96" s="31"/>
      <c r="E96" s="31"/>
      <c r="F96" s="44"/>
      <c r="G96" s="26" t="str">
        <f aca="false">IF(N($F96)=0,"",$F96/マスタ!$B$5)</f>
        <v/>
      </c>
      <c r="H96" s="8"/>
    </row>
    <row r="97" customFormat="false" ht="15" hidden="false" customHeight="false" outlineLevel="0" collapsed="false">
      <c r="A97" s="34"/>
      <c r="B97" s="43"/>
      <c r="C97" s="10" t="str">
        <f aca="false">IF($B97="","",IFERROR(INDEX(案件管理!$B$3:$B$202,MATCH($B97,案件管理!$A$3:$A$202,0)),"←IDが未登録です"))</f>
        <v/>
      </c>
      <c r="D97" s="31"/>
      <c r="E97" s="31"/>
      <c r="F97" s="44"/>
      <c r="G97" s="26" t="str">
        <f aca="false">IF(N($F97)=0,"",$F97/マスタ!$B$5)</f>
        <v/>
      </c>
      <c r="H97" s="8"/>
    </row>
    <row r="98" customFormat="false" ht="15" hidden="false" customHeight="false" outlineLevel="0" collapsed="false">
      <c r="A98" s="34"/>
      <c r="B98" s="43"/>
      <c r="C98" s="10" t="str">
        <f aca="false">IF($B98="","",IFERROR(INDEX(案件管理!$B$3:$B$202,MATCH($B98,案件管理!$A$3:$A$202,0)),"←IDが未登録です"))</f>
        <v/>
      </c>
      <c r="D98" s="31"/>
      <c r="E98" s="31"/>
      <c r="F98" s="44"/>
      <c r="G98" s="26" t="str">
        <f aca="false">IF(N($F98)=0,"",$F98/マスタ!$B$5)</f>
        <v/>
      </c>
      <c r="H98" s="8"/>
    </row>
    <row r="99" customFormat="false" ht="15" hidden="false" customHeight="false" outlineLevel="0" collapsed="false">
      <c r="A99" s="34"/>
      <c r="B99" s="43"/>
      <c r="C99" s="10" t="str">
        <f aca="false">IF($B99="","",IFERROR(INDEX(案件管理!$B$3:$B$202,MATCH($B99,案件管理!$A$3:$A$202,0)),"←IDが未登録です"))</f>
        <v/>
      </c>
      <c r="D99" s="31"/>
      <c r="E99" s="31"/>
      <c r="F99" s="44"/>
      <c r="G99" s="26" t="str">
        <f aca="false">IF(N($F99)=0,"",$F99/マスタ!$B$5)</f>
        <v/>
      </c>
      <c r="H99" s="8"/>
    </row>
    <row r="100" customFormat="false" ht="15" hidden="false" customHeight="false" outlineLevel="0" collapsed="false">
      <c r="A100" s="34"/>
      <c r="B100" s="43"/>
      <c r="C100" s="10" t="str">
        <f aca="false">IF($B100="","",IFERROR(INDEX(案件管理!$B$3:$B$202,MATCH($B100,案件管理!$A$3:$A$202,0)),"←IDが未登録です"))</f>
        <v/>
      </c>
      <c r="D100" s="31"/>
      <c r="E100" s="31"/>
      <c r="F100" s="44"/>
      <c r="G100" s="26" t="str">
        <f aca="false">IF(N($F100)=0,"",$F100/マスタ!$B$5)</f>
        <v/>
      </c>
      <c r="H100" s="8"/>
    </row>
    <row r="101" customFormat="false" ht="15" hidden="false" customHeight="false" outlineLevel="0" collapsed="false">
      <c r="A101" s="34"/>
      <c r="B101" s="43"/>
      <c r="C101" s="10" t="str">
        <f aca="false">IF($B101="","",IFERROR(INDEX(案件管理!$B$3:$B$202,MATCH($B101,案件管理!$A$3:$A$202,0)),"←IDが未登録です"))</f>
        <v/>
      </c>
      <c r="D101" s="31"/>
      <c r="E101" s="31"/>
      <c r="F101" s="44"/>
      <c r="G101" s="26" t="str">
        <f aca="false">IF(N($F101)=0,"",$F101/マスタ!$B$5)</f>
        <v/>
      </c>
      <c r="H101" s="8"/>
    </row>
    <row r="102" customFormat="false" ht="15" hidden="false" customHeight="false" outlineLevel="0" collapsed="false">
      <c r="A102" s="34"/>
      <c r="B102" s="43"/>
      <c r="C102" s="10" t="str">
        <f aca="false">IF($B102="","",IFERROR(INDEX(案件管理!$B$3:$B$202,MATCH($B102,案件管理!$A$3:$A$202,0)),"←IDが未登録です"))</f>
        <v/>
      </c>
      <c r="D102" s="31"/>
      <c r="E102" s="31"/>
      <c r="F102" s="44"/>
      <c r="G102" s="26" t="str">
        <f aca="false">IF(N($F102)=0,"",$F102/マスタ!$B$5)</f>
        <v/>
      </c>
      <c r="H102" s="8"/>
    </row>
    <row r="103" customFormat="false" ht="15" hidden="false" customHeight="false" outlineLevel="0" collapsed="false">
      <c r="A103" s="34"/>
      <c r="B103" s="43"/>
      <c r="C103" s="10" t="str">
        <f aca="false">IF($B103="","",IFERROR(INDEX(案件管理!$B$3:$B$202,MATCH($B103,案件管理!$A$3:$A$202,0)),"←IDが未登録です"))</f>
        <v/>
      </c>
      <c r="D103" s="31"/>
      <c r="E103" s="31"/>
      <c r="F103" s="44"/>
      <c r="G103" s="26" t="str">
        <f aca="false">IF(N($F103)=0,"",$F103/マスタ!$B$5)</f>
        <v/>
      </c>
      <c r="H103" s="8"/>
    </row>
    <row r="104" customFormat="false" ht="15" hidden="false" customHeight="false" outlineLevel="0" collapsed="false">
      <c r="A104" s="34"/>
      <c r="B104" s="43"/>
      <c r="C104" s="10" t="str">
        <f aca="false">IF($B104="","",IFERROR(INDEX(案件管理!$B$3:$B$202,MATCH($B104,案件管理!$A$3:$A$202,0)),"←IDが未登録です"))</f>
        <v/>
      </c>
      <c r="D104" s="31"/>
      <c r="E104" s="31"/>
      <c r="F104" s="44"/>
      <c r="G104" s="26" t="str">
        <f aca="false">IF(N($F104)=0,"",$F104/マスタ!$B$5)</f>
        <v/>
      </c>
      <c r="H104" s="8"/>
    </row>
    <row r="105" customFormat="false" ht="15" hidden="false" customHeight="false" outlineLevel="0" collapsed="false">
      <c r="A105" s="34"/>
      <c r="B105" s="43"/>
      <c r="C105" s="10" t="str">
        <f aca="false">IF($B105="","",IFERROR(INDEX(案件管理!$B$3:$B$202,MATCH($B105,案件管理!$A$3:$A$202,0)),"←IDが未登録です"))</f>
        <v/>
      </c>
      <c r="D105" s="31"/>
      <c r="E105" s="31"/>
      <c r="F105" s="44"/>
      <c r="G105" s="26" t="str">
        <f aca="false">IF(N($F105)=0,"",$F105/マスタ!$B$5)</f>
        <v/>
      </c>
      <c r="H105" s="8"/>
    </row>
    <row r="106" customFormat="false" ht="15" hidden="false" customHeight="false" outlineLevel="0" collapsed="false">
      <c r="A106" s="34"/>
      <c r="B106" s="43"/>
      <c r="C106" s="10" t="str">
        <f aca="false">IF($B106="","",IFERROR(INDEX(案件管理!$B$3:$B$202,MATCH($B106,案件管理!$A$3:$A$202,0)),"←IDが未登録です"))</f>
        <v/>
      </c>
      <c r="D106" s="31"/>
      <c r="E106" s="31"/>
      <c r="F106" s="44"/>
      <c r="G106" s="26" t="str">
        <f aca="false">IF(N($F106)=0,"",$F106/マスタ!$B$5)</f>
        <v/>
      </c>
      <c r="H106" s="8"/>
    </row>
    <row r="107" customFormat="false" ht="15" hidden="false" customHeight="false" outlineLevel="0" collapsed="false">
      <c r="A107" s="34"/>
      <c r="B107" s="43"/>
      <c r="C107" s="10" t="str">
        <f aca="false">IF($B107="","",IFERROR(INDEX(案件管理!$B$3:$B$202,MATCH($B107,案件管理!$A$3:$A$202,0)),"←IDが未登録です"))</f>
        <v/>
      </c>
      <c r="D107" s="31"/>
      <c r="E107" s="31"/>
      <c r="F107" s="44"/>
      <c r="G107" s="26" t="str">
        <f aca="false">IF(N($F107)=0,"",$F107/マスタ!$B$5)</f>
        <v/>
      </c>
      <c r="H107" s="8"/>
    </row>
    <row r="108" customFormat="false" ht="15" hidden="false" customHeight="false" outlineLevel="0" collapsed="false">
      <c r="A108" s="34"/>
      <c r="B108" s="43"/>
      <c r="C108" s="10" t="str">
        <f aca="false">IF($B108="","",IFERROR(INDEX(案件管理!$B$3:$B$202,MATCH($B108,案件管理!$A$3:$A$202,0)),"←IDが未登録です"))</f>
        <v/>
      </c>
      <c r="D108" s="31"/>
      <c r="E108" s="31"/>
      <c r="F108" s="44"/>
      <c r="G108" s="26" t="str">
        <f aca="false">IF(N($F108)=0,"",$F108/マスタ!$B$5)</f>
        <v/>
      </c>
      <c r="H108" s="8"/>
    </row>
    <row r="109" customFormat="false" ht="15" hidden="false" customHeight="false" outlineLevel="0" collapsed="false">
      <c r="A109" s="34"/>
      <c r="B109" s="43"/>
      <c r="C109" s="10" t="str">
        <f aca="false">IF($B109="","",IFERROR(INDEX(案件管理!$B$3:$B$202,MATCH($B109,案件管理!$A$3:$A$202,0)),"←IDが未登録です"))</f>
        <v/>
      </c>
      <c r="D109" s="31"/>
      <c r="E109" s="31"/>
      <c r="F109" s="44"/>
      <c r="G109" s="26" t="str">
        <f aca="false">IF(N($F109)=0,"",$F109/マスタ!$B$5)</f>
        <v/>
      </c>
      <c r="H109" s="8"/>
    </row>
    <row r="110" customFormat="false" ht="15" hidden="false" customHeight="false" outlineLevel="0" collapsed="false">
      <c r="A110" s="34"/>
      <c r="B110" s="43"/>
      <c r="C110" s="10" t="str">
        <f aca="false">IF($B110="","",IFERROR(INDEX(案件管理!$B$3:$B$202,MATCH($B110,案件管理!$A$3:$A$202,0)),"←IDが未登録です"))</f>
        <v/>
      </c>
      <c r="D110" s="31"/>
      <c r="E110" s="31"/>
      <c r="F110" s="44"/>
      <c r="G110" s="26" t="str">
        <f aca="false">IF(N($F110)=0,"",$F110/マスタ!$B$5)</f>
        <v/>
      </c>
      <c r="H110" s="8"/>
    </row>
    <row r="111" customFormat="false" ht="15" hidden="false" customHeight="false" outlineLevel="0" collapsed="false">
      <c r="A111" s="34"/>
      <c r="B111" s="43"/>
      <c r="C111" s="10" t="str">
        <f aca="false">IF($B111="","",IFERROR(INDEX(案件管理!$B$3:$B$202,MATCH($B111,案件管理!$A$3:$A$202,0)),"←IDが未登録です"))</f>
        <v/>
      </c>
      <c r="D111" s="31"/>
      <c r="E111" s="31"/>
      <c r="F111" s="44"/>
      <c r="G111" s="26" t="str">
        <f aca="false">IF(N($F111)=0,"",$F111/マスタ!$B$5)</f>
        <v/>
      </c>
      <c r="H111" s="8"/>
    </row>
    <row r="112" customFormat="false" ht="15" hidden="false" customHeight="false" outlineLevel="0" collapsed="false">
      <c r="A112" s="34"/>
      <c r="B112" s="43"/>
      <c r="C112" s="10" t="str">
        <f aca="false">IF($B112="","",IFERROR(INDEX(案件管理!$B$3:$B$202,MATCH($B112,案件管理!$A$3:$A$202,0)),"←IDが未登録です"))</f>
        <v/>
      </c>
      <c r="D112" s="31"/>
      <c r="E112" s="31"/>
      <c r="F112" s="44"/>
      <c r="G112" s="26" t="str">
        <f aca="false">IF(N($F112)=0,"",$F112/マスタ!$B$5)</f>
        <v/>
      </c>
      <c r="H112" s="8"/>
    </row>
    <row r="113" customFormat="false" ht="15" hidden="false" customHeight="false" outlineLevel="0" collapsed="false">
      <c r="A113" s="34"/>
      <c r="B113" s="43"/>
      <c r="C113" s="10" t="str">
        <f aca="false">IF($B113="","",IFERROR(INDEX(案件管理!$B$3:$B$202,MATCH($B113,案件管理!$A$3:$A$202,0)),"←IDが未登録です"))</f>
        <v/>
      </c>
      <c r="D113" s="31"/>
      <c r="E113" s="31"/>
      <c r="F113" s="44"/>
      <c r="G113" s="26" t="str">
        <f aca="false">IF(N($F113)=0,"",$F113/マスタ!$B$5)</f>
        <v/>
      </c>
      <c r="H113" s="8"/>
    </row>
    <row r="114" customFormat="false" ht="15" hidden="false" customHeight="false" outlineLevel="0" collapsed="false">
      <c r="A114" s="34"/>
      <c r="B114" s="43"/>
      <c r="C114" s="10" t="str">
        <f aca="false">IF($B114="","",IFERROR(INDEX(案件管理!$B$3:$B$202,MATCH($B114,案件管理!$A$3:$A$202,0)),"←IDが未登録です"))</f>
        <v/>
      </c>
      <c r="D114" s="31"/>
      <c r="E114" s="31"/>
      <c r="F114" s="44"/>
      <c r="G114" s="26" t="str">
        <f aca="false">IF(N($F114)=0,"",$F114/マスタ!$B$5)</f>
        <v/>
      </c>
      <c r="H114" s="8"/>
    </row>
    <row r="115" customFormat="false" ht="15" hidden="false" customHeight="false" outlineLevel="0" collapsed="false">
      <c r="A115" s="34"/>
      <c r="B115" s="43"/>
      <c r="C115" s="10" t="str">
        <f aca="false">IF($B115="","",IFERROR(INDEX(案件管理!$B$3:$B$202,MATCH($B115,案件管理!$A$3:$A$202,0)),"←IDが未登録です"))</f>
        <v/>
      </c>
      <c r="D115" s="31"/>
      <c r="E115" s="31"/>
      <c r="F115" s="44"/>
      <c r="G115" s="26" t="str">
        <f aca="false">IF(N($F115)=0,"",$F115/マスタ!$B$5)</f>
        <v/>
      </c>
      <c r="H115" s="8"/>
    </row>
    <row r="116" customFormat="false" ht="15" hidden="false" customHeight="false" outlineLevel="0" collapsed="false">
      <c r="A116" s="34"/>
      <c r="B116" s="43"/>
      <c r="C116" s="10" t="str">
        <f aca="false">IF($B116="","",IFERROR(INDEX(案件管理!$B$3:$B$202,MATCH($B116,案件管理!$A$3:$A$202,0)),"←IDが未登録です"))</f>
        <v/>
      </c>
      <c r="D116" s="31"/>
      <c r="E116" s="31"/>
      <c r="F116" s="44"/>
      <c r="G116" s="26" t="str">
        <f aca="false">IF(N($F116)=0,"",$F116/マスタ!$B$5)</f>
        <v/>
      </c>
      <c r="H116" s="8"/>
    </row>
    <row r="117" customFormat="false" ht="15" hidden="false" customHeight="false" outlineLevel="0" collapsed="false">
      <c r="A117" s="34"/>
      <c r="B117" s="43"/>
      <c r="C117" s="10" t="str">
        <f aca="false">IF($B117="","",IFERROR(INDEX(案件管理!$B$3:$B$202,MATCH($B117,案件管理!$A$3:$A$202,0)),"←IDが未登録です"))</f>
        <v/>
      </c>
      <c r="D117" s="31"/>
      <c r="E117" s="31"/>
      <c r="F117" s="44"/>
      <c r="G117" s="26" t="str">
        <f aca="false">IF(N($F117)=0,"",$F117/マスタ!$B$5)</f>
        <v/>
      </c>
      <c r="H117" s="8"/>
    </row>
    <row r="118" customFormat="false" ht="15" hidden="false" customHeight="false" outlineLevel="0" collapsed="false">
      <c r="A118" s="34"/>
      <c r="B118" s="43"/>
      <c r="C118" s="10" t="str">
        <f aca="false">IF($B118="","",IFERROR(INDEX(案件管理!$B$3:$B$202,MATCH($B118,案件管理!$A$3:$A$202,0)),"←IDが未登録です"))</f>
        <v/>
      </c>
      <c r="D118" s="31"/>
      <c r="E118" s="31"/>
      <c r="F118" s="44"/>
      <c r="G118" s="26" t="str">
        <f aca="false">IF(N($F118)=0,"",$F118/マスタ!$B$5)</f>
        <v/>
      </c>
      <c r="H118" s="8"/>
    </row>
    <row r="119" customFormat="false" ht="15" hidden="false" customHeight="false" outlineLevel="0" collapsed="false">
      <c r="A119" s="34"/>
      <c r="B119" s="43"/>
      <c r="C119" s="10" t="str">
        <f aca="false">IF($B119="","",IFERROR(INDEX(案件管理!$B$3:$B$202,MATCH($B119,案件管理!$A$3:$A$202,0)),"←IDが未登録です"))</f>
        <v/>
      </c>
      <c r="D119" s="31"/>
      <c r="E119" s="31"/>
      <c r="F119" s="44"/>
      <c r="G119" s="26" t="str">
        <f aca="false">IF(N($F119)=0,"",$F119/マスタ!$B$5)</f>
        <v/>
      </c>
      <c r="H119" s="8"/>
    </row>
    <row r="120" customFormat="false" ht="15" hidden="false" customHeight="false" outlineLevel="0" collapsed="false">
      <c r="A120" s="34"/>
      <c r="B120" s="43"/>
      <c r="C120" s="10" t="str">
        <f aca="false">IF($B120="","",IFERROR(INDEX(案件管理!$B$3:$B$202,MATCH($B120,案件管理!$A$3:$A$202,0)),"←IDが未登録です"))</f>
        <v/>
      </c>
      <c r="D120" s="31"/>
      <c r="E120" s="31"/>
      <c r="F120" s="44"/>
      <c r="G120" s="26" t="str">
        <f aca="false">IF(N($F120)=0,"",$F120/マスタ!$B$5)</f>
        <v/>
      </c>
      <c r="H120" s="8"/>
    </row>
    <row r="121" customFormat="false" ht="15" hidden="false" customHeight="false" outlineLevel="0" collapsed="false">
      <c r="A121" s="34"/>
      <c r="B121" s="43"/>
      <c r="C121" s="10" t="str">
        <f aca="false">IF($B121="","",IFERROR(INDEX(案件管理!$B$3:$B$202,MATCH($B121,案件管理!$A$3:$A$202,0)),"←IDが未登録です"))</f>
        <v/>
      </c>
      <c r="D121" s="31"/>
      <c r="E121" s="31"/>
      <c r="F121" s="44"/>
      <c r="G121" s="26" t="str">
        <f aca="false">IF(N($F121)=0,"",$F121/マスタ!$B$5)</f>
        <v/>
      </c>
      <c r="H121" s="8"/>
    </row>
    <row r="122" customFormat="false" ht="15" hidden="false" customHeight="false" outlineLevel="0" collapsed="false">
      <c r="A122" s="34"/>
      <c r="B122" s="43"/>
      <c r="C122" s="10" t="str">
        <f aca="false">IF($B122="","",IFERROR(INDEX(案件管理!$B$3:$B$202,MATCH($B122,案件管理!$A$3:$A$202,0)),"←IDが未登録です"))</f>
        <v/>
      </c>
      <c r="D122" s="31"/>
      <c r="E122" s="31"/>
      <c r="F122" s="44"/>
      <c r="G122" s="26" t="str">
        <f aca="false">IF(N($F122)=0,"",$F122/マスタ!$B$5)</f>
        <v/>
      </c>
      <c r="H122" s="8"/>
    </row>
    <row r="123" customFormat="false" ht="15" hidden="false" customHeight="false" outlineLevel="0" collapsed="false">
      <c r="A123" s="34"/>
      <c r="B123" s="43"/>
      <c r="C123" s="10" t="str">
        <f aca="false">IF($B123="","",IFERROR(INDEX(案件管理!$B$3:$B$202,MATCH($B123,案件管理!$A$3:$A$202,0)),"←IDが未登録です"))</f>
        <v/>
      </c>
      <c r="D123" s="31"/>
      <c r="E123" s="31"/>
      <c r="F123" s="44"/>
      <c r="G123" s="26" t="str">
        <f aca="false">IF(N($F123)=0,"",$F123/マスタ!$B$5)</f>
        <v/>
      </c>
      <c r="H123" s="8"/>
    </row>
    <row r="124" customFormat="false" ht="15" hidden="false" customHeight="false" outlineLevel="0" collapsed="false">
      <c r="A124" s="34"/>
      <c r="B124" s="43"/>
      <c r="C124" s="10" t="str">
        <f aca="false">IF($B124="","",IFERROR(INDEX(案件管理!$B$3:$B$202,MATCH($B124,案件管理!$A$3:$A$202,0)),"←IDが未登録です"))</f>
        <v/>
      </c>
      <c r="D124" s="31"/>
      <c r="E124" s="31"/>
      <c r="F124" s="44"/>
      <c r="G124" s="26" t="str">
        <f aca="false">IF(N($F124)=0,"",$F124/マスタ!$B$5)</f>
        <v/>
      </c>
      <c r="H124" s="8"/>
    </row>
    <row r="125" customFormat="false" ht="15" hidden="false" customHeight="false" outlineLevel="0" collapsed="false">
      <c r="A125" s="34"/>
      <c r="B125" s="43"/>
      <c r="C125" s="10" t="str">
        <f aca="false">IF($B125="","",IFERROR(INDEX(案件管理!$B$3:$B$202,MATCH($B125,案件管理!$A$3:$A$202,0)),"←IDが未登録です"))</f>
        <v/>
      </c>
      <c r="D125" s="31"/>
      <c r="E125" s="31"/>
      <c r="F125" s="44"/>
      <c r="G125" s="26" t="str">
        <f aca="false">IF(N($F125)=0,"",$F125/マスタ!$B$5)</f>
        <v/>
      </c>
      <c r="H125" s="8"/>
    </row>
    <row r="126" customFormat="false" ht="15" hidden="false" customHeight="false" outlineLevel="0" collapsed="false">
      <c r="A126" s="34"/>
      <c r="B126" s="43"/>
      <c r="C126" s="10" t="str">
        <f aca="false">IF($B126="","",IFERROR(INDEX(案件管理!$B$3:$B$202,MATCH($B126,案件管理!$A$3:$A$202,0)),"←IDが未登録です"))</f>
        <v/>
      </c>
      <c r="D126" s="31"/>
      <c r="E126" s="31"/>
      <c r="F126" s="44"/>
      <c r="G126" s="26" t="str">
        <f aca="false">IF(N($F126)=0,"",$F126/マスタ!$B$5)</f>
        <v/>
      </c>
      <c r="H126" s="8"/>
    </row>
    <row r="127" customFormat="false" ht="15" hidden="false" customHeight="false" outlineLevel="0" collapsed="false">
      <c r="A127" s="34"/>
      <c r="B127" s="43"/>
      <c r="C127" s="10" t="str">
        <f aca="false">IF($B127="","",IFERROR(INDEX(案件管理!$B$3:$B$202,MATCH($B127,案件管理!$A$3:$A$202,0)),"←IDが未登録です"))</f>
        <v/>
      </c>
      <c r="D127" s="31"/>
      <c r="E127" s="31"/>
      <c r="F127" s="44"/>
      <c r="G127" s="26" t="str">
        <f aca="false">IF(N($F127)=0,"",$F127/マスタ!$B$5)</f>
        <v/>
      </c>
      <c r="H127" s="8"/>
    </row>
    <row r="128" customFormat="false" ht="15" hidden="false" customHeight="false" outlineLevel="0" collapsed="false">
      <c r="A128" s="34"/>
      <c r="B128" s="43"/>
      <c r="C128" s="10" t="str">
        <f aca="false">IF($B128="","",IFERROR(INDEX(案件管理!$B$3:$B$202,MATCH($B128,案件管理!$A$3:$A$202,0)),"←IDが未登録です"))</f>
        <v/>
      </c>
      <c r="D128" s="31"/>
      <c r="E128" s="31"/>
      <c r="F128" s="44"/>
      <c r="G128" s="26" t="str">
        <f aca="false">IF(N($F128)=0,"",$F128/マスタ!$B$5)</f>
        <v/>
      </c>
      <c r="H128" s="8"/>
    </row>
    <row r="129" customFormat="false" ht="15" hidden="false" customHeight="false" outlineLevel="0" collapsed="false">
      <c r="A129" s="34"/>
      <c r="B129" s="43"/>
      <c r="C129" s="10" t="str">
        <f aca="false">IF($B129="","",IFERROR(INDEX(案件管理!$B$3:$B$202,MATCH($B129,案件管理!$A$3:$A$202,0)),"←IDが未登録です"))</f>
        <v/>
      </c>
      <c r="D129" s="31"/>
      <c r="E129" s="31"/>
      <c r="F129" s="44"/>
      <c r="G129" s="26" t="str">
        <f aca="false">IF(N($F129)=0,"",$F129/マスタ!$B$5)</f>
        <v/>
      </c>
      <c r="H129" s="8"/>
    </row>
    <row r="130" customFormat="false" ht="15" hidden="false" customHeight="false" outlineLevel="0" collapsed="false">
      <c r="A130" s="34"/>
      <c r="B130" s="43"/>
      <c r="C130" s="10" t="str">
        <f aca="false">IF($B130="","",IFERROR(INDEX(案件管理!$B$3:$B$202,MATCH($B130,案件管理!$A$3:$A$202,0)),"←IDが未登録です"))</f>
        <v/>
      </c>
      <c r="D130" s="31"/>
      <c r="E130" s="31"/>
      <c r="F130" s="44"/>
      <c r="G130" s="26" t="str">
        <f aca="false">IF(N($F130)=0,"",$F130/マスタ!$B$5)</f>
        <v/>
      </c>
      <c r="H130" s="8"/>
    </row>
    <row r="131" customFormat="false" ht="15" hidden="false" customHeight="false" outlineLevel="0" collapsed="false">
      <c r="A131" s="34"/>
      <c r="B131" s="43"/>
      <c r="C131" s="10" t="str">
        <f aca="false">IF($B131="","",IFERROR(INDEX(案件管理!$B$3:$B$202,MATCH($B131,案件管理!$A$3:$A$202,0)),"←IDが未登録です"))</f>
        <v/>
      </c>
      <c r="D131" s="31"/>
      <c r="E131" s="31"/>
      <c r="F131" s="44"/>
      <c r="G131" s="26" t="str">
        <f aca="false">IF(N($F131)=0,"",$F131/マスタ!$B$5)</f>
        <v/>
      </c>
      <c r="H131" s="8"/>
    </row>
    <row r="132" customFormat="false" ht="15" hidden="false" customHeight="false" outlineLevel="0" collapsed="false">
      <c r="A132" s="34"/>
      <c r="B132" s="43"/>
      <c r="C132" s="10" t="str">
        <f aca="false">IF($B132="","",IFERROR(INDEX(案件管理!$B$3:$B$202,MATCH($B132,案件管理!$A$3:$A$202,0)),"←IDが未登録です"))</f>
        <v/>
      </c>
      <c r="D132" s="31"/>
      <c r="E132" s="31"/>
      <c r="F132" s="44"/>
      <c r="G132" s="26" t="str">
        <f aca="false">IF(N($F132)=0,"",$F132/マスタ!$B$5)</f>
        <v/>
      </c>
      <c r="H132" s="8"/>
    </row>
    <row r="133" customFormat="false" ht="15" hidden="false" customHeight="false" outlineLevel="0" collapsed="false">
      <c r="A133" s="34"/>
      <c r="B133" s="43"/>
      <c r="C133" s="10" t="str">
        <f aca="false">IF($B133="","",IFERROR(INDEX(案件管理!$B$3:$B$202,MATCH($B133,案件管理!$A$3:$A$202,0)),"←IDが未登録です"))</f>
        <v/>
      </c>
      <c r="D133" s="31"/>
      <c r="E133" s="31"/>
      <c r="F133" s="44"/>
      <c r="G133" s="26" t="str">
        <f aca="false">IF(N($F133)=0,"",$F133/マスタ!$B$5)</f>
        <v/>
      </c>
      <c r="H133" s="8"/>
    </row>
    <row r="134" customFormat="false" ht="15" hidden="false" customHeight="false" outlineLevel="0" collapsed="false">
      <c r="A134" s="34"/>
      <c r="B134" s="43"/>
      <c r="C134" s="10" t="str">
        <f aca="false">IF($B134="","",IFERROR(INDEX(案件管理!$B$3:$B$202,MATCH($B134,案件管理!$A$3:$A$202,0)),"←IDが未登録です"))</f>
        <v/>
      </c>
      <c r="D134" s="31"/>
      <c r="E134" s="31"/>
      <c r="F134" s="44"/>
      <c r="G134" s="26" t="str">
        <f aca="false">IF(N($F134)=0,"",$F134/マスタ!$B$5)</f>
        <v/>
      </c>
      <c r="H134" s="8"/>
    </row>
    <row r="135" customFormat="false" ht="15" hidden="false" customHeight="false" outlineLevel="0" collapsed="false">
      <c r="A135" s="34"/>
      <c r="B135" s="43"/>
      <c r="C135" s="10" t="str">
        <f aca="false">IF($B135="","",IFERROR(INDEX(案件管理!$B$3:$B$202,MATCH($B135,案件管理!$A$3:$A$202,0)),"←IDが未登録です"))</f>
        <v/>
      </c>
      <c r="D135" s="31"/>
      <c r="E135" s="31"/>
      <c r="F135" s="44"/>
      <c r="G135" s="26" t="str">
        <f aca="false">IF(N($F135)=0,"",$F135/マスタ!$B$5)</f>
        <v/>
      </c>
      <c r="H135" s="8"/>
    </row>
    <row r="136" customFormat="false" ht="15" hidden="false" customHeight="false" outlineLevel="0" collapsed="false">
      <c r="A136" s="34"/>
      <c r="B136" s="43"/>
      <c r="C136" s="10" t="str">
        <f aca="false">IF($B136="","",IFERROR(INDEX(案件管理!$B$3:$B$202,MATCH($B136,案件管理!$A$3:$A$202,0)),"←IDが未登録です"))</f>
        <v/>
      </c>
      <c r="D136" s="31"/>
      <c r="E136" s="31"/>
      <c r="F136" s="44"/>
      <c r="G136" s="26" t="str">
        <f aca="false">IF(N($F136)=0,"",$F136/マスタ!$B$5)</f>
        <v/>
      </c>
      <c r="H136" s="8"/>
    </row>
    <row r="137" customFormat="false" ht="15" hidden="false" customHeight="false" outlineLevel="0" collapsed="false">
      <c r="A137" s="34"/>
      <c r="B137" s="43"/>
      <c r="C137" s="10" t="str">
        <f aca="false">IF($B137="","",IFERROR(INDEX(案件管理!$B$3:$B$202,MATCH($B137,案件管理!$A$3:$A$202,0)),"←IDが未登録です"))</f>
        <v/>
      </c>
      <c r="D137" s="31"/>
      <c r="E137" s="31"/>
      <c r="F137" s="44"/>
      <c r="G137" s="26" t="str">
        <f aca="false">IF(N($F137)=0,"",$F137/マスタ!$B$5)</f>
        <v/>
      </c>
      <c r="H137" s="8"/>
    </row>
    <row r="138" customFormat="false" ht="15" hidden="false" customHeight="false" outlineLevel="0" collapsed="false">
      <c r="A138" s="34"/>
      <c r="B138" s="43"/>
      <c r="C138" s="10" t="str">
        <f aca="false">IF($B138="","",IFERROR(INDEX(案件管理!$B$3:$B$202,MATCH($B138,案件管理!$A$3:$A$202,0)),"←IDが未登録です"))</f>
        <v/>
      </c>
      <c r="D138" s="31"/>
      <c r="E138" s="31"/>
      <c r="F138" s="44"/>
      <c r="G138" s="26" t="str">
        <f aca="false">IF(N($F138)=0,"",$F138/マスタ!$B$5)</f>
        <v/>
      </c>
      <c r="H138" s="8"/>
    </row>
    <row r="139" customFormat="false" ht="15" hidden="false" customHeight="false" outlineLevel="0" collapsed="false">
      <c r="A139" s="34"/>
      <c r="B139" s="43"/>
      <c r="C139" s="10" t="str">
        <f aca="false">IF($B139="","",IFERROR(INDEX(案件管理!$B$3:$B$202,MATCH($B139,案件管理!$A$3:$A$202,0)),"←IDが未登録です"))</f>
        <v/>
      </c>
      <c r="D139" s="31"/>
      <c r="E139" s="31"/>
      <c r="F139" s="44"/>
      <c r="G139" s="26" t="str">
        <f aca="false">IF(N($F139)=0,"",$F139/マスタ!$B$5)</f>
        <v/>
      </c>
      <c r="H139" s="8"/>
    </row>
    <row r="140" customFormat="false" ht="15" hidden="false" customHeight="false" outlineLevel="0" collapsed="false">
      <c r="A140" s="34"/>
      <c r="B140" s="43"/>
      <c r="C140" s="10" t="str">
        <f aca="false">IF($B140="","",IFERROR(INDEX(案件管理!$B$3:$B$202,MATCH($B140,案件管理!$A$3:$A$202,0)),"←IDが未登録です"))</f>
        <v/>
      </c>
      <c r="D140" s="31"/>
      <c r="E140" s="31"/>
      <c r="F140" s="44"/>
      <c r="G140" s="26" t="str">
        <f aca="false">IF(N($F140)=0,"",$F140/マスタ!$B$5)</f>
        <v/>
      </c>
      <c r="H140" s="8"/>
    </row>
    <row r="141" customFormat="false" ht="15" hidden="false" customHeight="false" outlineLevel="0" collapsed="false">
      <c r="A141" s="34"/>
      <c r="B141" s="43"/>
      <c r="C141" s="10" t="str">
        <f aca="false">IF($B141="","",IFERROR(INDEX(案件管理!$B$3:$B$202,MATCH($B141,案件管理!$A$3:$A$202,0)),"←IDが未登録です"))</f>
        <v/>
      </c>
      <c r="D141" s="31"/>
      <c r="E141" s="31"/>
      <c r="F141" s="44"/>
      <c r="G141" s="26" t="str">
        <f aca="false">IF(N($F141)=0,"",$F141/マスタ!$B$5)</f>
        <v/>
      </c>
      <c r="H141" s="8"/>
    </row>
    <row r="142" customFormat="false" ht="15" hidden="false" customHeight="false" outlineLevel="0" collapsed="false">
      <c r="A142" s="34"/>
      <c r="B142" s="43"/>
      <c r="C142" s="10" t="str">
        <f aca="false">IF($B142="","",IFERROR(INDEX(案件管理!$B$3:$B$202,MATCH($B142,案件管理!$A$3:$A$202,0)),"←IDが未登録です"))</f>
        <v/>
      </c>
      <c r="D142" s="31"/>
      <c r="E142" s="31"/>
      <c r="F142" s="44"/>
      <c r="G142" s="26" t="str">
        <f aca="false">IF(N($F142)=0,"",$F142/マスタ!$B$5)</f>
        <v/>
      </c>
      <c r="H142" s="8"/>
    </row>
    <row r="143" customFormat="false" ht="15" hidden="false" customHeight="false" outlineLevel="0" collapsed="false">
      <c r="A143" s="34"/>
      <c r="B143" s="43"/>
      <c r="C143" s="10" t="str">
        <f aca="false">IF($B143="","",IFERROR(INDEX(案件管理!$B$3:$B$202,MATCH($B143,案件管理!$A$3:$A$202,0)),"←IDが未登録です"))</f>
        <v/>
      </c>
      <c r="D143" s="31"/>
      <c r="E143" s="31"/>
      <c r="F143" s="44"/>
      <c r="G143" s="26" t="str">
        <f aca="false">IF(N($F143)=0,"",$F143/マスタ!$B$5)</f>
        <v/>
      </c>
      <c r="H143" s="8"/>
    </row>
    <row r="144" customFormat="false" ht="15" hidden="false" customHeight="false" outlineLevel="0" collapsed="false">
      <c r="A144" s="34"/>
      <c r="B144" s="43"/>
      <c r="C144" s="10" t="str">
        <f aca="false">IF($B144="","",IFERROR(INDEX(案件管理!$B$3:$B$202,MATCH($B144,案件管理!$A$3:$A$202,0)),"←IDが未登録です"))</f>
        <v/>
      </c>
      <c r="D144" s="31"/>
      <c r="E144" s="31"/>
      <c r="F144" s="44"/>
      <c r="G144" s="26" t="str">
        <f aca="false">IF(N($F144)=0,"",$F144/マスタ!$B$5)</f>
        <v/>
      </c>
      <c r="H144" s="8"/>
    </row>
    <row r="145" customFormat="false" ht="15" hidden="false" customHeight="false" outlineLevel="0" collapsed="false">
      <c r="A145" s="34"/>
      <c r="B145" s="43"/>
      <c r="C145" s="10" t="str">
        <f aca="false">IF($B145="","",IFERROR(INDEX(案件管理!$B$3:$B$202,MATCH($B145,案件管理!$A$3:$A$202,0)),"←IDが未登録です"))</f>
        <v/>
      </c>
      <c r="D145" s="31"/>
      <c r="E145" s="31"/>
      <c r="F145" s="44"/>
      <c r="G145" s="26" t="str">
        <f aca="false">IF(N($F145)=0,"",$F145/マスタ!$B$5)</f>
        <v/>
      </c>
      <c r="H145" s="8"/>
    </row>
    <row r="146" customFormat="false" ht="15" hidden="false" customHeight="false" outlineLevel="0" collapsed="false">
      <c r="A146" s="34"/>
      <c r="B146" s="43"/>
      <c r="C146" s="10" t="str">
        <f aca="false">IF($B146="","",IFERROR(INDEX(案件管理!$B$3:$B$202,MATCH($B146,案件管理!$A$3:$A$202,0)),"←IDが未登録です"))</f>
        <v/>
      </c>
      <c r="D146" s="31"/>
      <c r="E146" s="31"/>
      <c r="F146" s="44"/>
      <c r="G146" s="26" t="str">
        <f aca="false">IF(N($F146)=0,"",$F146/マスタ!$B$5)</f>
        <v/>
      </c>
      <c r="H146" s="8"/>
    </row>
    <row r="147" customFormat="false" ht="15" hidden="false" customHeight="false" outlineLevel="0" collapsed="false">
      <c r="A147" s="34"/>
      <c r="B147" s="43"/>
      <c r="C147" s="10" t="str">
        <f aca="false">IF($B147="","",IFERROR(INDEX(案件管理!$B$3:$B$202,MATCH($B147,案件管理!$A$3:$A$202,0)),"←IDが未登録です"))</f>
        <v/>
      </c>
      <c r="D147" s="31"/>
      <c r="E147" s="31"/>
      <c r="F147" s="44"/>
      <c r="G147" s="26" t="str">
        <f aca="false">IF(N($F147)=0,"",$F147/マスタ!$B$5)</f>
        <v/>
      </c>
      <c r="H147" s="8"/>
    </row>
    <row r="148" customFormat="false" ht="15" hidden="false" customHeight="false" outlineLevel="0" collapsed="false">
      <c r="A148" s="34"/>
      <c r="B148" s="43"/>
      <c r="C148" s="10" t="str">
        <f aca="false">IF($B148="","",IFERROR(INDEX(案件管理!$B$3:$B$202,MATCH($B148,案件管理!$A$3:$A$202,0)),"←IDが未登録です"))</f>
        <v/>
      </c>
      <c r="D148" s="31"/>
      <c r="E148" s="31"/>
      <c r="F148" s="44"/>
      <c r="G148" s="26" t="str">
        <f aca="false">IF(N($F148)=0,"",$F148/マスタ!$B$5)</f>
        <v/>
      </c>
      <c r="H148" s="8"/>
    </row>
    <row r="149" customFormat="false" ht="15" hidden="false" customHeight="false" outlineLevel="0" collapsed="false">
      <c r="A149" s="34"/>
      <c r="B149" s="43"/>
      <c r="C149" s="10" t="str">
        <f aca="false">IF($B149="","",IFERROR(INDEX(案件管理!$B$3:$B$202,MATCH($B149,案件管理!$A$3:$A$202,0)),"←IDが未登録です"))</f>
        <v/>
      </c>
      <c r="D149" s="31"/>
      <c r="E149" s="31"/>
      <c r="F149" s="44"/>
      <c r="G149" s="26" t="str">
        <f aca="false">IF(N($F149)=0,"",$F149/マスタ!$B$5)</f>
        <v/>
      </c>
      <c r="H149" s="8"/>
    </row>
    <row r="150" customFormat="false" ht="15" hidden="false" customHeight="false" outlineLevel="0" collapsed="false">
      <c r="A150" s="34"/>
      <c r="B150" s="43"/>
      <c r="C150" s="10" t="str">
        <f aca="false">IF($B150="","",IFERROR(INDEX(案件管理!$B$3:$B$202,MATCH($B150,案件管理!$A$3:$A$202,0)),"←IDが未登録です"))</f>
        <v/>
      </c>
      <c r="D150" s="31"/>
      <c r="E150" s="31"/>
      <c r="F150" s="44"/>
      <c r="G150" s="26" t="str">
        <f aca="false">IF(N($F150)=0,"",$F150/マスタ!$B$5)</f>
        <v/>
      </c>
      <c r="H150" s="8"/>
    </row>
    <row r="151" customFormat="false" ht="15" hidden="false" customHeight="false" outlineLevel="0" collapsed="false">
      <c r="A151" s="34"/>
      <c r="B151" s="43"/>
      <c r="C151" s="10" t="str">
        <f aca="false">IF($B151="","",IFERROR(INDEX(案件管理!$B$3:$B$202,MATCH($B151,案件管理!$A$3:$A$202,0)),"←IDが未登録です"))</f>
        <v/>
      </c>
      <c r="D151" s="31"/>
      <c r="E151" s="31"/>
      <c r="F151" s="44"/>
      <c r="G151" s="26" t="str">
        <f aca="false">IF(N($F151)=0,"",$F151/マスタ!$B$5)</f>
        <v/>
      </c>
      <c r="H151" s="8"/>
    </row>
    <row r="152" customFormat="false" ht="15" hidden="false" customHeight="false" outlineLevel="0" collapsed="false">
      <c r="A152" s="34"/>
      <c r="B152" s="43"/>
      <c r="C152" s="10" t="str">
        <f aca="false">IF($B152="","",IFERROR(INDEX(案件管理!$B$3:$B$202,MATCH($B152,案件管理!$A$3:$A$202,0)),"←IDが未登録です"))</f>
        <v/>
      </c>
      <c r="D152" s="31"/>
      <c r="E152" s="31"/>
      <c r="F152" s="44"/>
      <c r="G152" s="26" t="str">
        <f aca="false">IF(N($F152)=0,"",$F152/マスタ!$B$5)</f>
        <v/>
      </c>
      <c r="H152" s="8"/>
    </row>
    <row r="153" customFormat="false" ht="15" hidden="false" customHeight="false" outlineLevel="0" collapsed="false">
      <c r="A153" s="34"/>
      <c r="B153" s="43"/>
      <c r="C153" s="10" t="str">
        <f aca="false">IF($B153="","",IFERROR(INDEX(案件管理!$B$3:$B$202,MATCH($B153,案件管理!$A$3:$A$202,0)),"←IDが未登録です"))</f>
        <v/>
      </c>
      <c r="D153" s="31"/>
      <c r="E153" s="31"/>
      <c r="F153" s="44"/>
      <c r="G153" s="26" t="str">
        <f aca="false">IF(N($F153)=0,"",$F153/マスタ!$B$5)</f>
        <v/>
      </c>
      <c r="H153" s="8"/>
    </row>
    <row r="154" customFormat="false" ht="15" hidden="false" customHeight="false" outlineLevel="0" collapsed="false">
      <c r="A154" s="34"/>
      <c r="B154" s="43"/>
      <c r="C154" s="10" t="str">
        <f aca="false">IF($B154="","",IFERROR(INDEX(案件管理!$B$3:$B$202,MATCH($B154,案件管理!$A$3:$A$202,0)),"←IDが未登録です"))</f>
        <v/>
      </c>
      <c r="D154" s="31"/>
      <c r="E154" s="31"/>
      <c r="F154" s="44"/>
      <c r="G154" s="26" t="str">
        <f aca="false">IF(N($F154)=0,"",$F154/マスタ!$B$5)</f>
        <v/>
      </c>
      <c r="H154" s="8"/>
    </row>
    <row r="155" customFormat="false" ht="15" hidden="false" customHeight="false" outlineLevel="0" collapsed="false">
      <c r="A155" s="34"/>
      <c r="B155" s="43"/>
      <c r="C155" s="10" t="str">
        <f aca="false">IF($B155="","",IFERROR(INDEX(案件管理!$B$3:$B$202,MATCH($B155,案件管理!$A$3:$A$202,0)),"←IDが未登録です"))</f>
        <v/>
      </c>
      <c r="D155" s="31"/>
      <c r="E155" s="31"/>
      <c r="F155" s="44"/>
      <c r="G155" s="26" t="str">
        <f aca="false">IF(N($F155)=0,"",$F155/マスタ!$B$5)</f>
        <v/>
      </c>
      <c r="H155" s="8"/>
    </row>
    <row r="156" customFormat="false" ht="15" hidden="false" customHeight="false" outlineLevel="0" collapsed="false">
      <c r="A156" s="34"/>
      <c r="B156" s="43"/>
      <c r="C156" s="10" t="str">
        <f aca="false">IF($B156="","",IFERROR(INDEX(案件管理!$B$3:$B$202,MATCH($B156,案件管理!$A$3:$A$202,0)),"←IDが未登録です"))</f>
        <v/>
      </c>
      <c r="D156" s="31"/>
      <c r="E156" s="31"/>
      <c r="F156" s="44"/>
      <c r="G156" s="26" t="str">
        <f aca="false">IF(N($F156)=0,"",$F156/マスタ!$B$5)</f>
        <v/>
      </c>
      <c r="H156" s="8"/>
    </row>
    <row r="157" customFormat="false" ht="15" hidden="false" customHeight="false" outlineLevel="0" collapsed="false">
      <c r="A157" s="34"/>
      <c r="B157" s="43"/>
      <c r="C157" s="10" t="str">
        <f aca="false">IF($B157="","",IFERROR(INDEX(案件管理!$B$3:$B$202,MATCH($B157,案件管理!$A$3:$A$202,0)),"←IDが未登録です"))</f>
        <v/>
      </c>
      <c r="D157" s="31"/>
      <c r="E157" s="31"/>
      <c r="F157" s="44"/>
      <c r="G157" s="26" t="str">
        <f aca="false">IF(N($F157)=0,"",$F157/マスタ!$B$5)</f>
        <v/>
      </c>
      <c r="H157" s="8"/>
    </row>
    <row r="158" customFormat="false" ht="15" hidden="false" customHeight="false" outlineLevel="0" collapsed="false">
      <c r="A158" s="34"/>
      <c r="B158" s="43"/>
      <c r="C158" s="10" t="str">
        <f aca="false">IF($B158="","",IFERROR(INDEX(案件管理!$B$3:$B$202,MATCH($B158,案件管理!$A$3:$A$202,0)),"←IDが未登録です"))</f>
        <v/>
      </c>
      <c r="D158" s="31"/>
      <c r="E158" s="31"/>
      <c r="F158" s="44"/>
      <c r="G158" s="26" t="str">
        <f aca="false">IF(N($F158)=0,"",$F158/マスタ!$B$5)</f>
        <v/>
      </c>
      <c r="H158" s="8"/>
    </row>
    <row r="159" customFormat="false" ht="15" hidden="false" customHeight="false" outlineLevel="0" collapsed="false">
      <c r="A159" s="34"/>
      <c r="B159" s="43"/>
      <c r="C159" s="10" t="str">
        <f aca="false">IF($B159="","",IFERROR(INDEX(案件管理!$B$3:$B$202,MATCH($B159,案件管理!$A$3:$A$202,0)),"←IDが未登録です"))</f>
        <v/>
      </c>
      <c r="D159" s="31"/>
      <c r="E159" s="31"/>
      <c r="F159" s="44"/>
      <c r="G159" s="26" t="str">
        <f aca="false">IF(N($F159)=0,"",$F159/マスタ!$B$5)</f>
        <v/>
      </c>
      <c r="H159" s="8"/>
    </row>
    <row r="160" customFormat="false" ht="15" hidden="false" customHeight="false" outlineLevel="0" collapsed="false">
      <c r="A160" s="34"/>
      <c r="B160" s="43"/>
      <c r="C160" s="10" t="str">
        <f aca="false">IF($B160="","",IFERROR(INDEX(案件管理!$B$3:$B$202,MATCH($B160,案件管理!$A$3:$A$202,0)),"←IDが未登録です"))</f>
        <v/>
      </c>
      <c r="D160" s="31"/>
      <c r="E160" s="31"/>
      <c r="F160" s="44"/>
      <c r="G160" s="26" t="str">
        <f aca="false">IF(N($F160)=0,"",$F160/マスタ!$B$5)</f>
        <v/>
      </c>
      <c r="H160" s="8"/>
    </row>
    <row r="161" customFormat="false" ht="15" hidden="false" customHeight="false" outlineLevel="0" collapsed="false">
      <c r="A161" s="34"/>
      <c r="B161" s="43"/>
      <c r="C161" s="10" t="str">
        <f aca="false">IF($B161="","",IFERROR(INDEX(案件管理!$B$3:$B$202,MATCH($B161,案件管理!$A$3:$A$202,0)),"←IDが未登録です"))</f>
        <v/>
      </c>
      <c r="D161" s="31"/>
      <c r="E161" s="31"/>
      <c r="F161" s="44"/>
      <c r="G161" s="26" t="str">
        <f aca="false">IF(N($F161)=0,"",$F161/マスタ!$B$5)</f>
        <v/>
      </c>
      <c r="H161" s="8"/>
    </row>
    <row r="162" customFormat="false" ht="15" hidden="false" customHeight="false" outlineLevel="0" collapsed="false">
      <c r="A162" s="34"/>
      <c r="B162" s="43"/>
      <c r="C162" s="10" t="str">
        <f aca="false">IF($B162="","",IFERROR(INDEX(案件管理!$B$3:$B$202,MATCH($B162,案件管理!$A$3:$A$202,0)),"←IDが未登録です"))</f>
        <v/>
      </c>
      <c r="D162" s="31"/>
      <c r="E162" s="31"/>
      <c r="F162" s="44"/>
      <c r="G162" s="26" t="str">
        <f aca="false">IF(N($F162)=0,"",$F162/マスタ!$B$5)</f>
        <v/>
      </c>
      <c r="H162" s="8"/>
    </row>
    <row r="163" customFormat="false" ht="15" hidden="false" customHeight="false" outlineLevel="0" collapsed="false">
      <c r="A163" s="34"/>
      <c r="B163" s="43"/>
      <c r="C163" s="10" t="str">
        <f aca="false">IF($B163="","",IFERROR(INDEX(案件管理!$B$3:$B$202,MATCH($B163,案件管理!$A$3:$A$202,0)),"←IDが未登録です"))</f>
        <v/>
      </c>
      <c r="D163" s="31"/>
      <c r="E163" s="31"/>
      <c r="F163" s="44"/>
      <c r="G163" s="26" t="str">
        <f aca="false">IF(N($F163)=0,"",$F163/マスタ!$B$5)</f>
        <v/>
      </c>
      <c r="H163" s="8"/>
    </row>
    <row r="164" customFormat="false" ht="15" hidden="false" customHeight="false" outlineLevel="0" collapsed="false">
      <c r="A164" s="34"/>
      <c r="B164" s="43"/>
      <c r="C164" s="10" t="str">
        <f aca="false">IF($B164="","",IFERROR(INDEX(案件管理!$B$3:$B$202,MATCH($B164,案件管理!$A$3:$A$202,0)),"←IDが未登録です"))</f>
        <v/>
      </c>
      <c r="D164" s="31"/>
      <c r="E164" s="31"/>
      <c r="F164" s="44"/>
      <c r="G164" s="26" t="str">
        <f aca="false">IF(N($F164)=0,"",$F164/マスタ!$B$5)</f>
        <v/>
      </c>
      <c r="H164" s="8"/>
    </row>
    <row r="165" customFormat="false" ht="15" hidden="false" customHeight="false" outlineLevel="0" collapsed="false">
      <c r="A165" s="34"/>
      <c r="B165" s="43"/>
      <c r="C165" s="10" t="str">
        <f aca="false">IF($B165="","",IFERROR(INDEX(案件管理!$B$3:$B$202,MATCH($B165,案件管理!$A$3:$A$202,0)),"←IDが未登録です"))</f>
        <v/>
      </c>
      <c r="D165" s="31"/>
      <c r="E165" s="31"/>
      <c r="F165" s="44"/>
      <c r="G165" s="26" t="str">
        <f aca="false">IF(N($F165)=0,"",$F165/マスタ!$B$5)</f>
        <v/>
      </c>
      <c r="H165" s="8"/>
    </row>
    <row r="166" customFormat="false" ht="15" hidden="false" customHeight="false" outlineLevel="0" collapsed="false">
      <c r="A166" s="34"/>
      <c r="B166" s="43"/>
      <c r="C166" s="10" t="str">
        <f aca="false">IF($B166="","",IFERROR(INDEX(案件管理!$B$3:$B$202,MATCH($B166,案件管理!$A$3:$A$202,0)),"←IDが未登録です"))</f>
        <v/>
      </c>
      <c r="D166" s="31"/>
      <c r="E166" s="31"/>
      <c r="F166" s="44"/>
      <c r="G166" s="26" t="str">
        <f aca="false">IF(N($F166)=0,"",$F166/マスタ!$B$5)</f>
        <v/>
      </c>
      <c r="H166" s="8"/>
    </row>
    <row r="167" customFormat="false" ht="15" hidden="false" customHeight="false" outlineLevel="0" collapsed="false">
      <c r="A167" s="34"/>
      <c r="B167" s="43"/>
      <c r="C167" s="10" t="str">
        <f aca="false">IF($B167="","",IFERROR(INDEX(案件管理!$B$3:$B$202,MATCH($B167,案件管理!$A$3:$A$202,0)),"←IDが未登録です"))</f>
        <v/>
      </c>
      <c r="D167" s="31"/>
      <c r="E167" s="31"/>
      <c r="F167" s="44"/>
      <c r="G167" s="26" t="str">
        <f aca="false">IF(N($F167)=0,"",$F167/マスタ!$B$5)</f>
        <v/>
      </c>
      <c r="H167" s="8"/>
    </row>
    <row r="168" customFormat="false" ht="15" hidden="false" customHeight="false" outlineLevel="0" collapsed="false">
      <c r="A168" s="34"/>
      <c r="B168" s="43"/>
      <c r="C168" s="10" t="str">
        <f aca="false">IF($B168="","",IFERROR(INDEX(案件管理!$B$3:$B$202,MATCH($B168,案件管理!$A$3:$A$202,0)),"←IDが未登録です"))</f>
        <v/>
      </c>
      <c r="D168" s="31"/>
      <c r="E168" s="31"/>
      <c r="F168" s="44"/>
      <c r="G168" s="26" t="str">
        <f aca="false">IF(N($F168)=0,"",$F168/マスタ!$B$5)</f>
        <v/>
      </c>
      <c r="H168" s="8"/>
    </row>
    <row r="169" customFormat="false" ht="15" hidden="false" customHeight="false" outlineLevel="0" collapsed="false">
      <c r="A169" s="34"/>
      <c r="B169" s="43"/>
      <c r="C169" s="10" t="str">
        <f aca="false">IF($B169="","",IFERROR(INDEX(案件管理!$B$3:$B$202,MATCH($B169,案件管理!$A$3:$A$202,0)),"←IDが未登録です"))</f>
        <v/>
      </c>
      <c r="D169" s="31"/>
      <c r="E169" s="31"/>
      <c r="F169" s="44"/>
      <c r="G169" s="26" t="str">
        <f aca="false">IF(N($F169)=0,"",$F169/マスタ!$B$5)</f>
        <v/>
      </c>
      <c r="H169" s="8"/>
    </row>
    <row r="170" customFormat="false" ht="15" hidden="false" customHeight="false" outlineLevel="0" collapsed="false">
      <c r="A170" s="34"/>
      <c r="B170" s="43"/>
      <c r="C170" s="10" t="str">
        <f aca="false">IF($B170="","",IFERROR(INDEX(案件管理!$B$3:$B$202,MATCH($B170,案件管理!$A$3:$A$202,0)),"←IDが未登録です"))</f>
        <v/>
      </c>
      <c r="D170" s="31"/>
      <c r="E170" s="31"/>
      <c r="F170" s="44"/>
      <c r="G170" s="26" t="str">
        <f aca="false">IF(N($F170)=0,"",$F170/マスタ!$B$5)</f>
        <v/>
      </c>
      <c r="H170" s="8"/>
    </row>
    <row r="171" customFormat="false" ht="15" hidden="false" customHeight="false" outlineLevel="0" collapsed="false">
      <c r="A171" s="34"/>
      <c r="B171" s="43"/>
      <c r="C171" s="10" t="str">
        <f aca="false">IF($B171="","",IFERROR(INDEX(案件管理!$B$3:$B$202,MATCH($B171,案件管理!$A$3:$A$202,0)),"←IDが未登録です"))</f>
        <v/>
      </c>
      <c r="D171" s="31"/>
      <c r="E171" s="31"/>
      <c r="F171" s="44"/>
      <c r="G171" s="26" t="str">
        <f aca="false">IF(N($F171)=0,"",$F171/マスタ!$B$5)</f>
        <v/>
      </c>
      <c r="H171" s="8"/>
    </row>
    <row r="172" customFormat="false" ht="15" hidden="false" customHeight="false" outlineLevel="0" collapsed="false">
      <c r="A172" s="34"/>
      <c r="B172" s="43"/>
      <c r="C172" s="10" t="str">
        <f aca="false">IF($B172="","",IFERROR(INDEX(案件管理!$B$3:$B$202,MATCH($B172,案件管理!$A$3:$A$202,0)),"←IDが未登録です"))</f>
        <v/>
      </c>
      <c r="D172" s="31"/>
      <c r="E172" s="31"/>
      <c r="F172" s="44"/>
      <c r="G172" s="26" t="str">
        <f aca="false">IF(N($F172)=0,"",$F172/マスタ!$B$5)</f>
        <v/>
      </c>
      <c r="H172" s="8"/>
    </row>
    <row r="173" customFormat="false" ht="15" hidden="false" customHeight="false" outlineLevel="0" collapsed="false">
      <c r="A173" s="34"/>
      <c r="B173" s="43"/>
      <c r="C173" s="10" t="str">
        <f aca="false">IF($B173="","",IFERROR(INDEX(案件管理!$B$3:$B$202,MATCH($B173,案件管理!$A$3:$A$202,0)),"←IDが未登録です"))</f>
        <v/>
      </c>
      <c r="D173" s="31"/>
      <c r="E173" s="31"/>
      <c r="F173" s="44"/>
      <c r="G173" s="26" t="str">
        <f aca="false">IF(N($F173)=0,"",$F173/マスタ!$B$5)</f>
        <v/>
      </c>
      <c r="H173" s="8"/>
    </row>
    <row r="174" customFormat="false" ht="15" hidden="false" customHeight="false" outlineLevel="0" collapsed="false">
      <c r="A174" s="34"/>
      <c r="B174" s="43"/>
      <c r="C174" s="10" t="str">
        <f aca="false">IF($B174="","",IFERROR(INDEX(案件管理!$B$3:$B$202,MATCH($B174,案件管理!$A$3:$A$202,0)),"←IDが未登録です"))</f>
        <v/>
      </c>
      <c r="D174" s="31"/>
      <c r="E174" s="31"/>
      <c r="F174" s="44"/>
      <c r="G174" s="26" t="str">
        <f aca="false">IF(N($F174)=0,"",$F174/マスタ!$B$5)</f>
        <v/>
      </c>
      <c r="H174" s="8"/>
    </row>
    <row r="175" customFormat="false" ht="15" hidden="false" customHeight="false" outlineLevel="0" collapsed="false">
      <c r="A175" s="34"/>
      <c r="B175" s="43"/>
      <c r="C175" s="10" t="str">
        <f aca="false">IF($B175="","",IFERROR(INDEX(案件管理!$B$3:$B$202,MATCH($B175,案件管理!$A$3:$A$202,0)),"←IDが未登録です"))</f>
        <v/>
      </c>
      <c r="D175" s="31"/>
      <c r="E175" s="31"/>
      <c r="F175" s="44"/>
      <c r="G175" s="26" t="str">
        <f aca="false">IF(N($F175)=0,"",$F175/マスタ!$B$5)</f>
        <v/>
      </c>
      <c r="H175" s="8"/>
    </row>
    <row r="176" customFormat="false" ht="15" hidden="false" customHeight="false" outlineLevel="0" collapsed="false">
      <c r="A176" s="34"/>
      <c r="B176" s="43"/>
      <c r="C176" s="10" t="str">
        <f aca="false">IF($B176="","",IFERROR(INDEX(案件管理!$B$3:$B$202,MATCH($B176,案件管理!$A$3:$A$202,0)),"←IDが未登録です"))</f>
        <v/>
      </c>
      <c r="D176" s="31"/>
      <c r="E176" s="31"/>
      <c r="F176" s="44"/>
      <c r="G176" s="26" t="str">
        <f aca="false">IF(N($F176)=0,"",$F176/マスタ!$B$5)</f>
        <v/>
      </c>
      <c r="H176" s="8"/>
    </row>
    <row r="177" customFormat="false" ht="15" hidden="false" customHeight="false" outlineLevel="0" collapsed="false">
      <c r="A177" s="34"/>
      <c r="B177" s="43"/>
      <c r="C177" s="10" t="str">
        <f aca="false">IF($B177="","",IFERROR(INDEX(案件管理!$B$3:$B$202,MATCH($B177,案件管理!$A$3:$A$202,0)),"←IDが未登録です"))</f>
        <v/>
      </c>
      <c r="D177" s="31"/>
      <c r="E177" s="31"/>
      <c r="F177" s="44"/>
      <c r="G177" s="26" t="str">
        <f aca="false">IF(N($F177)=0,"",$F177/マスタ!$B$5)</f>
        <v/>
      </c>
      <c r="H177" s="8"/>
    </row>
    <row r="178" customFormat="false" ht="15" hidden="false" customHeight="false" outlineLevel="0" collapsed="false">
      <c r="A178" s="34"/>
      <c r="B178" s="43"/>
      <c r="C178" s="10" t="str">
        <f aca="false">IF($B178="","",IFERROR(INDEX(案件管理!$B$3:$B$202,MATCH($B178,案件管理!$A$3:$A$202,0)),"←IDが未登録です"))</f>
        <v/>
      </c>
      <c r="D178" s="31"/>
      <c r="E178" s="31"/>
      <c r="F178" s="44"/>
      <c r="G178" s="26" t="str">
        <f aca="false">IF(N($F178)=0,"",$F178/マスタ!$B$5)</f>
        <v/>
      </c>
      <c r="H178" s="8"/>
    </row>
    <row r="179" customFormat="false" ht="15" hidden="false" customHeight="false" outlineLevel="0" collapsed="false">
      <c r="A179" s="34"/>
      <c r="B179" s="43"/>
      <c r="C179" s="10" t="str">
        <f aca="false">IF($B179="","",IFERROR(INDEX(案件管理!$B$3:$B$202,MATCH($B179,案件管理!$A$3:$A$202,0)),"←IDが未登録です"))</f>
        <v/>
      </c>
      <c r="D179" s="31"/>
      <c r="E179" s="31"/>
      <c r="F179" s="44"/>
      <c r="G179" s="26" t="str">
        <f aca="false">IF(N($F179)=0,"",$F179/マスタ!$B$5)</f>
        <v/>
      </c>
      <c r="H179" s="8"/>
    </row>
    <row r="180" customFormat="false" ht="15" hidden="false" customHeight="false" outlineLevel="0" collapsed="false">
      <c r="A180" s="34"/>
      <c r="B180" s="43"/>
      <c r="C180" s="10" t="str">
        <f aca="false">IF($B180="","",IFERROR(INDEX(案件管理!$B$3:$B$202,MATCH($B180,案件管理!$A$3:$A$202,0)),"←IDが未登録です"))</f>
        <v/>
      </c>
      <c r="D180" s="31"/>
      <c r="E180" s="31"/>
      <c r="F180" s="44"/>
      <c r="G180" s="26" t="str">
        <f aca="false">IF(N($F180)=0,"",$F180/マスタ!$B$5)</f>
        <v/>
      </c>
      <c r="H180" s="8"/>
    </row>
    <row r="181" customFormat="false" ht="15" hidden="false" customHeight="false" outlineLevel="0" collapsed="false">
      <c r="A181" s="34"/>
      <c r="B181" s="43"/>
      <c r="C181" s="10" t="str">
        <f aca="false">IF($B181="","",IFERROR(INDEX(案件管理!$B$3:$B$202,MATCH($B181,案件管理!$A$3:$A$202,0)),"←IDが未登録です"))</f>
        <v/>
      </c>
      <c r="D181" s="31"/>
      <c r="E181" s="31"/>
      <c r="F181" s="44"/>
      <c r="G181" s="26" t="str">
        <f aca="false">IF(N($F181)=0,"",$F181/マスタ!$B$5)</f>
        <v/>
      </c>
      <c r="H181" s="8"/>
    </row>
    <row r="182" customFormat="false" ht="15" hidden="false" customHeight="false" outlineLevel="0" collapsed="false">
      <c r="A182" s="34"/>
      <c r="B182" s="43"/>
      <c r="C182" s="10" t="str">
        <f aca="false">IF($B182="","",IFERROR(INDEX(案件管理!$B$3:$B$202,MATCH($B182,案件管理!$A$3:$A$202,0)),"←IDが未登録です"))</f>
        <v/>
      </c>
      <c r="D182" s="31"/>
      <c r="E182" s="31"/>
      <c r="F182" s="44"/>
      <c r="G182" s="26" t="str">
        <f aca="false">IF(N($F182)=0,"",$F182/マスタ!$B$5)</f>
        <v/>
      </c>
      <c r="H182" s="8"/>
    </row>
    <row r="183" customFormat="false" ht="15" hidden="false" customHeight="false" outlineLevel="0" collapsed="false">
      <c r="A183" s="34"/>
      <c r="B183" s="43"/>
      <c r="C183" s="10" t="str">
        <f aca="false">IF($B183="","",IFERROR(INDEX(案件管理!$B$3:$B$202,MATCH($B183,案件管理!$A$3:$A$202,0)),"←IDが未登録です"))</f>
        <v/>
      </c>
      <c r="D183" s="31"/>
      <c r="E183" s="31"/>
      <c r="F183" s="44"/>
      <c r="G183" s="26" t="str">
        <f aca="false">IF(N($F183)=0,"",$F183/マスタ!$B$5)</f>
        <v/>
      </c>
      <c r="H183" s="8"/>
    </row>
    <row r="184" customFormat="false" ht="15" hidden="false" customHeight="false" outlineLevel="0" collapsed="false">
      <c r="A184" s="34"/>
      <c r="B184" s="43"/>
      <c r="C184" s="10" t="str">
        <f aca="false">IF($B184="","",IFERROR(INDEX(案件管理!$B$3:$B$202,MATCH($B184,案件管理!$A$3:$A$202,0)),"←IDが未登録です"))</f>
        <v/>
      </c>
      <c r="D184" s="31"/>
      <c r="E184" s="31"/>
      <c r="F184" s="44"/>
      <c r="G184" s="26" t="str">
        <f aca="false">IF(N($F184)=0,"",$F184/マスタ!$B$5)</f>
        <v/>
      </c>
      <c r="H184" s="8"/>
    </row>
    <row r="185" customFormat="false" ht="15" hidden="false" customHeight="false" outlineLevel="0" collapsed="false">
      <c r="A185" s="34"/>
      <c r="B185" s="43"/>
      <c r="C185" s="10" t="str">
        <f aca="false">IF($B185="","",IFERROR(INDEX(案件管理!$B$3:$B$202,MATCH($B185,案件管理!$A$3:$A$202,0)),"←IDが未登録です"))</f>
        <v/>
      </c>
      <c r="D185" s="31"/>
      <c r="E185" s="31"/>
      <c r="F185" s="44"/>
      <c r="G185" s="26" t="str">
        <f aca="false">IF(N($F185)=0,"",$F185/マスタ!$B$5)</f>
        <v/>
      </c>
      <c r="H185" s="8"/>
    </row>
    <row r="186" customFormat="false" ht="15" hidden="false" customHeight="false" outlineLevel="0" collapsed="false">
      <c r="A186" s="34"/>
      <c r="B186" s="43"/>
      <c r="C186" s="10" t="str">
        <f aca="false">IF($B186="","",IFERROR(INDEX(案件管理!$B$3:$B$202,MATCH($B186,案件管理!$A$3:$A$202,0)),"←IDが未登録です"))</f>
        <v/>
      </c>
      <c r="D186" s="31"/>
      <c r="E186" s="31"/>
      <c r="F186" s="44"/>
      <c r="G186" s="26" t="str">
        <f aca="false">IF(N($F186)=0,"",$F186/マスタ!$B$5)</f>
        <v/>
      </c>
      <c r="H186" s="8"/>
    </row>
    <row r="187" customFormat="false" ht="15" hidden="false" customHeight="false" outlineLevel="0" collapsed="false">
      <c r="A187" s="34"/>
      <c r="B187" s="43"/>
      <c r="C187" s="10" t="str">
        <f aca="false">IF($B187="","",IFERROR(INDEX(案件管理!$B$3:$B$202,MATCH($B187,案件管理!$A$3:$A$202,0)),"←IDが未登録です"))</f>
        <v/>
      </c>
      <c r="D187" s="31"/>
      <c r="E187" s="31"/>
      <c r="F187" s="44"/>
      <c r="G187" s="26" t="str">
        <f aca="false">IF(N($F187)=0,"",$F187/マスタ!$B$5)</f>
        <v/>
      </c>
      <c r="H187" s="8"/>
    </row>
    <row r="188" customFormat="false" ht="15" hidden="false" customHeight="false" outlineLevel="0" collapsed="false">
      <c r="A188" s="34"/>
      <c r="B188" s="43"/>
      <c r="C188" s="10" t="str">
        <f aca="false">IF($B188="","",IFERROR(INDEX(案件管理!$B$3:$B$202,MATCH($B188,案件管理!$A$3:$A$202,0)),"←IDが未登録です"))</f>
        <v/>
      </c>
      <c r="D188" s="31"/>
      <c r="E188" s="31"/>
      <c r="F188" s="44"/>
      <c r="G188" s="26" t="str">
        <f aca="false">IF(N($F188)=0,"",$F188/マスタ!$B$5)</f>
        <v/>
      </c>
      <c r="H188" s="8"/>
    </row>
    <row r="189" customFormat="false" ht="15" hidden="false" customHeight="false" outlineLevel="0" collapsed="false">
      <c r="A189" s="34"/>
      <c r="B189" s="43"/>
      <c r="C189" s="10" t="str">
        <f aca="false">IF($B189="","",IFERROR(INDEX(案件管理!$B$3:$B$202,MATCH($B189,案件管理!$A$3:$A$202,0)),"←IDが未登録です"))</f>
        <v/>
      </c>
      <c r="D189" s="31"/>
      <c r="E189" s="31"/>
      <c r="F189" s="44"/>
      <c r="G189" s="26" t="str">
        <f aca="false">IF(N($F189)=0,"",$F189/マスタ!$B$5)</f>
        <v/>
      </c>
      <c r="H189" s="8"/>
    </row>
    <row r="190" customFormat="false" ht="15" hidden="false" customHeight="false" outlineLevel="0" collapsed="false">
      <c r="A190" s="34"/>
      <c r="B190" s="43"/>
      <c r="C190" s="10" t="str">
        <f aca="false">IF($B190="","",IFERROR(INDEX(案件管理!$B$3:$B$202,MATCH($B190,案件管理!$A$3:$A$202,0)),"←IDが未登録です"))</f>
        <v/>
      </c>
      <c r="D190" s="31"/>
      <c r="E190" s="31"/>
      <c r="F190" s="44"/>
      <c r="G190" s="26" t="str">
        <f aca="false">IF(N($F190)=0,"",$F190/マスタ!$B$5)</f>
        <v/>
      </c>
      <c r="H190" s="8"/>
    </row>
    <row r="191" customFormat="false" ht="15" hidden="false" customHeight="false" outlineLevel="0" collapsed="false">
      <c r="A191" s="34"/>
      <c r="B191" s="43"/>
      <c r="C191" s="10" t="str">
        <f aca="false">IF($B191="","",IFERROR(INDEX(案件管理!$B$3:$B$202,MATCH($B191,案件管理!$A$3:$A$202,0)),"←IDが未登録です"))</f>
        <v/>
      </c>
      <c r="D191" s="31"/>
      <c r="E191" s="31"/>
      <c r="F191" s="44"/>
      <c r="G191" s="26" t="str">
        <f aca="false">IF(N($F191)=0,"",$F191/マスタ!$B$5)</f>
        <v/>
      </c>
      <c r="H191" s="8"/>
    </row>
    <row r="192" customFormat="false" ht="15" hidden="false" customHeight="false" outlineLevel="0" collapsed="false">
      <c r="A192" s="34"/>
      <c r="B192" s="43"/>
      <c r="C192" s="10" t="str">
        <f aca="false">IF($B192="","",IFERROR(INDEX(案件管理!$B$3:$B$202,MATCH($B192,案件管理!$A$3:$A$202,0)),"←IDが未登録です"))</f>
        <v/>
      </c>
      <c r="D192" s="31"/>
      <c r="E192" s="31"/>
      <c r="F192" s="44"/>
      <c r="G192" s="26" t="str">
        <f aca="false">IF(N($F192)=0,"",$F192/マスタ!$B$5)</f>
        <v/>
      </c>
      <c r="H192" s="8"/>
    </row>
    <row r="193" customFormat="false" ht="15" hidden="false" customHeight="false" outlineLevel="0" collapsed="false">
      <c r="A193" s="34"/>
      <c r="B193" s="43"/>
      <c r="C193" s="10" t="str">
        <f aca="false">IF($B193="","",IFERROR(INDEX(案件管理!$B$3:$B$202,MATCH($B193,案件管理!$A$3:$A$202,0)),"←IDが未登録です"))</f>
        <v/>
      </c>
      <c r="D193" s="31"/>
      <c r="E193" s="31"/>
      <c r="F193" s="44"/>
      <c r="G193" s="26" t="str">
        <f aca="false">IF(N($F193)=0,"",$F193/マスタ!$B$5)</f>
        <v/>
      </c>
      <c r="H193" s="8"/>
    </row>
    <row r="194" customFormat="false" ht="15" hidden="false" customHeight="false" outlineLevel="0" collapsed="false">
      <c r="A194" s="34"/>
      <c r="B194" s="43"/>
      <c r="C194" s="10" t="str">
        <f aca="false">IF($B194="","",IFERROR(INDEX(案件管理!$B$3:$B$202,MATCH($B194,案件管理!$A$3:$A$202,0)),"←IDが未登録です"))</f>
        <v/>
      </c>
      <c r="D194" s="31"/>
      <c r="E194" s="31"/>
      <c r="F194" s="44"/>
      <c r="G194" s="26" t="str">
        <f aca="false">IF(N($F194)=0,"",$F194/マスタ!$B$5)</f>
        <v/>
      </c>
      <c r="H194" s="8"/>
    </row>
    <row r="195" customFormat="false" ht="15" hidden="false" customHeight="false" outlineLevel="0" collapsed="false">
      <c r="A195" s="34"/>
      <c r="B195" s="43"/>
      <c r="C195" s="10" t="str">
        <f aca="false">IF($B195="","",IFERROR(INDEX(案件管理!$B$3:$B$202,MATCH($B195,案件管理!$A$3:$A$202,0)),"←IDが未登録です"))</f>
        <v/>
      </c>
      <c r="D195" s="31"/>
      <c r="E195" s="31"/>
      <c r="F195" s="44"/>
      <c r="G195" s="26" t="str">
        <f aca="false">IF(N($F195)=0,"",$F195/マスタ!$B$5)</f>
        <v/>
      </c>
      <c r="H195" s="8"/>
    </row>
    <row r="196" customFormat="false" ht="15" hidden="false" customHeight="false" outlineLevel="0" collapsed="false">
      <c r="A196" s="34"/>
      <c r="B196" s="43"/>
      <c r="C196" s="10" t="str">
        <f aca="false">IF($B196="","",IFERROR(INDEX(案件管理!$B$3:$B$202,MATCH($B196,案件管理!$A$3:$A$202,0)),"←IDが未登録です"))</f>
        <v/>
      </c>
      <c r="D196" s="31"/>
      <c r="E196" s="31"/>
      <c r="F196" s="44"/>
      <c r="G196" s="26" t="str">
        <f aca="false">IF(N($F196)=0,"",$F196/マスタ!$B$5)</f>
        <v/>
      </c>
      <c r="H196" s="8"/>
    </row>
    <row r="197" customFormat="false" ht="15" hidden="false" customHeight="false" outlineLevel="0" collapsed="false">
      <c r="A197" s="34"/>
      <c r="B197" s="43"/>
      <c r="C197" s="10" t="str">
        <f aca="false">IF($B197="","",IFERROR(INDEX(案件管理!$B$3:$B$202,MATCH($B197,案件管理!$A$3:$A$202,0)),"←IDが未登録です"))</f>
        <v/>
      </c>
      <c r="D197" s="31"/>
      <c r="E197" s="31"/>
      <c r="F197" s="44"/>
      <c r="G197" s="26" t="str">
        <f aca="false">IF(N($F197)=0,"",$F197/マスタ!$B$5)</f>
        <v/>
      </c>
      <c r="H197" s="8"/>
    </row>
    <row r="198" customFormat="false" ht="15" hidden="false" customHeight="false" outlineLevel="0" collapsed="false">
      <c r="A198" s="34"/>
      <c r="B198" s="43"/>
      <c r="C198" s="10" t="str">
        <f aca="false">IF($B198="","",IFERROR(INDEX(案件管理!$B$3:$B$202,MATCH($B198,案件管理!$A$3:$A$202,0)),"←IDが未登録です"))</f>
        <v/>
      </c>
      <c r="D198" s="31"/>
      <c r="E198" s="31"/>
      <c r="F198" s="44"/>
      <c r="G198" s="26" t="str">
        <f aca="false">IF(N($F198)=0,"",$F198/マスタ!$B$5)</f>
        <v/>
      </c>
      <c r="H198" s="8"/>
    </row>
    <row r="199" customFormat="false" ht="15" hidden="false" customHeight="false" outlineLevel="0" collapsed="false">
      <c r="A199" s="34"/>
      <c r="B199" s="43"/>
      <c r="C199" s="10" t="str">
        <f aca="false">IF($B199="","",IFERROR(INDEX(案件管理!$B$3:$B$202,MATCH($B199,案件管理!$A$3:$A$202,0)),"←IDが未登録です"))</f>
        <v/>
      </c>
      <c r="D199" s="31"/>
      <c r="E199" s="31"/>
      <c r="F199" s="44"/>
      <c r="G199" s="26" t="str">
        <f aca="false">IF(N($F199)=0,"",$F199/マスタ!$B$5)</f>
        <v/>
      </c>
      <c r="H199" s="8"/>
    </row>
    <row r="200" customFormat="false" ht="15" hidden="false" customHeight="false" outlineLevel="0" collapsed="false">
      <c r="A200" s="34"/>
      <c r="B200" s="43"/>
      <c r="C200" s="10" t="str">
        <f aca="false">IF($B200="","",IFERROR(INDEX(案件管理!$B$3:$B$202,MATCH($B200,案件管理!$A$3:$A$202,0)),"←IDが未登録です"))</f>
        <v/>
      </c>
      <c r="D200" s="31"/>
      <c r="E200" s="31"/>
      <c r="F200" s="44"/>
      <c r="G200" s="26" t="str">
        <f aca="false">IF(N($F200)=0,"",$F200/マスタ!$B$5)</f>
        <v/>
      </c>
      <c r="H200" s="8"/>
    </row>
    <row r="201" customFormat="false" ht="15" hidden="false" customHeight="false" outlineLevel="0" collapsed="false">
      <c r="A201" s="34"/>
      <c r="B201" s="43"/>
      <c r="C201" s="10" t="str">
        <f aca="false">IF($B201="","",IFERROR(INDEX(案件管理!$B$3:$B$202,MATCH($B201,案件管理!$A$3:$A$202,0)),"←IDが未登録です"))</f>
        <v/>
      </c>
      <c r="D201" s="31"/>
      <c r="E201" s="31"/>
      <c r="F201" s="44"/>
      <c r="G201" s="26" t="str">
        <f aca="false">IF(N($F201)=0,"",$F201/マスタ!$B$5)</f>
        <v/>
      </c>
      <c r="H201" s="8"/>
    </row>
    <row r="202" customFormat="false" ht="15" hidden="false" customHeight="false" outlineLevel="0" collapsed="false">
      <c r="A202" s="34"/>
      <c r="B202" s="43"/>
      <c r="C202" s="10" t="str">
        <f aca="false">IF($B202="","",IFERROR(INDEX(案件管理!$B$3:$B$202,MATCH($B202,案件管理!$A$3:$A$202,0)),"←IDが未登録です"))</f>
        <v/>
      </c>
      <c r="D202" s="31"/>
      <c r="E202" s="31"/>
      <c r="F202" s="44"/>
      <c r="G202" s="26" t="str">
        <f aca="false">IF(N($F202)=0,"",$F202/マスタ!$B$5)</f>
        <v/>
      </c>
      <c r="H202" s="8"/>
    </row>
    <row r="203" customFormat="false" ht="15" hidden="false" customHeight="false" outlineLevel="0" collapsed="false">
      <c r="A203" s="34"/>
      <c r="B203" s="43"/>
      <c r="C203" s="10" t="str">
        <f aca="false">IF($B203="","",IFERROR(INDEX(案件管理!$B$3:$B$202,MATCH($B203,案件管理!$A$3:$A$202,0)),"←IDが未登録です"))</f>
        <v/>
      </c>
      <c r="D203" s="31"/>
      <c r="E203" s="31"/>
      <c r="F203" s="44"/>
      <c r="G203" s="26" t="str">
        <f aca="false">IF(N($F203)=0,"",$F203/マスタ!$B$5)</f>
        <v/>
      </c>
      <c r="H203" s="8"/>
    </row>
    <row r="204" customFormat="false" ht="15" hidden="false" customHeight="false" outlineLevel="0" collapsed="false">
      <c r="A204" s="34"/>
      <c r="B204" s="43"/>
      <c r="C204" s="10" t="str">
        <f aca="false">IF($B204="","",IFERROR(INDEX(案件管理!$B$3:$B$202,MATCH($B204,案件管理!$A$3:$A$202,0)),"←IDが未登録です"))</f>
        <v/>
      </c>
      <c r="D204" s="31"/>
      <c r="E204" s="31"/>
      <c r="F204" s="44"/>
      <c r="G204" s="26" t="str">
        <f aca="false">IF(N($F204)=0,"",$F204/マスタ!$B$5)</f>
        <v/>
      </c>
      <c r="H204" s="8"/>
    </row>
    <row r="205" customFormat="false" ht="15" hidden="false" customHeight="false" outlineLevel="0" collapsed="false">
      <c r="A205" s="34"/>
      <c r="B205" s="43"/>
      <c r="C205" s="10" t="str">
        <f aca="false">IF($B205="","",IFERROR(INDEX(案件管理!$B$3:$B$202,MATCH($B205,案件管理!$A$3:$A$202,0)),"←IDが未登録です"))</f>
        <v/>
      </c>
      <c r="D205" s="31"/>
      <c r="E205" s="31"/>
      <c r="F205" s="44"/>
      <c r="G205" s="26" t="str">
        <f aca="false">IF(N($F205)=0,"",$F205/マスタ!$B$5)</f>
        <v/>
      </c>
      <c r="H205" s="8"/>
    </row>
    <row r="206" customFormat="false" ht="15" hidden="false" customHeight="false" outlineLevel="0" collapsed="false">
      <c r="A206" s="34"/>
      <c r="B206" s="43"/>
      <c r="C206" s="10" t="str">
        <f aca="false">IF($B206="","",IFERROR(INDEX(案件管理!$B$3:$B$202,MATCH($B206,案件管理!$A$3:$A$202,0)),"←IDが未登録です"))</f>
        <v/>
      </c>
      <c r="D206" s="31"/>
      <c r="E206" s="31"/>
      <c r="F206" s="44"/>
      <c r="G206" s="26" t="str">
        <f aca="false">IF(N($F206)=0,"",$F206/マスタ!$B$5)</f>
        <v/>
      </c>
      <c r="H206" s="8"/>
    </row>
    <row r="207" customFormat="false" ht="15" hidden="false" customHeight="false" outlineLevel="0" collapsed="false">
      <c r="A207" s="34"/>
      <c r="B207" s="43"/>
      <c r="C207" s="10" t="str">
        <f aca="false">IF($B207="","",IFERROR(INDEX(案件管理!$B$3:$B$202,MATCH($B207,案件管理!$A$3:$A$202,0)),"←IDが未登録です"))</f>
        <v/>
      </c>
      <c r="D207" s="31"/>
      <c r="E207" s="31"/>
      <c r="F207" s="44"/>
      <c r="G207" s="26" t="str">
        <f aca="false">IF(N($F207)=0,"",$F207/マスタ!$B$5)</f>
        <v/>
      </c>
      <c r="H207" s="8"/>
    </row>
    <row r="208" customFormat="false" ht="15" hidden="false" customHeight="false" outlineLevel="0" collapsed="false">
      <c r="A208" s="34"/>
      <c r="B208" s="43"/>
      <c r="C208" s="10" t="str">
        <f aca="false">IF($B208="","",IFERROR(INDEX(案件管理!$B$3:$B$202,MATCH($B208,案件管理!$A$3:$A$202,0)),"←IDが未登録です"))</f>
        <v/>
      </c>
      <c r="D208" s="31"/>
      <c r="E208" s="31"/>
      <c r="F208" s="44"/>
      <c r="G208" s="26" t="str">
        <f aca="false">IF(N($F208)=0,"",$F208/マスタ!$B$5)</f>
        <v/>
      </c>
      <c r="H208" s="8"/>
    </row>
    <row r="209" customFormat="false" ht="15" hidden="false" customHeight="false" outlineLevel="0" collapsed="false">
      <c r="A209" s="34"/>
      <c r="B209" s="43"/>
      <c r="C209" s="10" t="str">
        <f aca="false">IF($B209="","",IFERROR(INDEX(案件管理!$B$3:$B$202,MATCH($B209,案件管理!$A$3:$A$202,0)),"←IDが未登録です"))</f>
        <v/>
      </c>
      <c r="D209" s="31"/>
      <c r="E209" s="31"/>
      <c r="F209" s="44"/>
      <c r="G209" s="26" t="str">
        <f aca="false">IF(N($F209)=0,"",$F209/マスタ!$B$5)</f>
        <v/>
      </c>
      <c r="H209" s="8"/>
    </row>
    <row r="210" customFormat="false" ht="15" hidden="false" customHeight="false" outlineLevel="0" collapsed="false">
      <c r="A210" s="34"/>
      <c r="B210" s="43"/>
      <c r="C210" s="10" t="str">
        <f aca="false">IF($B210="","",IFERROR(INDEX(案件管理!$B$3:$B$202,MATCH($B210,案件管理!$A$3:$A$202,0)),"←IDが未登録です"))</f>
        <v/>
      </c>
      <c r="D210" s="31"/>
      <c r="E210" s="31"/>
      <c r="F210" s="44"/>
      <c r="G210" s="26" t="str">
        <f aca="false">IF(N($F210)=0,"",$F210/マスタ!$B$5)</f>
        <v/>
      </c>
      <c r="H210" s="8"/>
    </row>
    <row r="211" customFormat="false" ht="15" hidden="false" customHeight="false" outlineLevel="0" collapsed="false">
      <c r="A211" s="34"/>
      <c r="B211" s="43"/>
      <c r="C211" s="10" t="str">
        <f aca="false">IF($B211="","",IFERROR(INDEX(案件管理!$B$3:$B$202,MATCH($B211,案件管理!$A$3:$A$202,0)),"←IDが未登録です"))</f>
        <v/>
      </c>
      <c r="D211" s="31"/>
      <c r="E211" s="31"/>
      <c r="F211" s="44"/>
      <c r="G211" s="26" t="str">
        <f aca="false">IF(N($F211)=0,"",$F211/マスタ!$B$5)</f>
        <v/>
      </c>
      <c r="H211" s="8"/>
    </row>
    <row r="212" customFormat="false" ht="15" hidden="false" customHeight="false" outlineLevel="0" collapsed="false">
      <c r="A212" s="34"/>
      <c r="B212" s="43"/>
      <c r="C212" s="10" t="str">
        <f aca="false">IF($B212="","",IFERROR(INDEX(案件管理!$B$3:$B$202,MATCH($B212,案件管理!$A$3:$A$202,0)),"←IDが未登録です"))</f>
        <v/>
      </c>
      <c r="D212" s="31"/>
      <c r="E212" s="31"/>
      <c r="F212" s="44"/>
      <c r="G212" s="26" t="str">
        <f aca="false">IF(N($F212)=0,"",$F212/マスタ!$B$5)</f>
        <v/>
      </c>
      <c r="H212" s="8"/>
    </row>
    <row r="213" customFormat="false" ht="15" hidden="false" customHeight="false" outlineLevel="0" collapsed="false">
      <c r="A213" s="34"/>
      <c r="B213" s="43"/>
      <c r="C213" s="10" t="str">
        <f aca="false">IF($B213="","",IFERROR(INDEX(案件管理!$B$3:$B$202,MATCH($B213,案件管理!$A$3:$A$202,0)),"←IDが未登録です"))</f>
        <v/>
      </c>
      <c r="D213" s="31"/>
      <c r="E213" s="31"/>
      <c r="F213" s="44"/>
      <c r="G213" s="26" t="str">
        <f aca="false">IF(N($F213)=0,"",$F213/マスタ!$B$5)</f>
        <v/>
      </c>
      <c r="H213" s="8"/>
    </row>
    <row r="214" customFormat="false" ht="15" hidden="false" customHeight="false" outlineLevel="0" collapsed="false">
      <c r="A214" s="34"/>
      <c r="B214" s="43"/>
      <c r="C214" s="10" t="str">
        <f aca="false">IF($B214="","",IFERROR(INDEX(案件管理!$B$3:$B$202,MATCH($B214,案件管理!$A$3:$A$202,0)),"←IDが未登録です"))</f>
        <v/>
      </c>
      <c r="D214" s="31"/>
      <c r="E214" s="31"/>
      <c r="F214" s="44"/>
      <c r="G214" s="26" t="str">
        <f aca="false">IF(N($F214)=0,"",$F214/マスタ!$B$5)</f>
        <v/>
      </c>
      <c r="H214" s="8"/>
    </row>
    <row r="215" customFormat="false" ht="15" hidden="false" customHeight="false" outlineLevel="0" collapsed="false">
      <c r="A215" s="34"/>
      <c r="B215" s="43"/>
      <c r="C215" s="10" t="str">
        <f aca="false">IF($B215="","",IFERROR(INDEX(案件管理!$B$3:$B$202,MATCH($B215,案件管理!$A$3:$A$202,0)),"←IDが未登録です"))</f>
        <v/>
      </c>
      <c r="D215" s="31"/>
      <c r="E215" s="31"/>
      <c r="F215" s="44"/>
      <c r="G215" s="26" t="str">
        <f aca="false">IF(N($F215)=0,"",$F215/マスタ!$B$5)</f>
        <v/>
      </c>
      <c r="H215" s="8"/>
    </row>
    <row r="216" customFormat="false" ht="15" hidden="false" customHeight="false" outlineLevel="0" collapsed="false">
      <c r="A216" s="34"/>
      <c r="B216" s="43"/>
      <c r="C216" s="10" t="str">
        <f aca="false">IF($B216="","",IFERROR(INDEX(案件管理!$B$3:$B$202,MATCH($B216,案件管理!$A$3:$A$202,0)),"←IDが未登録です"))</f>
        <v/>
      </c>
      <c r="D216" s="31"/>
      <c r="E216" s="31"/>
      <c r="F216" s="44"/>
      <c r="G216" s="26" t="str">
        <f aca="false">IF(N($F216)=0,"",$F216/マスタ!$B$5)</f>
        <v/>
      </c>
      <c r="H216" s="8"/>
    </row>
    <row r="217" customFormat="false" ht="15" hidden="false" customHeight="false" outlineLevel="0" collapsed="false">
      <c r="A217" s="34"/>
      <c r="B217" s="43"/>
      <c r="C217" s="10" t="str">
        <f aca="false">IF($B217="","",IFERROR(INDEX(案件管理!$B$3:$B$202,MATCH($B217,案件管理!$A$3:$A$202,0)),"←IDが未登録です"))</f>
        <v/>
      </c>
      <c r="D217" s="31"/>
      <c r="E217" s="31"/>
      <c r="F217" s="44"/>
      <c r="G217" s="26" t="str">
        <f aca="false">IF(N($F217)=0,"",$F217/マスタ!$B$5)</f>
        <v/>
      </c>
      <c r="H217" s="8"/>
    </row>
    <row r="218" customFormat="false" ht="15" hidden="false" customHeight="false" outlineLevel="0" collapsed="false">
      <c r="A218" s="34"/>
      <c r="B218" s="43"/>
      <c r="C218" s="10" t="str">
        <f aca="false">IF($B218="","",IFERROR(INDEX(案件管理!$B$3:$B$202,MATCH($B218,案件管理!$A$3:$A$202,0)),"←IDが未登録です"))</f>
        <v/>
      </c>
      <c r="D218" s="31"/>
      <c r="E218" s="31"/>
      <c r="F218" s="44"/>
      <c r="G218" s="26" t="str">
        <f aca="false">IF(N($F218)=0,"",$F218/マスタ!$B$5)</f>
        <v/>
      </c>
      <c r="H218" s="8"/>
    </row>
    <row r="219" customFormat="false" ht="15" hidden="false" customHeight="false" outlineLevel="0" collapsed="false">
      <c r="A219" s="34"/>
      <c r="B219" s="43"/>
      <c r="C219" s="10" t="str">
        <f aca="false">IF($B219="","",IFERROR(INDEX(案件管理!$B$3:$B$202,MATCH($B219,案件管理!$A$3:$A$202,0)),"←IDが未登録です"))</f>
        <v/>
      </c>
      <c r="D219" s="31"/>
      <c r="E219" s="31"/>
      <c r="F219" s="44"/>
      <c r="G219" s="26" t="str">
        <f aca="false">IF(N($F219)=0,"",$F219/マスタ!$B$5)</f>
        <v/>
      </c>
      <c r="H219" s="8"/>
    </row>
    <row r="220" customFormat="false" ht="15" hidden="false" customHeight="false" outlineLevel="0" collapsed="false">
      <c r="A220" s="34"/>
      <c r="B220" s="43"/>
      <c r="C220" s="10" t="str">
        <f aca="false">IF($B220="","",IFERROR(INDEX(案件管理!$B$3:$B$202,MATCH($B220,案件管理!$A$3:$A$202,0)),"←IDが未登録です"))</f>
        <v/>
      </c>
      <c r="D220" s="31"/>
      <c r="E220" s="31"/>
      <c r="F220" s="44"/>
      <c r="G220" s="26" t="str">
        <f aca="false">IF(N($F220)=0,"",$F220/マスタ!$B$5)</f>
        <v/>
      </c>
      <c r="H220" s="8"/>
    </row>
    <row r="221" customFormat="false" ht="15" hidden="false" customHeight="false" outlineLevel="0" collapsed="false">
      <c r="A221" s="34"/>
      <c r="B221" s="43"/>
      <c r="C221" s="10" t="str">
        <f aca="false">IF($B221="","",IFERROR(INDEX(案件管理!$B$3:$B$202,MATCH($B221,案件管理!$A$3:$A$202,0)),"←IDが未登録です"))</f>
        <v/>
      </c>
      <c r="D221" s="31"/>
      <c r="E221" s="31"/>
      <c r="F221" s="44"/>
      <c r="G221" s="26" t="str">
        <f aca="false">IF(N($F221)=0,"",$F221/マスタ!$B$5)</f>
        <v/>
      </c>
      <c r="H221" s="8"/>
    </row>
    <row r="222" customFormat="false" ht="15" hidden="false" customHeight="false" outlineLevel="0" collapsed="false">
      <c r="A222" s="34"/>
      <c r="B222" s="43"/>
      <c r="C222" s="10" t="str">
        <f aca="false">IF($B222="","",IFERROR(INDEX(案件管理!$B$3:$B$202,MATCH($B222,案件管理!$A$3:$A$202,0)),"←IDが未登録です"))</f>
        <v/>
      </c>
      <c r="D222" s="31"/>
      <c r="E222" s="31"/>
      <c r="F222" s="44"/>
      <c r="G222" s="26" t="str">
        <f aca="false">IF(N($F222)=0,"",$F222/マスタ!$B$5)</f>
        <v/>
      </c>
      <c r="H222" s="8"/>
    </row>
    <row r="223" customFormat="false" ht="15" hidden="false" customHeight="false" outlineLevel="0" collapsed="false">
      <c r="A223" s="34"/>
      <c r="B223" s="43"/>
      <c r="C223" s="10" t="str">
        <f aca="false">IF($B223="","",IFERROR(INDEX(案件管理!$B$3:$B$202,MATCH($B223,案件管理!$A$3:$A$202,0)),"←IDが未登録です"))</f>
        <v/>
      </c>
      <c r="D223" s="31"/>
      <c r="E223" s="31"/>
      <c r="F223" s="44"/>
      <c r="G223" s="26" t="str">
        <f aca="false">IF(N($F223)=0,"",$F223/マスタ!$B$5)</f>
        <v/>
      </c>
      <c r="H223" s="8"/>
    </row>
    <row r="224" customFormat="false" ht="15" hidden="false" customHeight="false" outlineLevel="0" collapsed="false">
      <c r="A224" s="34"/>
      <c r="B224" s="43"/>
      <c r="C224" s="10" t="str">
        <f aca="false">IF($B224="","",IFERROR(INDEX(案件管理!$B$3:$B$202,MATCH($B224,案件管理!$A$3:$A$202,0)),"←IDが未登録です"))</f>
        <v/>
      </c>
      <c r="D224" s="31"/>
      <c r="E224" s="31"/>
      <c r="F224" s="44"/>
      <c r="G224" s="26" t="str">
        <f aca="false">IF(N($F224)=0,"",$F224/マスタ!$B$5)</f>
        <v/>
      </c>
      <c r="H224" s="8"/>
    </row>
    <row r="225" customFormat="false" ht="15" hidden="false" customHeight="false" outlineLevel="0" collapsed="false">
      <c r="A225" s="34"/>
      <c r="B225" s="43"/>
      <c r="C225" s="10" t="str">
        <f aca="false">IF($B225="","",IFERROR(INDEX(案件管理!$B$3:$B$202,MATCH($B225,案件管理!$A$3:$A$202,0)),"←IDが未登録です"))</f>
        <v/>
      </c>
      <c r="D225" s="31"/>
      <c r="E225" s="31"/>
      <c r="F225" s="44"/>
      <c r="G225" s="26" t="str">
        <f aca="false">IF(N($F225)=0,"",$F225/マスタ!$B$5)</f>
        <v/>
      </c>
      <c r="H225" s="8"/>
    </row>
    <row r="226" customFormat="false" ht="15" hidden="false" customHeight="false" outlineLevel="0" collapsed="false">
      <c r="A226" s="34"/>
      <c r="B226" s="43"/>
      <c r="C226" s="10" t="str">
        <f aca="false">IF($B226="","",IFERROR(INDEX(案件管理!$B$3:$B$202,MATCH($B226,案件管理!$A$3:$A$202,0)),"←IDが未登録です"))</f>
        <v/>
      </c>
      <c r="D226" s="31"/>
      <c r="E226" s="31"/>
      <c r="F226" s="44"/>
      <c r="G226" s="26" t="str">
        <f aca="false">IF(N($F226)=0,"",$F226/マスタ!$B$5)</f>
        <v/>
      </c>
      <c r="H226" s="8"/>
    </row>
    <row r="227" customFormat="false" ht="15" hidden="false" customHeight="false" outlineLevel="0" collapsed="false">
      <c r="A227" s="34"/>
      <c r="B227" s="43"/>
      <c r="C227" s="10" t="str">
        <f aca="false">IF($B227="","",IFERROR(INDEX(案件管理!$B$3:$B$202,MATCH($B227,案件管理!$A$3:$A$202,0)),"←IDが未登録です"))</f>
        <v/>
      </c>
      <c r="D227" s="31"/>
      <c r="E227" s="31"/>
      <c r="F227" s="44"/>
      <c r="G227" s="26" t="str">
        <f aca="false">IF(N($F227)=0,"",$F227/マスタ!$B$5)</f>
        <v/>
      </c>
      <c r="H227" s="8"/>
    </row>
    <row r="228" customFormat="false" ht="15" hidden="false" customHeight="false" outlineLevel="0" collapsed="false">
      <c r="A228" s="34"/>
      <c r="B228" s="43"/>
      <c r="C228" s="10" t="str">
        <f aca="false">IF($B228="","",IFERROR(INDEX(案件管理!$B$3:$B$202,MATCH($B228,案件管理!$A$3:$A$202,0)),"←IDが未登録です"))</f>
        <v/>
      </c>
      <c r="D228" s="31"/>
      <c r="E228" s="31"/>
      <c r="F228" s="44"/>
      <c r="G228" s="26" t="str">
        <f aca="false">IF(N($F228)=0,"",$F228/マスタ!$B$5)</f>
        <v/>
      </c>
      <c r="H228" s="8"/>
    </row>
    <row r="229" customFormat="false" ht="15" hidden="false" customHeight="false" outlineLevel="0" collapsed="false">
      <c r="A229" s="34"/>
      <c r="B229" s="43"/>
      <c r="C229" s="10" t="str">
        <f aca="false">IF($B229="","",IFERROR(INDEX(案件管理!$B$3:$B$202,MATCH($B229,案件管理!$A$3:$A$202,0)),"←IDが未登録です"))</f>
        <v/>
      </c>
      <c r="D229" s="31"/>
      <c r="E229" s="31"/>
      <c r="F229" s="44"/>
      <c r="G229" s="26" t="str">
        <f aca="false">IF(N($F229)=0,"",$F229/マスタ!$B$5)</f>
        <v/>
      </c>
      <c r="H229" s="8"/>
    </row>
    <row r="230" customFormat="false" ht="15" hidden="false" customHeight="false" outlineLevel="0" collapsed="false">
      <c r="A230" s="34"/>
      <c r="B230" s="43"/>
      <c r="C230" s="10" t="str">
        <f aca="false">IF($B230="","",IFERROR(INDEX(案件管理!$B$3:$B$202,MATCH($B230,案件管理!$A$3:$A$202,0)),"←IDが未登録です"))</f>
        <v/>
      </c>
      <c r="D230" s="31"/>
      <c r="E230" s="31"/>
      <c r="F230" s="44"/>
      <c r="G230" s="26" t="str">
        <f aca="false">IF(N($F230)=0,"",$F230/マスタ!$B$5)</f>
        <v/>
      </c>
      <c r="H230" s="8"/>
    </row>
    <row r="231" customFormat="false" ht="15" hidden="false" customHeight="false" outlineLevel="0" collapsed="false">
      <c r="A231" s="34"/>
      <c r="B231" s="43"/>
      <c r="C231" s="10" t="str">
        <f aca="false">IF($B231="","",IFERROR(INDEX(案件管理!$B$3:$B$202,MATCH($B231,案件管理!$A$3:$A$202,0)),"←IDが未登録です"))</f>
        <v/>
      </c>
      <c r="D231" s="31"/>
      <c r="E231" s="31"/>
      <c r="F231" s="44"/>
      <c r="G231" s="26" t="str">
        <f aca="false">IF(N($F231)=0,"",$F231/マスタ!$B$5)</f>
        <v/>
      </c>
      <c r="H231" s="8"/>
    </row>
    <row r="232" customFormat="false" ht="15" hidden="false" customHeight="false" outlineLevel="0" collapsed="false">
      <c r="A232" s="34"/>
      <c r="B232" s="43"/>
      <c r="C232" s="10" t="str">
        <f aca="false">IF($B232="","",IFERROR(INDEX(案件管理!$B$3:$B$202,MATCH($B232,案件管理!$A$3:$A$202,0)),"←IDが未登録です"))</f>
        <v/>
      </c>
      <c r="D232" s="31"/>
      <c r="E232" s="31"/>
      <c r="F232" s="44"/>
      <c r="G232" s="26" t="str">
        <f aca="false">IF(N($F232)=0,"",$F232/マスタ!$B$5)</f>
        <v/>
      </c>
      <c r="H232" s="8"/>
    </row>
    <row r="233" customFormat="false" ht="15" hidden="false" customHeight="false" outlineLevel="0" collapsed="false">
      <c r="A233" s="34"/>
      <c r="B233" s="43"/>
      <c r="C233" s="10" t="str">
        <f aca="false">IF($B233="","",IFERROR(INDEX(案件管理!$B$3:$B$202,MATCH($B233,案件管理!$A$3:$A$202,0)),"←IDが未登録です"))</f>
        <v/>
      </c>
      <c r="D233" s="31"/>
      <c r="E233" s="31"/>
      <c r="F233" s="44"/>
      <c r="G233" s="26" t="str">
        <f aca="false">IF(N($F233)=0,"",$F233/マスタ!$B$5)</f>
        <v/>
      </c>
      <c r="H233" s="8"/>
    </row>
    <row r="234" customFormat="false" ht="15" hidden="false" customHeight="false" outlineLevel="0" collapsed="false">
      <c r="A234" s="34"/>
      <c r="B234" s="43"/>
      <c r="C234" s="10" t="str">
        <f aca="false">IF($B234="","",IFERROR(INDEX(案件管理!$B$3:$B$202,MATCH($B234,案件管理!$A$3:$A$202,0)),"←IDが未登録です"))</f>
        <v/>
      </c>
      <c r="D234" s="31"/>
      <c r="E234" s="31"/>
      <c r="F234" s="44"/>
      <c r="G234" s="26" t="str">
        <f aca="false">IF(N($F234)=0,"",$F234/マスタ!$B$5)</f>
        <v/>
      </c>
      <c r="H234" s="8"/>
    </row>
    <row r="235" customFormat="false" ht="15" hidden="false" customHeight="false" outlineLevel="0" collapsed="false">
      <c r="A235" s="34"/>
      <c r="B235" s="43"/>
      <c r="C235" s="10" t="str">
        <f aca="false">IF($B235="","",IFERROR(INDEX(案件管理!$B$3:$B$202,MATCH($B235,案件管理!$A$3:$A$202,0)),"←IDが未登録です"))</f>
        <v/>
      </c>
      <c r="D235" s="31"/>
      <c r="E235" s="31"/>
      <c r="F235" s="44"/>
      <c r="G235" s="26" t="str">
        <f aca="false">IF(N($F235)=0,"",$F235/マスタ!$B$5)</f>
        <v/>
      </c>
      <c r="H235" s="8"/>
    </row>
    <row r="236" customFormat="false" ht="15" hidden="false" customHeight="false" outlineLevel="0" collapsed="false">
      <c r="A236" s="34"/>
      <c r="B236" s="43"/>
      <c r="C236" s="10" t="str">
        <f aca="false">IF($B236="","",IFERROR(INDEX(案件管理!$B$3:$B$202,MATCH($B236,案件管理!$A$3:$A$202,0)),"←IDが未登録です"))</f>
        <v/>
      </c>
      <c r="D236" s="31"/>
      <c r="E236" s="31"/>
      <c r="F236" s="44"/>
      <c r="G236" s="26" t="str">
        <f aca="false">IF(N($F236)=0,"",$F236/マスタ!$B$5)</f>
        <v/>
      </c>
      <c r="H236" s="8"/>
    </row>
    <row r="237" customFormat="false" ht="15" hidden="false" customHeight="false" outlineLevel="0" collapsed="false">
      <c r="A237" s="34"/>
      <c r="B237" s="43"/>
      <c r="C237" s="10" t="str">
        <f aca="false">IF($B237="","",IFERROR(INDEX(案件管理!$B$3:$B$202,MATCH($B237,案件管理!$A$3:$A$202,0)),"←IDが未登録です"))</f>
        <v/>
      </c>
      <c r="D237" s="31"/>
      <c r="E237" s="31"/>
      <c r="F237" s="44"/>
      <c r="G237" s="26" t="str">
        <f aca="false">IF(N($F237)=0,"",$F237/マスタ!$B$5)</f>
        <v/>
      </c>
      <c r="H237" s="8"/>
    </row>
    <row r="238" customFormat="false" ht="15" hidden="false" customHeight="false" outlineLevel="0" collapsed="false">
      <c r="A238" s="34"/>
      <c r="B238" s="43"/>
      <c r="C238" s="10" t="str">
        <f aca="false">IF($B238="","",IFERROR(INDEX(案件管理!$B$3:$B$202,MATCH($B238,案件管理!$A$3:$A$202,0)),"←IDが未登録です"))</f>
        <v/>
      </c>
      <c r="D238" s="31"/>
      <c r="E238" s="31"/>
      <c r="F238" s="44"/>
      <c r="G238" s="26" t="str">
        <f aca="false">IF(N($F238)=0,"",$F238/マスタ!$B$5)</f>
        <v/>
      </c>
      <c r="H238" s="8"/>
    </row>
    <row r="239" customFormat="false" ht="15" hidden="false" customHeight="false" outlineLevel="0" collapsed="false">
      <c r="A239" s="34"/>
      <c r="B239" s="43"/>
      <c r="C239" s="10" t="str">
        <f aca="false">IF($B239="","",IFERROR(INDEX(案件管理!$B$3:$B$202,MATCH($B239,案件管理!$A$3:$A$202,0)),"←IDが未登録です"))</f>
        <v/>
      </c>
      <c r="D239" s="31"/>
      <c r="E239" s="31"/>
      <c r="F239" s="44"/>
      <c r="G239" s="26" t="str">
        <f aca="false">IF(N($F239)=0,"",$F239/マスタ!$B$5)</f>
        <v/>
      </c>
      <c r="H239" s="8"/>
    </row>
    <row r="240" customFormat="false" ht="15" hidden="false" customHeight="false" outlineLevel="0" collapsed="false">
      <c r="A240" s="34"/>
      <c r="B240" s="43"/>
      <c r="C240" s="10" t="str">
        <f aca="false">IF($B240="","",IFERROR(INDEX(案件管理!$B$3:$B$202,MATCH($B240,案件管理!$A$3:$A$202,0)),"←IDが未登録です"))</f>
        <v/>
      </c>
      <c r="D240" s="31"/>
      <c r="E240" s="31"/>
      <c r="F240" s="44"/>
      <c r="G240" s="26" t="str">
        <f aca="false">IF(N($F240)=0,"",$F240/マスタ!$B$5)</f>
        <v/>
      </c>
      <c r="H240" s="8"/>
    </row>
    <row r="241" customFormat="false" ht="15" hidden="false" customHeight="false" outlineLevel="0" collapsed="false">
      <c r="A241" s="34"/>
      <c r="B241" s="43"/>
      <c r="C241" s="10" t="str">
        <f aca="false">IF($B241="","",IFERROR(INDEX(案件管理!$B$3:$B$202,MATCH($B241,案件管理!$A$3:$A$202,0)),"←IDが未登録です"))</f>
        <v/>
      </c>
      <c r="D241" s="31"/>
      <c r="E241" s="31"/>
      <c r="F241" s="44"/>
      <c r="G241" s="26" t="str">
        <f aca="false">IF(N($F241)=0,"",$F241/マスタ!$B$5)</f>
        <v/>
      </c>
      <c r="H241" s="8"/>
    </row>
    <row r="242" customFormat="false" ht="15" hidden="false" customHeight="false" outlineLevel="0" collapsed="false">
      <c r="A242" s="34"/>
      <c r="B242" s="43"/>
      <c r="C242" s="10" t="str">
        <f aca="false">IF($B242="","",IFERROR(INDEX(案件管理!$B$3:$B$202,MATCH($B242,案件管理!$A$3:$A$202,0)),"←IDが未登録です"))</f>
        <v/>
      </c>
      <c r="D242" s="31"/>
      <c r="E242" s="31"/>
      <c r="F242" s="44"/>
      <c r="G242" s="26" t="str">
        <f aca="false">IF(N($F242)=0,"",$F242/マスタ!$B$5)</f>
        <v/>
      </c>
      <c r="H242" s="8"/>
    </row>
    <row r="243" customFormat="false" ht="15" hidden="false" customHeight="false" outlineLevel="0" collapsed="false">
      <c r="A243" s="34"/>
      <c r="B243" s="43"/>
      <c r="C243" s="10" t="str">
        <f aca="false">IF($B243="","",IFERROR(INDEX(案件管理!$B$3:$B$202,MATCH($B243,案件管理!$A$3:$A$202,0)),"←IDが未登録です"))</f>
        <v/>
      </c>
      <c r="D243" s="31"/>
      <c r="E243" s="31"/>
      <c r="F243" s="44"/>
      <c r="G243" s="26" t="str">
        <f aca="false">IF(N($F243)=0,"",$F243/マスタ!$B$5)</f>
        <v/>
      </c>
      <c r="H243" s="8"/>
    </row>
    <row r="244" customFormat="false" ht="15" hidden="false" customHeight="false" outlineLevel="0" collapsed="false">
      <c r="A244" s="34"/>
      <c r="B244" s="43"/>
      <c r="C244" s="10" t="str">
        <f aca="false">IF($B244="","",IFERROR(INDEX(案件管理!$B$3:$B$202,MATCH($B244,案件管理!$A$3:$A$202,0)),"←IDが未登録です"))</f>
        <v/>
      </c>
      <c r="D244" s="31"/>
      <c r="E244" s="31"/>
      <c r="F244" s="44"/>
      <c r="G244" s="26" t="str">
        <f aca="false">IF(N($F244)=0,"",$F244/マスタ!$B$5)</f>
        <v/>
      </c>
      <c r="H244" s="8"/>
    </row>
    <row r="245" customFormat="false" ht="15" hidden="false" customHeight="false" outlineLevel="0" collapsed="false">
      <c r="A245" s="34"/>
      <c r="B245" s="43"/>
      <c r="C245" s="10" t="str">
        <f aca="false">IF($B245="","",IFERROR(INDEX(案件管理!$B$3:$B$202,MATCH($B245,案件管理!$A$3:$A$202,0)),"←IDが未登録です"))</f>
        <v/>
      </c>
      <c r="D245" s="31"/>
      <c r="E245" s="31"/>
      <c r="F245" s="44"/>
      <c r="G245" s="26" t="str">
        <f aca="false">IF(N($F245)=0,"",$F245/マスタ!$B$5)</f>
        <v/>
      </c>
      <c r="H245" s="8"/>
    </row>
    <row r="246" customFormat="false" ht="15" hidden="false" customHeight="false" outlineLevel="0" collapsed="false">
      <c r="A246" s="34"/>
      <c r="B246" s="43"/>
      <c r="C246" s="10" t="str">
        <f aca="false">IF($B246="","",IFERROR(INDEX(案件管理!$B$3:$B$202,MATCH($B246,案件管理!$A$3:$A$202,0)),"←IDが未登録です"))</f>
        <v/>
      </c>
      <c r="D246" s="31"/>
      <c r="E246" s="31"/>
      <c r="F246" s="44"/>
      <c r="G246" s="26" t="str">
        <f aca="false">IF(N($F246)=0,"",$F246/マスタ!$B$5)</f>
        <v/>
      </c>
      <c r="H246" s="8"/>
    </row>
    <row r="247" customFormat="false" ht="15" hidden="false" customHeight="false" outlineLevel="0" collapsed="false">
      <c r="A247" s="34"/>
      <c r="B247" s="43"/>
      <c r="C247" s="10" t="str">
        <f aca="false">IF($B247="","",IFERROR(INDEX(案件管理!$B$3:$B$202,MATCH($B247,案件管理!$A$3:$A$202,0)),"←IDが未登録です"))</f>
        <v/>
      </c>
      <c r="D247" s="31"/>
      <c r="E247" s="31"/>
      <c r="F247" s="44"/>
      <c r="G247" s="26" t="str">
        <f aca="false">IF(N($F247)=0,"",$F247/マスタ!$B$5)</f>
        <v/>
      </c>
      <c r="H247" s="8"/>
    </row>
    <row r="248" customFormat="false" ht="15" hidden="false" customHeight="false" outlineLevel="0" collapsed="false">
      <c r="A248" s="34"/>
      <c r="B248" s="43"/>
      <c r="C248" s="10" t="str">
        <f aca="false">IF($B248="","",IFERROR(INDEX(案件管理!$B$3:$B$202,MATCH($B248,案件管理!$A$3:$A$202,0)),"←IDが未登録です"))</f>
        <v/>
      </c>
      <c r="D248" s="31"/>
      <c r="E248" s="31"/>
      <c r="F248" s="44"/>
      <c r="G248" s="26" t="str">
        <f aca="false">IF(N($F248)=0,"",$F248/マスタ!$B$5)</f>
        <v/>
      </c>
      <c r="H248" s="8"/>
    </row>
    <row r="249" customFormat="false" ht="15" hidden="false" customHeight="false" outlineLevel="0" collapsed="false">
      <c r="A249" s="34"/>
      <c r="B249" s="43"/>
      <c r="C249" s="10" t="str">
        <f aca="false">IF($B249="","",IFERROR(INDEX(案件管理!$B$3:$B$202,MATCH($B249,案件管理!$A$3:$A$202,0)),"←IDが未登録です"))</f>
        <v/>
      </c>
      <c r="D249" s="31"/>
      <c r="E249" s="31"/>
      <c r="F249" s="44"/>
      <c r="G249" s="26" t="str">
        <f aca="false">IF(N($F249)=0,"",$F249/マスタ!$B$5)</f>
        <v/>
      </c>
      <c r="H249" s="8"/>
    </row>
    <row r="250" customFormat="false" ht="15" hidden="false" customHeight="false" outlineLevel="0" collapsed="false">
      <c r="A250" s="34"/>
      <c r="B250" s="43"/>
      <c r="C250" s="10" t="str">
        <f aca="false">IF($B250="","",IFERROR(INDEX(案件管理!$B$3:$B$202,MATCH($B250,案件管理!$A$3:$A$202,0)),"←IDが未登録です"))</f>
        <v/>
      </c>
      <c r="D250" s="31"/>
      <c r="E250" s="31"/>
      <c r="F250" s="44"/>
      <c r="G250" s="26" t="str">
        <f aca="false">IF(N($F250)=0,"",$F250/マスタ!$B$5)</f>
        <v/>
      </c>
      <c r="H250" s="8"/>
    </row>
    <row r="251" customFormat="false" ht="15" hidden="false" customHeight="false" outlineLevel="0" collapsed="false">
      <c r="A251" s="34"/>
      <c r="B251" s="43"/>
      <c r="C251" s="10" t="str">
        <f aca="false">IF($B251="","",IFERROR(INDEX(案件管理!$B$3:$B$202,MATCH($B251,案件管理!$A$3:$A$202,0)),"←IDが未登録です"))</f>
        <v/>
      </c>
      <c r="D251" s="31"/>
      <c r="E251" s="31"/>
      <c r="F251" s="44"/>
      <c r="G251" s="26" t="str">
        <f aca="false">IF(N($F251)=0,"",$F251/マスタ!$B$5)</f>
        <v/>
      </c>
      <c r="H251" s="8"/>
    </row>
    <row r="252" customFormat="false" ht="15" hidden="false" customHeight="false" outlineLevel="0" collapsed="false">
      <c r="A252" s="34"/>
      <c r="B252" s="43"/>
      <c r="C252" s="10" t="str">
        <f aca="false">IF($B252="","",IFERROR(INDEX(案件管理!$B$3:$B$202,MATCH($B252,案件管理!$A$3:$A$202,0)),"←IDが未登録です"))</f>
        <v/>
      </c>
      <c r="D252" s="31"/>
      <c r="E252" s="31"/>
      <c r="F252" s="44"/>
      <c r="G252" s="26" t="str">
        <f aca="false">IF(N($F252)=0,"",$F252/マスタ!$B$5)</f>
        <v/>
      </c>
      <c r="H252" s="8"/>
    </row>
    <row r="253" customFormat="false" ht="15" hidden="false" customHeight="false" outlineLevel="0" collapsed="false">
      <c r="A253" s="34"/>
      <c r="B253" s="43"/>
      <c r="C253" s="10" t="str">
        <f aca="false">IF($B253="","",IFERROR(INDEX(案件管理!$B$3:$B$202,MATCH($B253,案件管理!$A$3:$A$202,0)),"←IDが未登録です"))</f>
        <v/>
      </c>
      <c r="D253" s="31"/>
      <c r="E253" s="31"/>
      <c r="F253" s="44"/>
      <c r="G253" s="26" t="str">
        <f aca="false">IF(N($F253)=0,"",$F253/マスタ!$B$5)</f>
        <v/>
      </c>
      <c r="H253" s="8"/>
    </row>
    <row r="254" customFormat="false" ht="15" hidden="false" customHeight="false" outlineLevel="0" collapsed="false">
      <c r="A254" s="34"/>
      <c r="B254" s="43"/>
      <c r="C254" s="10" t="str">
        <f aca="false">IF($B254="","",IFERROR(INDEX(案件管理!$B$3:$B$202,MATCH($B254,案件管理!$A$3:$A$202,0)),"←IDが未登録です"))</f>
        <v/>
      </c>
      <c r="D254" s="31"/>
      <c r="E254" s="31"/>
      <c r="F254" s="44"/>
      <c r="G254" s="26" t="str">
        <f aca="false">IF(N($F254)=0,"",$F254/マスタ!$B$5)</f>
        <v/>
      </c>
      <c r="H254" s="8"/>
    </row>
    <row r="255" customFormat="false" ht="15" hidden="false" customHeight="false" outlineLevel="0" collapsed="false">
      <c r="A255" s="34"/>
      <c r="B255" s="43"/>
      <c r="C255" s="10" t="str">
        <f aca="false">IF($B255="","",IFERROR(INDEX(案件管理!$B$3:$B$202,MATCH($B255,案件管理!$A$3:$A$202,0)),"←IDが未登録です"))</f>
        <v/>
      </c>
      <c r="D255" s="31"/>
      <c r="E255" s="31"/>
      <c r="F255" s="44"/>
      <c r="G255" s="26" t="str">
        <f aca="false">IF(N($F255)=0,"",$F255/マスタ!$B$5)</f>
        <v/>
      </c>
      <c r="H255" s="8"/>
    </row>
    <row r="256" customFormat="false" ht="15" hidden="false" customHeight="false" outlineLevel="0" collapsed="false">
      <c r="A256" s="34"/>
      <c r="B256" s="43"/>
      <c r="C256" s="10" t="str">
        <f aca="false">IF($B256="","",IFERROR(INDEX(案件管理!$B$3:$B$202,MATCH($B256,案件管理!$A$3:$A$202,0)),"←IDが未登録です"))</f>
        <v/>
      </c>
      <c r="D256" s="31"/>
      <c r="E256" s="31"/>
      <c r="F256" s="44"/>
      <c r="G256" s="26" t="str">
        <f aca="false">IF(N($F256)=0,"",$F256/マスタ!$B$5)</f>
        <v/>
      </c>
      <c r="H256" s="8"/>
    </row>
    <row r="257" customFormat="false" ht="15" hidden="false" customHeight="false" outlineLevel="0" collapsed="false">
      <c r="A257" s="34"/>
      <c r="B257" s="43"/>
      <c r="C257" s="10" t="str">
        <f aca="false">IF($B257="","",IFERROR(INDEX(案件管理!$B$3:$B$202,MATCH($B257,案件管理!$A$3:$A$202,0)),"←IDが未登録です"))</f>
        <v/>
      </c>
      <c r="D257" s="31"/>
      <c r="E257" s="31"/>
      <c r="F257" s="44"/>
      <c r="G257" s="26" t="str">
        <f aca="false">IF(N($F257)=0,"",$F257/マスタ!$B$5)</f>
        <v/>
      </c>
      <c r="H257" s="8"/>
    </row>
    <row r="258" customFormat="false" ht="15" hidden="false" customHeight="false" outlineLevel="0" collapsed="false">
      <c r="A258" s="34"/>
      <c r="B258" s="43"/>
      <c r="C258" s="10" t="str">
        <f aca="false">IF($B258="","",IFERROR(INDEX(案件管理!$B$3:$B$202,MATCH($B258,案件管理!$A$3:$A$202,0)),"←IDが未登録です"))</f>
        <v/>
      </c>
      <c r="D258" s="31"/>
      <c r="E258" s="31"/>
      <c r="F258" s="44"/>
      <c r="G258" s="26" t="str">
        <f aca="false">IF(N($F258)=0,"",$F258/マスタ!$B$5)</f>
        <v/>
      </c>
      <c r="H258" s="8"/>
    </row>
    <row r="259" customFormat="false" ht="15" hidden="false" customHeight="false" outlineLevel="0" collapsed="false">
      <c r="A259" s="34"/>
      <c r="B259" s="43"/>
      <c r="C259" s="10" t="str">
        <f aca="false">IF($B259="","",IFERROR(INDEX(案件管理!$B$3:$B$202,MATCH($B259,案件管理!$A$3:$A$202,0)),"←IDが未登録です"))</f>
        <v/>
      </c>
      <c r="D259" s="31"/>
      <c r="E259" s="31"/>
      <c r="F259" s="44"/>
      <c r="G259" s="26" t="str">
        <f aca="false">IF(N($F259)=0,"",$F259/マスタ!$B$5)</f>
        <v/>
      </c>
      <c r="H259" s="8"/>
    </row>
    <row r="260" customFormat="false" ht="15" hidden="false" customHeight="false" outlineLevel="0" collapsed="false">
      <c r="A260" s="34"/>
      <c r="B260" s="43"/>
      <c r="C260" s="10" t="str">
        <f aca="false">IF($B260="","",IFERROR(INDEX(案件管理!$B$3:$B$202,MATCH($B260,案件管理!$A$3:$A$202,0)),"←IDが未登録です"))</f>
        <v/>
      </c>
      <c r="D260" s="31"/>
      <c r="E260" s="31"/>
      <c r="F260" s="44"/>
      <c r="G260" s="26" t="str">
        <f aca="false">IF(N($F260)=0,"",$F260/マスタ!$B$5)</f>
        <v/>
      </c>
      <c r="H260" s="8"/>
    </row>
    <row r="261" customFormat="false" ht="15" hidden="false" customHeight="false" outlineLevel="0" collapsed="false">
      <c r="A261" s="34"/>
      <c r="B261" s="43"/>
      <c r="C261" s="10" t="str">
        <f aca="false">IF($B261="","",IFERROR(INDEX(案件管理!$B$3:$B$202,MATCH($B261,案件管理!$A$3:$A$202,0)),"←IDが未登録です"))</f>
        <v/>
      </c>
      <c r="D261" s="31"/>
      <c r="E261" s="31"/>
      <c r="F261" s="44"/>
      <c r="G261" s="26" t="str">
        <f aca="false">IF(N($F261)=0,"",$F261/マスタ!$B$5)</f>
        <v/>
      </c>
      <c r="H261" s="8"/>
    </row>
    <row r="262" customFormat="false" ht="15" hidden="false" customHeight="false" outlineLevel="0" collapsed="false">
      <c r="A262" s="34"/>
      <c r="B262" s="43"/>
      <c r="C262" s="10" t="str">
        <f aca="false">IF($B262="","",IFERROR(INDEX(案件管理!$B$3:$B$202,MATCH($B262,案件管理!$A$3:$A$202,0)),"←IDが未登録です"))</f>
        <v/>
      </c>
      <c r="D262" s="31"/>
      <c r="E262" s="31"/>
      <c r="F262" s="44"/>
      <c r="G262" s="26" t="str">
        <f aca="false">IF(N($F262)=0,"",$F262/マスタ!$B$5)</f>
        <v/>
      </c>
      <c r="H262" s="8"/>
    </row>
    <row r="263" customFormat="false" ht="15" hidden="false" customHeight="false" outlineLevel="0" collapsed="false">
      <c r="A263" s="34"/>
      <c r="B263" s="43"/>
      <c r="C263" s="10" t="str">
        <f aca="false">IF($B263="","",IFERROR(INDEX(案件管理!$B$3:$B$202,MATCH($B263,案件管理!$A$3:$A$202,0)),"←IDが未登録です"))</f>
        <v/>
      </c>
      <c r="D263" s="31"/>
      <c r="E263" s="31"/>
      <c r="F263" s="44"/>
      <c r="G263" s="26" t="str">
        <f aca="false">IF(N($F263)=0,"",$F263/マスタ!$B$5)</f>
        <v/>
      </c>
      <c r="H263" s="8"/>
    </row>
    <row r="264" customFormat="false" ht="15" hidden="false" customHeight="false" outlineLevel="0" collapsed="false">
      <c r="A264" s="34"/>
      <c r="B264" s="43"/>
      <c r="C264" s="10" t="str">
        <f aca="false">IF($B264="","",IFERROR(INDEX(案件管理!$B$3:$B$202,MATCH($B264,案件管理!$A$3:$A$202,0)),"←IDが未登録です"))</f>
        <v/>
      </c>
      <c r="D264" s="31"/>
      <c r="E264" s="31"/>
      <c r="F264" s="44"/>
      <c r="G264" s="26" t="str">
        <f aca="false">IF(N($F264)=0,"",$F264/マスタ!$B$5)</f>
        <v/>
      </c>
      <c r="H264" s="8"/>
    </row>
    <row r="265" customFormat="false" ht="15" hidden="false" customHeight="false" outlineLevel="0" collapsed="false">
      <c r="A265" s="34"/>
      <c r="B265" s="43"/>
      <c r="C265" s="10" t="str">
        <f aca="false">IF($B265="","",IFERROR(INDEX(案件管理!$B$3:$B$202,MATCH($B265,案件管理!$A$3:$A$202,0)),"←IDが未登録です"))</f>
        <v/>
      </c>
      <c r="D265" s="31"/>
      <c r="E265" s="31"/>
      <c r="F265" s="44"/>
      <c r="G265" s="26" t="str">
        <f aca="false">IF(N($F265)=0,"",$F265/マスタ!$B$5)</f>
        <v/>
      </c>
      <c r="H265" s="8"/>
    </row>
    <row r="266" customFormat="false" ht="15" hidden="false" customHeight="false" outlineLevel="0" collapsed="false">
      <c r="A266" s="34"/>
      <c r="B266" s="43"/>
      <c r="C266" s="10" t="str">
        <f aca="false">IF($B266="","",IFERROR(INDEX(案件管理!$B$3:$B$202,MATCH($B266,案件管理!$A$3:$A$202,0)),"←IDが未登録です"))</f>
        <v/>
      </c>
      <c r="D266" s="31"/>
      <c r="E266" s="31"/>
      <c r="F266" s="44"/>
      <c r="G266" s="26" t="str">
        <f aca="false">IF(N($F266)=0,"",$F266/マスタ!$B$5)</f>
        <v/>
      </c>
      <c r="H266" s="8"/>
    </row>
    <row r="267" customFormat="false" ht="15" hidden="false" customHeight="false" outlineLevel="0" collapsed="false">
      <c r="A267" s="34"/>
      <c r="B267" s="43"/>
      <c r="C267" s="10" t="str">
        <f aca="false">IF($B267="","",IFERROR(INDEX(案件管理!$B$3:$B$202,MATCH($B267,案件管理!$A$3:$A$202,0)),"←IDが未登録です"))</f>
        <v/>
      </c>
      <c r="D267" s="31"/>
      <c r="E267" s="31"/>
      <c r="F267" s="44"/>
      <c r="G267" s="26" t="str">
        <f aca="false">IF(N($F267)=0,"",$F267/マスタ!$B$5)</f>
        <v/>
      </c>
      <c r="H267" s="8"/>
    </row>
    <row r="268" customFormat="false" ht="15" hidden="false" customHeight="false" outlineLevel="0" collapsed="false">
      <c r="A268" s="34"/>
      <c r="B268" s="43"/>
      <c r="C268" s="10" t="str">
        <f aca="false">IF($B268="","",IFERROR(INDEX(案件管理!$B$3:$B$202,MATCH($B268,案件管理!$A$3:$A$202,0)),"←IDが未登録です"))</f>
        <v/>
      </c>
      <c r="D268" s="31"/>
      <c r="E268" s="31"/>
      <c r="F268" s="44"/>
      <c r="G268" s="26" t="str">
        <f aca="false">IF(N($F268)=0,"",$F268/マスタ!$B$5)</f>
        <v/>
      </c>
      <c r="H268" s="8"/>
    </row>
    <row r="269" customFormat="false" ht="15" hidden="false" customHeight="false" outlineLevel="0" collapsed="false">
      <c r="A269" s="34"/>
      <c r="B269" s="43"/>
      <c r="C269" s="10" t="str">
        <f aca="false">IF($B269="","",IFERROR(INDEX(案件管理!$B$3:$B$202,MATCH($B269,案件管理!$A$3:$A$202,0)),"←IDが未登録です"))</f>
        <v/>
      </c>
      <c r="D269" s="31"/>
      <c r="E269" s="31"/>
      <c r="F269" s="44"/>
      <c r="G269" s="26" t="str">
        <f aca="false">IF(N($F269)=0,"",$F269/マスタ!$B$5)</f>
        <v/>
      </c>
      <c r="H269" s="8"/>
    </row>
    <row r="270" customFormat="false" ht="15" hidden="false" customHeight="false" outlineLevel="0" collapsed="false">
      <c r="A270" s="34"/>
      <c r="B270" s="43"/>
      <c r="C270" s="10" t="str">
        <f aca="false">IF($B270="","",IFERROR(INDEX(案件管理!$B$3:$B$202,MATCH($B270,案件管理!$A$3:$A$202,0)),"←IDが未登録です"))</f>
        <v/>
      </c>
      <c r="D270" s="31"/>
      <c r="E270" s="31"/>
      <c r="F270" s="44"/>
      <c r="G270" s="26" t="str">
        <f aca="false">IF(N($F270)=0,"",$F270/マスタ!$B$5)</f>
        <v/>
      </c>
      <c r="H270" s="8"/>
    </row>
    <row r="271" customFormat="false" ht="15" hidden="false" customHeight="false" outlineLevel="0" collapsed="false">
      <c r="A271" s="34"/>
      <c r="B271" s="43"/>
      <c r="C271" s="10" t="str">
        <f aca="false">IF($B271="","",IFERROR(INDEX(案件管理!$B$3:$B$202,MATCH($B271,案件管理!$A$3:$A$202,0)),"←IDが未登録です"))</f>
        <v/>
      </c>
      <c r="D271" s="31"/>
      <c r="E271" s="31"/>
      <c r="F271" s="44"/>
      <c r="G271" s="26" t="str">
        <f aca="false">IF(N($F271)=0,"",$F271/マスタ!$B$5)</f>
        <v/>
      </c>
      <c r="H271" s="8"/>
    </row>
    <row r="272" customFormat="false" ht="15" hidden="false" customHeight="false" outlineLevel="0" collapsed="false">
      <c r="A272" s="34"/>
      <c r="B272" s="43"/>
      <c r="C272" s="10" t="str">
        <f aca="false">IF($B272="","",IFERROR(INDEX(案件管理!$B$3:$B$202,MATCH($B272,案件管理!$A$3:$A$202,0)),"←IDが未登録です"))</f>
        <v/>
      </c>
      <c r="D272" s="31"/>
      <c r="E272" s="31"/>
      <c r="F272" s="44"/>
      <c r="G272" s="26" t="str">
        <f aca="false">IF(N($F272)=0,"",$F272/マスタ!$B$5)</f>
        <v/>
      </c>
      <c r="H272" s="8"/>
    </row>
    <row r="273" customFormat="false" ht="15" hidden="false" customHeight="false" outlineLevel="0" collapsed="false">
      <c r="A273" s="34"/>
      <c r="B273" s="43"/>
      <c r="C273" s="10" t="str">
        <f aca="false">IF($B273="","",IFERROR(INDEX(案件管理!$B$3:$B$202,MATCH($B273,案件管理!$A$3:$A$202,0)),"←IDが未登録です"))</f>
        <v/>
      </c>
      <c r="D273" s="31"/>
      <c r="E273" s="31"/>
      <c r="F273" s="44"/>
      <c r="G273" s="26" t="str">
        <f aca="false">IF(N($F273)=0,"",$F273/マスタ!$B$5)</f>
        <v/>
      </c>
      <c r="H273" s="8"/>
    </row>
    <row r="274" customFormat="false" ht="15" hidden="false" customHeight="false" outlineLevel="0" collapsed="false">
      <c r="A274" s="34"/>
      <c r="B274" s="43"/>
      <c r="C274" s="10" t="str">
        <f aca="false">IF($B274="","",IFERROR(INDEX(案件管理!$B$3:$B$202,MATCH($B274,案件管理!$A$3:$A$202,0)),"←IDが未登録です"))</f>
        <v/>
      </c>
      <c r="D274" s="31"/>
      <c r="E274" s="31"/>
      <c r="F274" s="44"/>
      <c r="G274" s="26" t="str">
        <f aca="false">IF(N($F274)=0,"",$F274/マスタ!$B$5)</f>
        <v/>
      </c>
      <c r="H274" s="8"/>
    </row>
    <row r="275" customFormat="false" ht="15" hidden="false" customHeight="false" outlineLevel="0" collapsed="false">
      <c r="A275" s="34"/>
      <c r="B275" s="43"/>
      <c r="C275" s="10" t="str">
        <f aca="false">IF($B275="","",IFERROR(INDEX(案件管理!$B$3:$B$202,MATCH($B275,案件管理!$A$3:$A$202,0)),"←IDが未登録です"))</f>
        <v/>
      </c>
      <c r="D275" s="31"/>
      <c r="E275" s="31"/>
      <c r="F275" s="44"/>
      <c r="G275" s="26" t="str">
        <f aca="false">IF(N($F275)=0,"",$F275/マスタ!$B$5)</f>
        <v/>
      </c>
      <c r="H275" s="8"/>
    </row>
    <row r="276" customFormat="false" ht="15" hidden="false" customHeight="false" outlineLevel="0" collapsed="false">
      <c r="A276" s="34"/>
      <c r="B276" s="43"/>
      <c r="C276" s="10" t="str">
        <f aca="false">IF($B276="","",IFERROR(INDEX(案件管理!$B$3:$B$202,MATCH($B276,案件管理!$A$3:$A$202,0)),"←IDが未登録です"))</f>
        <v/>
      </c>
      <c r="D276" s="31"/>
      <c r="E276" s="31"/>
      <c r="F276" s="44"/>
      <c r="G276" s="26" t="str">
        <f aca="false">IF(N($F276)=0,"",$F276/マスタ!$B$5)</f>
        <v/>
      </c>
      <c r="H276" s="8"/>
    </row>
    <row r="277" customFormat="false" ht="15" hidden="false" customHeight="false" outlineLevel="0" collapsed="false">
      <c r="A277" s="34"/>
      <c r="B277" s="43"/>
      <c r="C277" s="10" t="str">
        <f aca="false">IF($B277="","",IFERROR(INDEX(案件管理!$B$3:$B$202,MATCH($B277,案件管理!$A$3:$A$202,0)),"←IDが未登録です"))</f>
        <v/>
      </c>
      <c r="D277" s="31"/>
      <c r="E277" s="31"/>
      <c r="F277" s="44"/>
      <c r="G277" s="26" t="str">
        <f aca="false">IF(N($F277)=0,"",$F277/マスタ!$B$5)</f>
        <v/>
      </c>
      <c r="H277" s="8"/>
    </row>
    <row r="278" customFormat="false" ht="15" hidden="false" customHeight="false" outlineLevel="0" collapsed="false">
      <c r="A278" s="34"/>
      <c r="B278" s="43"/>
      <c r="C278" s="10" t="str">
        <f aca="false">IF($B278="","",IFERROR(INDEX(案件管理!$B$3:$B$202,MATCH($B278,案件管理!$A$3:$A$202,0)),"←IDが未登録です"))</f>
        <v/>
      </c>
      <c r="D278" s="31"/>
      <c r="E278" s="31"/>
      <c r="F278" s="44"/>
      <c r="G278" s="26" t="str">
        <f aca="false">IF(N($F278)=0,"",$F278/マスタ!$B$5)</f>
        <v/>
      </c>
      <c r="H278" s="8"/>
    </row>
    <row r="279" customFormat="false" ht="15" hidden="false" customHeight="false" outlineLevel="0" collapsed="false">
      <c r="A279" s="34"/>
      <c r="B279" s="43"/>
      <c r="C279" s="10" t="str">
        <f aca="false">IF($B279="","",IFERROR(INDEX(案件管理!$B$3:$B$202,MATCH($B279,案件管理!$A$3:$A$202,0)),"←IDが未登録です"))</f>
        <v/>
      </c>
      <c r="D279" s="31"/>
      <c r="E279" s="31"/>
      <c r="F279" s="44"/>
      <c r="G279" s="26" t="str">
        <f aca="false">IF(N($F279)=0,"",$F279/マスタ!$B$5)</f>
        <v/>
      </c>
      <c r="H279" s="8"/>
    </row>
    <row r="280" customFormat="false" ht="15" hidden="false" customHeight="false" outlineLevel="0" collapsed="false">
      <c r="A280" s="34"/>
      <c r="B280" s="43"/>
      <c r="C280" s="10" t="str">
        <f aca="false">IF($B280="","",IFERROR(INDEX(案件管理!$B$3:$B$202,MATCH($B280,案件管理!$A$3:$A$202,0)),"←IDが未登録です"))</f>
        <v/>
      </c>
      <c r="D280" s="31"/>
      <c r="E280" s="31"/>
      <c r="F280" s="44"/>
      <c r="G280" s="26" t="str">
        <f aca="false">IF(N($F280)=0,"",$F280/マスタ!$B$5)</f>
        <v/>
      </c>
      <c r="H280" s="8"/>
    </row>
    <row r="281" customFormat="false" ht="15" hidden="false" customHeight="false" outlineLevel="0" collapsed="false">
      <c r="A281" s="34"/>
      <c r="B281" s="43"/>
      <c r="C281" s="10" t="str">
        <f aca="false">IF($B281="","",IFERROR(INDEX(案件管理!$B$3:$B$202,MATCH($B281,案件管理!$A$3:$A$202,0)),"←IDが未登録です"))</f>
        <v/>
      </c>
      <c r="D281" s="31"/>
      <c r="E281" s="31"/>
      <c r="F281" s="44"/>
      <c r="G281" s="26" t="str">
        <f aca="false">IF(N($F281)=0,"",$F281/マスタ!$B$5)</f>
        <v/>
      </c>
      <c r="H281" s="8"/>
    </row>
    <row r="282" customFormat="false" ht="15" hidden="false" customHeight="false" outlineLevel="0" collapsed="false">
      <c r="A282" s="34"/>
      <c r="B282" s="43"/>
      <c r="C282" s="10" t="str">
        <f aca="false">IF($B282="","",IFERROR(INDEX(案件管理!$B$3:$B$202,MATCH($B282,案件管理!$A$3:$A$202,0)),"←IDが未登録です"))</f>
        <v/>
      </c>
      <c r="D282" s="31"/>
      <c r="E282" s="31"/>
      <c r="F282" s="44"/>
      <c r="G282" s="26" t="str">
        <f aca="false">IF(N($F282)=0,"",$F282/マスタ!$B$5)</f>
        <v/>
      </c>
      <c r="H282" s="8"/>
    </row>
    <row r="283" customFormat="false" ht="15" hidden="false" customHeight="false" outlineLevel="0" collapsed="false">
      <c r="A283" s="34"/>
      <c r="B283" s="43"/>
      <c r="C283" s="10" t="str">
        <f aca="false">IF($B283="","",IFERROR(INDEX(案件管理!$B$3:$B$202,MATCH($B283,案件管理!$A$3:$A$202,0)),"←IDが未登録です"))</f>
        <v/>
      </c>
      <c r="D283" s="31"/>
      <c r="E283" s="31"/>
      <c r="F283" s="44"/>
      <c r="G283" s="26" t="str">
        <f aca="false">IF(N($F283)=0,"",$F283/マスタ!$B$5)</f>
        <v/>
      </c>
      <c r="H283" s="8"/>
    </row>
    <row r="284" customFormat="false" ht="15" hidden="false" customHeight="false" outlineLevel="0" collapsed="false">
      <c r="A284" s="34"/>
      <c r="B284" s="43"/>
      <c r="C284" s="10" t="str">
        <f aca="false">IF($B284="","",IFERROR(INDEX(案件管理!$B$3:$B$202,MATCH($B284,案件管理!$A$3:$A$202,0)),"←IDが未登録です"))</f>
        <v/>
      </c>
      <c r="D284" s="31"/>
      <c r="E284" s="31"/>
      <c r="F284" s="44"/>
      <c r="G284" s="26" t="str">
        <f aca="false">IF(N($F284)=0,"",$F284/マスタ!$B$5)</f>
        <v/>
      </c>
      <c r="H284" s="8"/>
    </row>
    <row r="285" customFormat="false" ht="15" hidden="false" customHeight="false" outlineLevel="0" collapsed="false">
      <c r="A285" s="34"/>
      <c r="B285" s="43"/>
      <c r="C285" s="10" t="str">
        <f aca="false">IF($B285="","",IFERROR(INDEX(案件管理!$B$3:$B$202,MATCH($B285,案件管理!$A$3:$A$202,0)),"←IDが未登録です"))</f>
        <v/>
      </c>
      <c r="D285" s="31"/>
      <c r="E285" s="31"/>
      <c r="F285" s="44"/>
      <c r="G285" s="26" t="str">
        <f aca="false">IF(N($F285)=0,"",$F285/マスタ!$B$5)</f>
        <v/>
      </c>
      <c r="H285" s="8"/>
    </row>
    <row r="286" customFormat="false" ht="15" hidden="false" customHeight="false" outlineLevel="0" collapsed="false">
      <c r="A286" s="34"/>
      <c r="B286" s="43"/>
      <c r="C286" s="10" t="str">
        <f aca="false">IF($B286="","",IFERROR(INDEX(案件管理!$B$3:$B$202,MATCH($B286,案件管理!$A$3:$A$202,0)),"←IDが未登録です"))</f>
        <v/>
      </c>
      <c r="D286" s="31"/>
      <c r="E286" s="31"/>
      <c r="F286" s="44"/>
      <c r="G286" s="26" t="str">
        <f aca="false">IF(N($F286)=0,"",$F286/マスタ!$B$5)</f>
        <v/>
      </c>
      <c r="H286" s="8"/>
    </row>
    <row r="287" customFormat="false" ht="15" hidden="false" customHeight="false" outlineLevel="0" collapsed="false">
      <c r="A287" s="34"/>
      <c r="B287" s="43"/>
      <c r="C287" s="10" t="str">
        <f aca="false">IF($B287="","",IFERROR(INDEX(案件管理!$B$3:$B$202,MATCH($B287,案件管理!$A$3:$A$202,0)),"←IDが未登録です"))</f>
        <v/>
      </c>
      <c r="D287" s="31"/>
      <c r="E287" s="31"/>
      <c r="F287" s="44"/>
      <c r="G287" s="26" t="str">
        <f aca="false">IF(N($F287)=0,"",$F287/マスタ!$B$5)</f>
        <v/>
      </c>
      <c r="H287" s="8"/>
    </row>
    <row r="288" customFormat="false" ht="15" hidden="false" customHeight="false" outlineLevel="0" collapsed="false">
      <c r="A288" s="34"/>
      <c r="B288" s="43"/>
      <c r="C288" s="10" t="str">
        <f aca="false">IF($B288="","",IFERROR(INDEX(案件管理!$B$3:$B$202,MATCH($B288,案件管理!$A$3:$A$202,0)),"←IDが未登録です"))</f>
        <v/>
      </c>
      <c r="D288" s="31"/>
      <c r="E288" s="31"/>
      <c r="F288" s="44"/>
      <c r="G288" s="26" t="str">
        <f aca="false">IF(N($F288)=0,"",$F288/マスタ!$B$5)</f>
        <v/>
      </c>
      <c r="H288" s="8"/>
    </row>
    <row r="289" customFormat="false" ht="15" hidden="false" customHeight="false" outlineLevel="0" collapsed="false">
      <c r="A289" s="34"/>
      <c r="B289" s="43"/>
      <c r="C289" s="10" t="str">
        <f aca="false">IF($B289="","",IFERROR(INDEX(案件管理!$B$3:$B$202,MATCH($B289,案件管理!$A$3:$A$202,0)),"←IDが未登録です"))</f>
        <v/>
      </c>
      <c r="D289" s="31"/>
      <c r="E289" s="31"/>
      <c r="F289" s="44"/>
      <c r="G289" s="26" t="str">
        <f aca="false">IF(N($F289)=0,"",$F289/マスタ!$B$5)</f>
        <v/>
      </c>
      <c r="H289" s="8"/>
    </row>
    <row r="290" customFormat="false" ht="15" hidden="false" customHeight="false" outlineLevel="0" collapsed="false">
      <c r="A290" s="34"/>
      <c r="B290" s="43"/>
      <c r="C290" s="10" t="str">
        <f aca="false">IF($B290="","",IFERROR(INDEX(案件管理!$B$3:$B$202,MATCH($B290,案件管理!$A$3:$A$202,0)),"←IDが未登録です"))</f>
        <v/>
      </c>
      <c r="D290" s="31"/>
      <c r="E290" s="31"/>
      <c r="F290" s="44"/>
      <c r="G290" s="26" t="str">
        <f aca="false">IF(N($F290)=0,"",$F290/マスタ!$B$5)</f>
        <v/>
      </c>
      <c r="H290" s="8"/>
    </row>
    <row r="291" customFormat="false" ht="15" hidden="false" customHeight="false" outlineLevel="0" collapsed="false">
      <c r="A291" s="34"/>
      <c r="B291" s="43"/>
      <c r="C291" s="10" t="str">
        <f aca="false">IF($B291="","",IFERROR(INDEX(案件管理!$B$3:$B$202,MATCH($B291,案件管理!$A$3:$A$202,0)),"←IDが未登録です"))</f>
        <v/>
      </c>
      <c r="D291" s="31"/>
      <c r="E291" s="31"/>
      <c r="F291" s="44"/>
      <c r="G291" s="26" t="str">
        <f aca="false">IF(N($F291)=0,"",$F291/マスタ!$B$5)</f>
        <v/>
      </c>
      <c r="H291" s="8"/>
    </row>
    <row r="292" customFormat="false" ht="15" hidden="false" customHeight="false" outlineLevel="0" collapsed="false">
      <c r="A292" s="34"/>
      <c r="B292" s="43"/>
      <c r="C292" s="10" t="str">
        <f aca="false">IF($B292="","",IFERROR(INDEX(案件管理!$B$3:$B$202,MATCH($B292,案件管理!$A$3:$A$202,0)),"←IDが未登録です"))</f>
        <v/>
      </c>
      <c r="D292" s="31"/>
      <c r="E292" s="31"/>
      <c r="F292" s="44"/>
      <c r="G292" s="26" t="str">
        <f aca="false">IF(N($F292)=0,"",$F292/マスタ!$B$5)</f>
        <v/>
      </c>
      <c r="H292" s="8"/>
    </row>
    <row r="293" customFormat="false" ht="15" hidden="false" customHeight="false" outlineLevel="0" collapsed="false">
      <c r="A293" s="34"/>
      <c r="B293" s="43"/>
      <c r="C293" s="10" t="str">
        <f aca="false">IF($B293="","",IFERROR(INDEX(案件管理!$B$3:$B$202,MATCH($B293,案件管理!$A$3:$A$202,0)),"←IDが未登録です"))</f>
        <v/>
      </c>
      <c r="D293" s="31"/>
      <c r="E293" s="31"/>
      <c r="F293" s="44"/>
      <c r="G293" s="26" t="str">
        <f aca="false">IF(N($F293)=0,"",$F293/マスタ!$B$5)</f>
        <v/>
      </c>
      <c r="H293" s="8"/>
    </row>
    <row r="294" customFormat="false" ht="15" hidden="false" customHeight="false" outlineLevel="0" collapsed="false">
      <c r="A294" s="34"/>
      <c r="B294" s="43"/>
      <c r="C294" s="10" t="str">
        <f aca="false">IF($B294="","",IFERROR(INDEX(案件管理!$B$3:$B$202,MATCH($B294,案件管理!$A$3:$A$202,0)),"←IDが未登録です"))</f>
        <v/>
      </c>
      <c r="D294" s="31"/>
      <c r="E294" s="31"/>
      <c r="F294" s="44"/>
      <c r="G294" s="26" t="str">
        <f aca="false">IF(N($F294)=0,"",$F294/マスタ!$B$5)</f>
        <v/>
      </c>
      <c r="H294" s="8"/>
    </row>
    <row r="295" customFormat="false" ht="15" hidden="false" customHeight="false" outlineLevel="0" collapsed="false">
      <c r="A295" s="34"/>
      <c r="B295" s="43"/>
      <c r="C295" s="10" t="str">
        <f aca="false">IF($B295="","",IFERROR(INDEX(案件管理!$B$3:$B$202,MATCH($B295,案件管理!$A$3:$A$202,0)),"←IDが未登録です"))</f>
        <v/>
      </c>
      <c r="D295" s="31"/>
      <c r="E295" s="31"/>
      <c r="F295" s="44"/>
      <c r="G295" s="26" t="str">
        <f aca="false">IF(N($F295)=0,"",$F295/マスタ!$B$5)</f>
        <v/>
      </c>
      <c r="H295" s="8"/>
    </row>
    <row r="296" customFormat="false" ht="15" hidden="false" customHeight="false" outlineLevel="0" collapsed="false">
      <c r="A296" s="34"/>
      <c r="B296" s="43"/>
      <c r="C296" s="10" t="str">
        <f aca="false">IF($B296="","",IFERROR(INDEX(案件管理!$B$3:$B$202,MATCH($B296,案件管理!$A$3:$A$202,0)),"←IDが未登録です"))</f>
        <v/>
      </c>
      <c r="D296" s="31"/>
      <c r="E296" s="31"/>
      <c r="F296" s="44"/>
      <c r="G296" s="26" t="str">
        <f aca="false">IF(N($F296)=0,"",$F296/マスタ!$B$5)</f>
        <v/>
      </c>
      <c r="H296" s="8"/>
    </row>
    <row r="297" customFormat="false" ht="15" hidden="false" customHeight="false" outlineLevel="0" collapsed="false">
      <c r="A297" s="34"/>
      <c r="B297" s="43"/>
      <c r="C297" s="10" t="str">
        <f aca="false">IF($B297="","",IFERROR(INDEX(案件管理!$B$3:$B$202,MATCH($B297,案件管理!$A$3:$A$202,0)),"←IDが未登録です"))</f>
        <v/>
      </c>
      <c r="D297" s="31"/>
      <c r="E297" s="31"/>
      <c r="F297" s="44"/>
      <c r="G297" s="26" t="str">
        <f aca="false">IF(N($F297)=0,"",$F297/マスタ!$B$5)</f>
        <v/>
      </c>
      <c r="H297" s="8"/>
    </row>
    <row r="298" customFormat="false" ht="15" hidden="false" customHeight="false" outlineLevel="0" collapsed="false">
      <c r="A298" s="34"/>
      <c r="B298" s="43"/>
      <c r="C298" s="10" t="str">
        <f aca="false">IF($B298="","",IFERROR(INDEX(案件管理!$B$3:$B$202,MATCH($B298,案件管理!$A$3:$A$202,0)),"←IDが未登録です"))</f>
        <v/>
      </c>
      <c r="D298" s="31"/>
      <c r="E298" s="31"/>
      <c r="F298" s="44"/>
      <c r="G298" s="26" t="str">
        <f aca="false">IF(N($F298)=0,"",$F298/マスタ!$B$5)</f>
        <v/>
      </c>
      <c r="H298" s="8"/>
    </row>
    <row r="299" customFormat="false" ht="15" hidden="false" customHeight="false" outlineLevel="0" collapsed="false">
      <c r="A299" s="34"/>
      <c r="B299" s="43"/>
      <c r="C299" s="10" t="str">
        <f aca="false">IF($B299="","",IFERROR(INDEX(案件管理!$B$3:$B$202,MATCH($B299,案件管理!$A$3:$A$202,0)),"←IDが未登録です"))</f>
        <v/>
      </c>
      <c r="D299" s="31"/>
      <c r="E299" s="31"/>
      <c r="F299" s="44"/>
      <c r="G299" s="26" t="str">
        <f aca="false">IF(N($F299)=0,"",$F299/マスタ!$B$5)</f>
        <v/>
      </c>
      <c r="H299" s="8"/>
    </row>
    <row r="300" customFormat="false" ht="15" hidden="false" customHeight="false" outlineLevel="0" collapsed="false">
      <c r="A300" s="34"/>
      <c r="B300" s="43"/>
      <c r="C300" s="10" t="str">
        <f aca="false">IF($B300="","",IFERROR(INDEX(案件管理!$B$3:$B$202,MATCH($B300,案件管理!$A$3:$A$202,0)),"←IDが未登録です"))</f>
        <v/>
      </c>
      <c r="D300" s="31"/>
      <c r="E300" s="31"/>
      <c r="F300" s="44"/>
      <c r="G300" s="26" t="str">
        <f aca="false">IF(N($F300)=0,"",$F300/マスタ!$B$5)</f>
        <v/>
      </c>
      <c r="H300" s="8"/>
    </row>
    <row r="301" customFormat="false" ht="15" hidden="false" customHeight="false" outlineLevel="0" collapsed="false">
      <c r="A301" s="34"/>
      <c r="B301" s="43"/>
      <c r="C301" s="10" t="str">
        <f aca="false">IF($B301="","",IFERROR(INDEX(案件管理!$B$3:$B$202,MATCH($B301,案件管理!$A$3:$A$202,0)),"←IDが未登録です"))</f>
        <v/>
      </c>
      <c r="D301" s="31"/>
      <c r="E301" s="31"/>
      <c r="F301" s="44"/>
      <c r="G301" s="26" t="str">
        <f aca="false">IF(N($F301)=0,"",$F301/マスタ!$B$5)</f>
        <v/>
      </c>
      <c r="H301" s="8"/>
    </row>
    <row r="302" customFormat="false" ht="15" hidden="false" customHeight="false" outlineLevel="0" collapsed="false">
      <c r="A302" s="34"/>
      <c r="B302" s="43"/>
      <c r="C302" s="10" t="str">
        <f aca="false">IF($B302="","",IFERROR(INDEX(案件管理!$B$3:$B$202,MATCH($B302,案件管理!$A$3:$A$202,0)),"←IDが未登録です"))</f>
        <v/>
      </c>
      <c r="D302" s="31"/>
      <c r="E302" s="31"/>
      <c r="F302" s="44"/>
      <c r="G302" s="26" t="str">
        <f aca="false">IF(N($F302)=0,"",$F302/マスタ!$B$5)</f>
        <v/>
      </c>
      <c r="H302" s="8"/>
    </row>
    <row r="304" customFormat="false" ht="15" hidden="false" customHeight="false" outlineLevel="0" collapsed="false">
      <c r="A304" s="40" t="s">
        <v>116</v>
      </c>
    </row>
  </sheetData>
  <autoFilter ref="A2:H302"/>
  <mergeCells count="1">
    <mergeCell ref="A1:H1"/>
  </mergeCells>
  <conditionalFormatting sqref="C3:C302">
    <cfRule type="cellIs" priority="2" operator="equal" aboveAverage="0" equalAverage="0" bottom="0" percent="0" rank="0" text="" dxfId="19">
      <formula>"←IDが未登録です"</formula>
    </cfRule>
  </conditionalFormatting>
  <dataValidations count="3">
    <dataValidation allowBlank="true" errorStyle="stop" operator="between" showDropDown="false" showErrorMessage="false" showInputMessage="false" sqref="D3:D302" type="list">
      <formula1>OwnerList</formula1>
      <formula2>0</formula2>
    </dataValidation>
    <dataValidation allowBlank="true" errorStyle="stop" operator="between" showDropDown="false" showErrorMessage="false" showInputMessage="false" sqref="E3:E302" type="list">
      <formula1>PhaseList</formula1>
      <formula2>0</formula2>
    </dataValidation>
    <dataValidation allowBlank="true" error="案件管理シートに登録済みの案件IDを選んでください。" errorStyle="stop" errorTitle="案件IDの入力" operator="between" showDropDown="false" showErrorMessage="false" showInputMessage="false" sqref="B3:B302" type="list">
      <formula1>案件管理!$A$3:$A$202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9" min="3" style="0" width="15"/>
  </cols>
  <sheetData>
    <row r="1" customFormat="false" ht="25.5" hidden="false" customHeight="true" outlineLevel="0" collapsed="false">
      <c r="B1" s="1" t="s">
        <v>117</v>
      </c>
      <c r="C1" s="1"/>
      <c r="D1" s="1"/>
      <c r="E1" s="1"/>
      <c r="F1" s="1"/>
      <c r="G1" s="1"/>
      <c r="H1" s="1"/>
      <c r="I1" s="1"/>
    </row>
    <row r="3" customFormat="false" ht="15" hidden="false" customHeight="false" outlineLevel="0" collapsed="false">
      <c r="B3" s="3" t="s">
        <v>118</v>
      </c>
      <c r="C3" s="45" t="n">
        <f aca="false">マスタ!$B$6</f>
        <v>2026</v>
      </c>
      <c r="D3" s="40" t="s">
        <v>119</v>
      </c>
    </row>
    <row r="5" customFormat="false" ht="15" hidden="false" customHeight="false" outlineLevel="0" collapsed="false">
      <c r="B5" s="46" t="s">
        <v>120</v>
      </c>
    </row>
    <row r="6" customFormat="false" ht="15" hidden="false" customHeight="false" outlineLevel="0" collapsed="false">
      <c r="B6" s="47" t="s">
        <v>121</v>
      </c>
      <c r="C6" s="48" t="s">
        <v>122</v>
      </c>
      <c r="D6" s="48" t="s">
        <v>123</v>
      </c>
      <c r="E6" s="48" t="s">
        <v>124</v>
      </c>
      <c r="F6" s="48" t="s">
        <v>125</v>
      </c>
      <c r="G6" s="47" t="s">
        <v>126</v>
      </c>
    </row>
    <row r="7" customFormat="false" ht="15" hidden="false" customHeight="false" outlineLevel="0" collapsed="false">
      <c r="B7" s="9" t="s">
        <v>127</v>
      </c>
      <c r="C7" s="49" t="n">
        <f aca="false">COUNTIFS(案件管理!$N$3:$N$202,$C$3,案件管理!$O$3:$O$202,C6,案件管理!$A$3:$A$202,"&lt;&gt;")</f>
        <v>2</v>
      </c>
      <c r="D7" s="49" t="n">
        <f aca="false">COUNTIFS(案件管理!$N$3:$N$202,$C$3,案件管理!$O$3:$O$202,D6,案件管理!$A$3:$A$202,"&lt;&gt;")</f>
        <v>0</v>
      </c>
      <c r="E7" s="49" t="n">
        <f aca="false">COUNTIFS(案件管理!$N$3:$N$202,$C$3,案件管理!$O$3:$O$202,E6,案件管理!$A$3:$A$202,"&lt;&gt;")</f>
        <v>1</v>
      </c>
      <c r="F7" s="49" t="n">
        <f aca="false">COUNTIFS(案件管理!$N$3:$N$202,$C$3,案件管理!$O$3:$O$202,F6,案件管理!$A$3:$A$202,"&lt;&gt;")</f>
        <v>0</v>
      </c>
      <c r="G7" s="50" t="n">
        <f aca="false">SUM(C7:F7)</f>
        <v>3</v>
      </c>
    </row>
    <row r="8" customFormat="false" ht="15" hidden="false" customHeight="false" outlineLevel="0" collapsed="false">
      <c r="B8" s="9" t="s">
        <v>67</v>
      </c>
      <c r="C8" s="51" t="n">
        <f aca="false">SUMIFS(案件管理!$P$3:$P$202,案件管理!$N$3:$N$202,$C$3,案件管理!$O$3:$O$202,C6)</f>
        <v>6000000</v>
      </c>
      <c r="D8" s="51" t="n">
        <f aca="false">SUMIFS(案件管理!$P$3:$P$202,案件管理!$N$3:$N$202,$C$3,案件管理!$O$3:$O$202,D6)</f>
        <v>0</v>
      </c>
      <c r="E8" s="51" t="n">
        <f aca="false">SUMIFS(案件管理!$P$3:$P$202,案件管理!$N$3:$N$202,$C$3,案件管理!$O$3:$O$202,E6)</f>
        <v>3000000</v>
      </c>
      <c r="F8" s="51" t="n">
        <f aca="false">SUMIFS(案件管理!$P$3:$P$202,案件管理!$N$3:$N$202,$C$3,案件管理!$O$3:$O$202,F6)</f>
        <v>0</v>
      </c>
      <c r="G8" s="52" t="n">
        <f aca="false">SUM(C8:F8)</f>
        <v>9000000</v>
      </c>
    </row>
    <row r="9" customFormat="false" ht="15" hidden="false" customHeight="false" outlineLevel="0" collapsed="false">
      <c r="B9" s="9" t="s">
        <v>128</v>
      </c>
      <c r="C9" s="51" t="n">
        <f aca="false">SUMIFS(案件管理!$Q$3:$Q$202,案件管理!$N$3:$N$202,$C$3,案件管理!$O$3:$O$202,C6)</f>
        <v>6000000</v>
      </c>
      <c r="D9" s="51" t="n">
        <f aca="false">SUMIFS(案件管理!$Q$3:$Q$202,案件管理!$N$3:$N$202,$C$3,案件管理!$O$3:$O$202,D6)</f>
        <v>0</v>
      </c>
      <c r="E9" s="51" t="n">
        <f aca="false">SUMIFS(案件管理!$Q$3:$Q$202,案件管理!$N$3:$N$202,$C$3,案件管理!$O$3:$O$202,E6)</f>
        <v>1500000</v>
      </c>
      <c r="F9" s="51" t="n">
        <f aca="false">SUMIFS(案件管理!$Q$3:$Q$202,案件管理!$N$3:$N$202,$C$3,案件管理!$O$3:$O$202,F6)</f>
        <v>0</v>
      </c>
      <c r="G9" s="52" t="n">
        <f aca="false">SUM(C9:F9)</f>
        <v>7500000</v>
      </c>
    </row>
    <row r="10" customFormat="false" ht="15" hidden="false" customHeight="false" outlineLevel="0" collapsed="false">
      <c r="B10" s="9" t="s">
        <v>69</v>
      </c>
      <c r="C10" s="51" t="n">
        <f aca="false">SUMIFS(案件管理!$R$3:$R$202,案件管理!$N$3:$N$202,$C$3,案件管理!$O$3:$O$202,C6)</f>
        <v>3080000</v>
      </c>
      <c r="D10" s="51" t="n">
        <f aca="false">SUMIFS(案件管理!$R$3:$R$202,案件管理!$N$3:$N$202,$C$3,案件管理!$O$3:$O$202,D6)</f>
        <v>0</v>
      </c>
      <c r="E10" s="51" t="n">
        <f aca="false">SUMIFS(案件管理!$R$3:$R$202,案件管理!$N$3:$N$202,$C$3,案件管理!$O$3:$O$202,E6)</f>
        <v>1500000</v>
      </c>
      <c r="F10" s="51" t="n">
        <f aca="false">SUMIFS(案件管理!$R$3:$R$202,案件管理!$N$3:$N$202,$C$3,案件管理!$O$3:$O$202,F6)</f>
        <v>0</v>
      </c>
      <c r="G10" s="52" t="n">
        <f aca="false">SUM(C10:F10)</f>
        <v>4580000</v>
      </c>
    </row>
    <row r="11" customFormat="false" ht="15" hidden="false" customHeight="false" outlineLevel="0" collapsed="false">
      <c r="B11" s="9" t="s">
        <v>70</v>
      </c>
      <c r="C11" s="51" t="n">
        <f aca="false">SUMIFS(案件管理!$S$3:$S$202,案件管理!$N$3:$N$202,$C$3,案件管理!$O$3:$O$202,C6)</f>
        <v>2920000</v>
      </c>
      <c r="D11" s="51" t="n">
        <f aca="false">SUMIFS(案件管理!$S$3:$S$202,案件管理!$N$3:$N$202,$C$3,案件管理!$O$3:$O$202,D6)</f>
        <v>0</v>
      </c>
      <c r="E11" s="51" t="n">
        <f aca="false">SUMIFS(案件管理!$S$3:$S$202,案件管理!$N$3:$N$202,$C$3,案件管理!$O$3:$O$202,E6)</f>
        <v>1500000</v>
      </c>
      <c r="F11" s="51" t="n">
        <f aca="false">SUMIFS(案件管理!$S$3:$S$202,案件管理!$N$3:$N$202,$C$3,案件管理!$O$3:$O$202,F6)</f>
        <v>0</v>
      </c>
      <c r="G11" s="52" t="n">
        <f aca="false">SUM(C11:F11)</f>
        <v>4420000</v>
      </c>
    </row>
    <row r="12" customFormat="false" ht="15" hidden="false" customHeight="false" outlineLevel="0" collapsed="false">
      <c r="B12" s="9" t="s">
        <v>71</v>
      </c>
      <c r="C12" s="53" t="n">
        <f aca="false">IF(N(C8)=0,"",C11/C8)</f>
        <v>0.486666666666667</v>
      </c>
      <c r="D12" s="53" t="str">
        <f aca="false">IF(N(D8)=0,"",D11/D8)</f>
        <v/>
      </c>
      <c r="E12" s="53" t="n">
        <f aca="false">IF(N(E8)=0,"",E11/E8)</f>
        <v>0.5</v>
      </c>
      <c r="F12" s="53" t="str">
        <f aca="false">IF(N(F8)=0,"",F11/F8)</f>
        <v/>
      </c>
      <c r="G12" s="54" t="n">
        <f aca="false">IF(N(G8)=0,"",G11/G8)</f>
        <v>0.491111111111111</v>
      </c>
    </row>
    <row r="13" customFormat="false" ht="15" hidden="false" customHeight="false" outlineLevel="0" collapsed="false">
      <c r="B13" s="9" t="s">
        <v>72</v>
      </c>
      <c r="C13" s="55" t="n">
        <f aca="false">SUMIFS(案件管理!$U$3:$U$202,案件管理!$N$3:$N$202,$C$3,案件管理!$O$3:$O$202,C6)</f>
        <v>57</v>
      </c>
      <c r="D13" s="55" t="n">
        <f aca="false">SUMIFS(案件管理!$U$3:$U$202,案件管理!$N$3:$N$202,$C$3,案件管理!$O$3:$O$202,D6)</f>
        <v>0</v>
      </c>
      <c r="E13" s="55" t="n">
        <f aca="false">SUMIFS(案件管理!$U$3:$U$202,案件管理!$N$3:$N$202,$C$3,案件管理!$O$3:$O$202,E6)</f>
        <v>30</v>
      </c>
      <c r="F13" s="55" t="n">
        <f aca="false">SUMIFS(案件管理!$U$3:$U$202,案件管理!$N$3:$N$202,$C$3,案件管理!$O$3:$O$202,F6)</f>
        <v>0</v>
      </c>
      <c r="G13" s="56" t="n">
        <f aca="false">SUM(C13:F13)</f>
        <v>87</v>
      </c>
    </row>
    <row r="14" customFormat="false" ht="15" hidden="false" customHeight="false" outlineLevel="0" collapsed="false">
      <c r="B14" s="9" t="s">
        <v>73</v>
      </c>
      <c r="C14" s="55" t="n">
        <f aca="false">SUMIFS(案件管理!$V$3:$V$202,案件管理!$N$3:$N$202,$C$3,案件管理!$O$3:$O$202,C6)</f>
        <v>2.25</v>
      </c>
      <c r="D14" s="55" t="n">
        <f aca="false">SUMIFS(案件管理!$V$3:$V$202,案件管理!$N$3:$N$202,$C$3,案件管理!$O$3:$O$202,D6)</f>
        <v>0</v>
      </c>
      <c r="E14" s="55" t="n">
        <f aca="false">SUMIFS(案件管理!$V$3:$V$202,案件管理!$N$3:$N$202,$C$3,案件管理!$O$3:$O$202,E6)</f>
        <v>0</v>
      </c>
      <c r="F14" s="55" t="n">
        <f aca="false">SUMIFS(案件管理!$V$3:$V$202,案件管理!$N$3:$N$202,$C$3,案件管理!$O$3:$O$202,F6)</f>
        <v>0</v>
      </c>
      <c r="G14" s="56" t="n">
        <f aca="false">SUM(C14:F14)</f>
        <v>2.25</v>
      </c>
    </row>
    <row r="15" customFormat="false" ht="15" hidden="false" customHeight="false" outlineLevel="0" collapsed="false">
      <c r="B15" s="9" t="s">
        <v>75</v>
      </c>
      <c r="C15" s="53" t="n">
        <f aca="false">IF(N(C13)=0,"",C14/C13)</f>
        <v>0.0394736842105263</v>
      </c>
      <c r="D15" s="53" t="str">
        <f aca="false">IF(N(D13)=0,"",D14/D13)</f>
        <v/>
      </c>
      <c r="E15" s="53" t="n">
        <f aca="false">IF(N(E13)=0,"",E14/E13)</f>
        <v>0</v>
      </c>
      <c r="F15" s="53" t="str">
        <f aca="false">IF(N(F13)=0,"",F14/F13)</f>
        <v/>
      </c>
      <c r="G15" s="54" t="n">
        <f aca="false">IF(N(G13)=0,"",G14/G13)</f>
        <v>0.0258620689655172</v>
      </c>
    </row>
    <row r="18" customFormat="false" ht="15" hidden="false" customHeight="false" outlineLevel="0" collapsed="false">
      <c r="B18" s="46" t="s">
        <v>129</v>
      </c>
    </row>
    <row r="19" customFormat="false" ht="15" hidden="false" customHeight="false" outlineLevel="0" collapsed="false">
      <c r="B19" s="47" t="s">
        <v>58</v>
      </c>
      <c r="C19" s="47" t="s">
        <v>127</v>
      </c>
      <c r="D19" s="47" t="s">
        <v>67</v>
      </c>
      <c r="E19" s="47" t="s">
        <v>70</v>
      </c>
      <c r="F19" s="47" t="s">
        <v>72</v>
      </c>
      <c r="G19" s="47" t="s">
        <v>73</v>
      </c>
    </row>
    <row r="20" customFormat="false" ht="15" hidden="false" customHeight="false" outlineLevel="0" collapsed="false">
      <c r="B20" s="57" t="s">
        <v>98</v>
      </c>
      <c r="C20" s="49" t="n">
        <f aca="false">COUNTIFS(案件管理!$N$3:$N$202,$C$3,案件管理!$G$3:$G$202,$B20)</f>
        <v>1</v>
      </c>
      <c r="D20" s="51" t="n">
        <f aca="false">SUMIFS(案件管理!$P$3:$P$202,案件管理!$N$3:$N$202,$C$3,案件管理!$G$3:$G$202,$B20)</f>
        <v>3000000</v>
      </c>
      <c r="E20" s="51" t="n">
        <f aca="false">SUMIFS(案件管理!$S$3:$S$202,案件管理!$N$3:$N$202,$C$3,案件管理!$G$3:$G$202,$B20)</f>
        <v>1500000</v>
      </c>
      <c r="F20" s="55" t="n">
        <f aca="false">SUMIFS(案件管理!$U$3:$U$202,案件管理!$N$3:$N$202,$C$3,案件管理!$G$3:$G$202,$B20)</f>
        <v>30</v>
      </c>
      <c r="G20" s="55" t="n">
        <f aca="false">SUMIFS(案件管理!$V$3:$V$202,案件管理!$N$3:$N$202,$C$3,案件管理!$G$3:$G$202,$B20)</f>
        <v>0</v>
      </c>
    </row>
    <row r="21" customFormat="false" ht="15" hidden="false" customHeight="false" outlineLevel="0" collapsed="false">
      <c r="B21" s="57" t="s">
        <v>84</v>
      </c>
      <c r="C21" s="49" t="n">
        <f aca="false">COUNTIFS(案件管理!$N$3:$N$202,$C$3,案件管理!$G$3:$G$202,$B21)</f>
        <v>1</v>
      </c>
      <c r="D21" s="51" t="n">
        <f aca="false">SUMIFS(案件管理!$P$3:$P$202,案件管理!$N$3:$N$202,$C$3,案件管理!$G$3:$G$202,$B21)</f>
        <v>4800000</v>
      </c>
      <c r="E21" s="51" t="n">
        <f aca="false">SUMIFS(案件管理!$S$3:$S$202,案件管理!$N$3:$N$202,$C$3,案件管理!$G$3:$G$202,$B21)</f>
        <v>2200000</v>
      </c>
      <c r="F21" s="55" t="n">
        <f aca="false">SUMIFS(案件管理!$U$3:$U$202,案件管理!$N$3:$N$202,$C$3,案件管理!$G$3:$G$202,$B21)</f>
        <v>45</v>
      </c>
      <c r="G21" s="55" t="n">
        <f aca="false">SUMIFS(案件管理!$V$3:$V$202,案件管理!$N$3:$N$202,$C$3,案件管理!$G$3:$G$202,$B21)</f>
        <v>1.75</v>
      </c>
    </row>
    <row r="22" customFormat="false" ht="15" hidden="false" customHeight="false" outlineLevel="0" collapsed="false">
      <c r="B22" s="57" t="s">
        <v>130</v>
      </c>
      <c r="C22" s="49" t="n">
        <f aca="false">COUNTIFS(案件管理!$N$3:$N$202,$C$3,案件管理!$G$3:$G$202,$B22)</f>
        <v>0</v>
      </c>
      <c r="D22" s="51" t="n">
        <f aca="false">SUMIFS(案件管理!$P$3:$P$202,案件管理!$N$3:$N$202,$C$3,案件管理!$G$3:$G$202,$B22)</f>
        <v>0</v>
      </c>
      <c r="E22" s="51" t="n">
        <f aca="false">SUMIFS(案件管理!$S$3:$S$202,案件管理!$N$3:$N$202,$C$3,案件管理!$G$3:$G$202,$B22)</f>
        <v>0</v>
      </c>
      <c r="F22" s="55" t="n">
        <f aca="false">SUMIFS(案件管理!$U$3:$U$202,案件管理!$N$3:$N$202,$C$3,案件管理!$G$3:$G$202,$B22)</f>
        <v>0</v>
      </c>
      <c r="G22" s="55" t="n">
        <f aca="false">SUMIFS(案件管理!$V$3:$V$202,案件管理!$N$3:$N$202,$C$3,案件管理!$G$3:$G$202,$B22)</f>
        <v>0</v>
      </c>
    </row>
    <row r="23" customFormat="false" ht="15" hidden="false" customHeight="false" outlineLevel="0" collapsed="false">
      <c r="B23" s="57" t="s">
        <v>92</v>
      </c>
      <c r="C23" s="49" t="n">
        <f aca="false">COUNTIFS(案件管理!$N$3:$N$202,$C$3,案件管理!$G$3:$G$202,$B23)</f>
        <v>1</v>
      </c>
      <c r="D23" s="51" t="n">
        <f aca="false">SUMIFS(案件管理!$P$3:$P$202,案件管理!$N$3:$N$202,$C$3,案件管理!$G$3:$G$202,$B23)</f>
        <v>1200000</v>
      </c>
      <c r="E23" s="51" t="n">
        <f aca="false">SUMIFS(案件管理!$S$3:$S$202,案件管理!$N$3:$N$202,$C$3,案件管理!$G$3:$G$202,$B23)</f>
        <v>720000</v>
      </c>
      <c r="F23" s="55" t="n">
        <f aca="false">SUMIFS(案件管理!$U$3:$U$202,案件管理!$N$3:$N$202,$C$3,案件管理!$G$3:$G$202,$B23)</f>
        <v>12</v>
      </c>
      <c r="G23" s="55" t="n">
        <f aca="false">SUMIFS(案件管理!$V$3:$V$202,案件管理!$N$3:$N$202,$C$3,案件管理!$G$3:$G$202,$B23)</f>
        <v>0.5</v>
      </c>
    </row>
    <row r="24" customFormat="false" ht="15" hidden="false" customHeight="false" outlineLevel="0" collapsed="false">
      <c r="B24" s="57" t="s">
        <v>131</v>
      </c>
      <c r="C24" s="49" t="n">
        <f aca="false">COUNTIFS(案件管理!$N$3:$N$202,$C$3,案件管理!$G$3:$G$202,$B24)</f>
        <v>0</v>
      </c>
      <c r="D24" s="51" t="n">
        <f aca="false">SUMIFS(案件管理!$P$3:$P$202,案件管理!$N$3:$N$202,$C$3,案件管理!$G$3:$G$202,$B24)</f>
        <v>0</v>
      </c>
      <c r="E24" s="51" t="n">
        <f aca="false">SUMIFS(案件管理!$S$3:$S$202,案件管理!$N$3:$N$202,$C$3,案件管理!$G$3:$G$202,$B24)</f>
        <v>0</v>
      </c>
      <c r="F24" s="55" t="n">
        <f aca="false">SUMIFS(案件管理!$U$3:$U$202,案件管理!$N$3:$N$202,$C$3,案件管理!$G$3:$G$202,$B24)</f>
        <v>0</v>
      </c>
      <c r="G24" s="55" t="n">
        <f aca="false">SUMIFS(案件管理!$V$3:$V$202,案件管理!$N$3:$N$202,$C$3,案件管理!$G$3:$G$202,$B24)</f>
        <v>0</v>
      </c>
    </row>
    <row r="27" customFormat="false" ht="15" hidden="false" customHeight="false" outlineLevel="0" collapsed="false">
      <c r="B27" s="46" t="s">
        <v>132</v>
      </c>
    </row>
    <row r="28" customFormat="false" ht="15" hidden="false" customHeight="false" outlineLevel="0" collapsed="false">
      <c r="B28" s="47" t="s">
        <v>55</v>
      </c>
      <c r="C28" s="47" t="s">
        <v>127</v>
      </c>
      <c r="D28" s="47" t="s">
        <v>67</v>
      </c>
      <c r="E28" s="47" t="s">
        <v>70</v>
      </c>
      <c r="F28" s="47" t="s">
        <v>72</v>
      </c>
      <c r="G28" s="47" t="s">
        <v>73</v>
      </c>
      <c r="H28" s="47" t="s">
        <v>75</v>
      </c>
    </row>
    <row r="29" customFormat="false" ht="15" hidden="false" customHeight="false" outlineLevel="0" collapsed="false">
      <c r="B29" s="57" t="s">
        <v>82</v>
      </c>
      <c r="C29" s="49" t="n">
        <f aca="false">COUNTIFS(案件管理!$N$3:$N$202,$C$3,案件管理!$D$3:$D$202,$B29)</f>
        <v>1</v>
      </c>
      <c r="D29" s="51" t="n">
        <f aca="false">SUMIFS(案件管理!$P$3:$P$202,案件管理!$N$3:$N$202,$C$3,案件管理!$D$3:$D$202,$B29)</f>
        <v>4800000</v>
      </c>
      <c r="E29" s="51" t="n">
        <f aca="false">SUMIFS(案件管理!$S$3:$S$202,案件管理!$N$3:$N$202,$C$3,案件管理!$D$3:$D$202,$B29)</f>
        <v>2200000</v>
      </c>
      <c r="F29" s="55" t="n">
        <f aca="false">SUMIFS(案件管理!$U$3:$U$202,案件管理!$N$3:$N$202,$C$3,案件管理!$D$3:$D$202,$B29)</f>
        <v>45</v>
      </c>
      <c r="G29" s="55" t="n">
        <f aca="false">SUMIFS(案件管理!$V$3:$V$202,案件管理!$N$3:$N$202,$C$3,案件管理!$D$3:$D$202,$B29)</f>
        <v>1.75</v>
      </c>
      <c r="H29" s="53" t="n">
        <f aca="false">IF(N($F29)=0,"",$G29/$F29)</f>
        <v>0.0388888888888889</v>
      </c>
    </row>
    <row r="30" customFormat="false" ht="15" hidden="false" customHeight="false" outlineLevel="0" collapsed="false">
      <c r="B30" s="57" t="s">
        <v>90</v>
      </c>
      <c r="C30" s="49" t="n">
        <f aca="false">COUNTIFS(案件管理!$N$3:$N$202,$C$3,案件管理!$D$3:$D$202,$B30)</f>
        <v>1</v>
      </c>
      <c r="D30" s="51" t="n">
        <f aca="false">SUMIFS(案件管理!$P$3:$P$202,案件管理!$N$3:$N$202,$C$3,案件管理!$D$3:$D$202,$B30)</f>
        <v>1200000</v>
      </c>
      <c r="E30" s="51" t="n">
        <f aca="false">SUMIFS(案件管理!$S$3:$S$202,案件管理!$N$3:$N$202,$C$3,案件管理!$D$3:$D$202,$B30)</f>
        <v>720000</v>
      </c>
      <c r="F30" s="55" t="n">
        <f aca="false">SUMIFS(案件管理!$U$3:$U$202,案件管理!$N$3:$N$202,$C$3,案件管理!$D$3:$D$202,$B30)</f>
        <v>12</v>
      </c>
      <c r="G30" s="55" t="n">
        <f aca="false">SUMIFS(案件管理!$V$3:$V$202,案件管理!$N$3:$N$202,$C$3,案件管理!$D$3:$D$202,$B30)</f>
        <v>0.5</v>
      </c>
      <c r="H30" s="53" t="n">
        <f aca="false">IF(N($F30)=0,"",$G30/$F30)</f>
        <v>0.0416666666666667</v>
      </c>
    </row>
    <row r="31" customFormat="false" ht="15" hidden="false" customHeight="false" outlineLevel="0" collapsed="false">
      <c r="B31" s="57" t="s">
        <v>97</v>
      </c>
      <c r="C31" s="49" t="n">
        <f aca="false">COUNTIFS(案件管理!$N$3:$N$202,$C$3,案件管理!$D$3:$D$202,$B31)</f>
        <v>1</v>
      </c>
      <c r="D31" s="51" t="n">
        <f aca="false">SUMIFS(案件管理!$P$3:$P$202,案件管理!$N$3:$N$202,$C$3,案件管理!$D$3:$D$202,$B31)</f>
        <v>3000000</v>
      </c>
      <c r="E31" s="51" t="n">
        <f aca="false">SUMIFS(案件管理!$S$3:$S$202,案件管理!$N$3:$N$202,$C$3,案件管理!$D$3:$D$202,$B31)</f>
        <v>1500000</v>
      </c>
      <c r="F31" s="55" t="n">
        <f aca="false">SUMIFS(案件管理!$U$3:$U$202,案件管理!$N$3:$N$202,$C$3,案件管理!$D$3:$D$202,$B31)</f>
        <v>30</v>
      </c>
      <c r="G31" s="55" t="n">
        <f aca="false">SUMIFS(案件管理!$V$3:$V$202,案件管理!$N$3:$N$202,$C$3,案件管理!$D$3:$D$202,$B31)</f>
        <v>0</v>
      </c>
      <c r="H31" s="53" t="n">
        <f aca="false">IF(N($F31)=0,"",$G31/$F31)</f>
        <v>0</v>
      </c>
    </row>
    <row r="32" customFormat="false" ht="15" hidden="false" customHeight="false" outlineLevel="0" collapsed="false">
      <c r="B32" s="57" t="s">
        <v>133</v>
      </c>
      <c r="C32" s="49" t="n">
        <f aca="false">COUNTIFS(案件管理!$N$3:$N$202,$C$3,案件管理!$D$3:$D$202,$B32)</f>
        <v>0</v>
      </c>
      <c r="D32" s="51" t="n">
        <f aca="false">SUMIFS(案件管理!$P$3:$P$202,案件管理!$N$3:$N$202,$C$3,案件管理!$D$3:$D$202,$B32)</f>
        <v>0</v>
      </c>
      <c r="E32" s="51" t="n">
        <f aca="false">SUMIFS(案件管理!$S$3:$S$202,案件管理!$N$3:$N$202,$C$3,案件管理!$D$3:$D$202,$B32)</f>
        <v>0</v>
      </c>
      <c r="F32" s="55" t="n">
        <f aca="false">SUMIFS(案件管理!$U$3:$U$202,案件管理!$N$3:$N$202,$C$3,案件管理!$D$3:$D$202,$B32)</f>
        <v>0</v>
      </c>
      <c r="G32" s="55" t="n">
        <f aca="false">SUMIFS(案件管理!$V$3:$V$202,案件管理!$N$3:$N$202,$C$3,案件管理!$D$3:$D$202,$B32)</f>
        <v>0</v>
      </c>
      <c r="H32" s="53" t="str">
        <f aca="false">IF(N($F32)=0,"",$G32/$F32)</f>
        <v/>
      </c>
    </row>
    <row r="35" customFormat="false" ht="15" hidden="false" customHeight="false" outlineLevel="0" collapsed="false">
      <c r="B35" s="46" t="s">
        <v>134</v>
      </c>
    </row>
    <row r="36" customFormat="false" ht="15" hidden="false" customHeight="false" outlineLevel="0" collapsed="false">
      <c r="B36" s="47" t="s">
        <v>108</v>
      </c>
      <c r="C36" s="47" t="s">
        <v>127</v>
      </c>
      <c r="D36" s="47" t="s">
        <v>67</v>
      </c>
      <c r="E36" s="47" t="s">
        <v>73</v>
      </c>
    </row>
    <row r="37" customFormat="false" ht="15" hidden="false" customHeight="false" outlineLevel="0" collapsed="false">
      <c r="B37" s="57" t="s">
        <v>99</v>
      </c>
      <c r="C37" s="49" t="n">
        <f aca="false">COUNTIFS(案件管理!$N$3:$N$202,$C$3,案件管理!$H$3:$H$202,$B37,案件管理!$G$3:$G$202,"&lt;&gt;失注")</f>
        <v>1</v>
      </c>
      <c r="D37" s="51" t="n">
        <f aca="false">SUMIFS(案件管理!$P$3:$P$202,案件管理!$N$3:$N$202,$C$3,案件管理!$H$3:$H$202,$B37,案件管理!$G$3:$G$202,"&lt;&gt;失注")</f>
        <v>3000000</v>
      </c>
      <c r="E37" s="55" t="n">
        <f aca="false">SUMIFS(案件管理!$V$3:$V$202,案件管理!$N$3:$N$202,$C$3,案件管理!$H$3:$H$202,$B37,案件管理!$G$3:$G$202,"&lt;&gt;失注")</f>
        <v>0</v>
      </c>
    </row>
    <row r="38" customFormat="false" ht="15" hidden="false" customHeight="false" outlineLevel="0" collapsed="false">
      <c r="B38" s="57" t="s">
        <v>135</v>
      </c>
      <c r="C38" s="49" t="n">
        <f aca="false">COUNTIFS(案件管理!$N$3:$N$202,$C$3,案件管理!$H$3:$H$202,$B38,案件管理!$G$3:$G$202,"&lt;&gt;失注")</f>
        <v>0</v>
      </c>
      <c r="D38" s="51" t="n">
        <f aca="false">SUMIFS(案件管理!$P$3:$P$202,案件管理!$N$3:$N$202,$C$3,案件管理!$H$3:$H$202,$B38,案件管理!$G$3:$G$202,"&lt;&gt;失注")</f>
        <v>0</v>
      </c>
      <c r="E38" s="55" t="n">
        <f aca="false">SUMIFS(案件管理!$V$3:$V$202,案件管理!$N$3:$N$202,$C$3,案件管理!$H$3:$H$202,$B38,案件管理!$G$3:$G$202,"&lt;&gt;失注")</f>
        <v>0</v>
      </c>
    </row>
    <row r="39" customFormat="false" ht="15" hidden="false" customHeight="false" outlineLevel="0" collapsed="false">
      <c r="B39" s="57" t="s">
        <v>136</v>
      </c>
      <c r="C39" s="49" t="n">
        <f aca="false">COUNTIFS(案件管理!$N$3:$N$202,$C$3,案件管理!$H$3:$H$202,$B39,案件管理!$G$3:$G$202,"&lt;&gt;失注")</f>
        <v>0</v>
      </c>
      <c r="D39" s="51" t="n">
        <f aca="false">SUMIFS(案件管理!$P$3:$P$202,案件管理!$N$3:$N$202,$C$3,案件管理!$H$3:$H$202,$B39,案件管理!$G$3:$G$202,"&lt;&gt;失注")</f>
        <v>0</v>
      </c>
      <c r="E39" s="55" t="n">
        <f aca="false">SUMIFS(案件管理!$V$3:$V$202,案件管理!$N$3:$N$202,$C$3,案件管理!$H$3:$H$202,$B39,案件管理!$G$3:$G$202,"&lt;&gt;失注")</f>
        <v>0</v>
      </c>
    </row>
    <row r="40" customFormat="false" ht="15" hidden="false" customHeight="false" outlineLevel="0" collapsed="false">
      <c r="B40" s="57" t="s">
        <v>85</v>
      </c>
      <c r="C40" s="49" t="n">
        <f aca="false">COUNTIFS(案件管理!$N$3:$N$202,$C$3,案件管理!$H$3:$H$202,$B40,案件管理!$G$3:$G$202,"&lt;&gt;失注")</f>
        <v>1</v>
      </c>
      <c r="D40" s="51" t="n">
        <f aca="false">SUMIFS(案件管理!$P$3:$P$202,案件管理!$N$3:$N$202,$C$3,案件管理!$H$3:$H$202,$B40,案件管理!$G$3:$G$202,"&lt;&gt;失注")</f>
        <v>4800000</v>
      </c>
      <c r="E40" s="55" t="n">
        <f aca="false">SUMIFS(案件管理!$V$3:$V$202,案件管理!$N$3:$N$202,$C$3,案件管理!$H$3:$H$202,$B40,案件管理!$G$3:$G$202,"&lt;&gt;失注")</f>
        <v>1.75</v>
      </c>
    </row>
    <row r="41" customFormat="false" ht="15" hidden="false" customHeight="false" outlineLevel="0" collapsed="false">
      <c r="B41" s="57" t="s">
        <v>114</v>
      </c>
      <c r="C41" s="49" t="n">
        <f aca="false">COUNTIFS(案件管理!$N$3:$N$202,$C$3,案件管理!$H$3:$H$202,$B41,案件管理!$G$3:$G$202,"&lt;&gt;失注")</f>
        <v>0</v>
      </c>
      <c r="D41" s="51" t="n">
        <f aca="false">SUMIFS(案件管理!$P$3:$P$202,案件管理!$N$3:$N$202,$C$3,案件管理!$H$3:$H$202,$B41,案件管理!$G$3:$G$202,"&lt;&gt;失注")</f>
        <v>0</v>
      </c>
      <c r="E41" s="55" t="n">
        <f aca="false">SUMIFS(案件管理!$V$3:$V$202,案件管理!$N$3:$N$202,$C$3,案件管理!$H$3:$H$202,$B41,案件管理!$G$3:$G$202,"&lt;&gt;失注")</f>
        <v>0</v>
      </c>
    </row>
    <row r="42" customFormat="false" ht="15" hidden="false" customHeight="false" outlineLevel="0" collapsed="false">
      <c r="B42" s="57" t="s">
        <v>137</v>
      </c>
      <c r="C42" s="49" t="n">
        <f aca="false">COUNTIFS(案件管理!$N$3:$N$202,$C$3,案件管理!$H$3:$H$202,$B42,案件管理!$G$3:$G$202,"&lt;&gt;失注")</f>
        <v>0</v>
      </c>
      <c r="D42" s="51" t="n">
        <f aca="false">SUMIFS(案件管理!$P$3:$P$202,案件管理!$N$3:$N$202,$C$3,案件管理!$H$3:$H$202,$B42,案件管理!$G$3:$G$202,"&lt;&gt;失注")</f>
        <v>0</v>
      </c>
      <c r="E42" s="55" t="n">
        <f aca="false">SUMIFS(案件管理!$V$3:$V$202,案件管理!$N$3:$N$202,$C$3,案件管理!$H$3:$H$202,$B42,案件管理!$G$3:$G$202,"&lt;&gt;失注")</f>
        <v>0</v>
      </c>
    </row>
    <row r="43" customFormat="false" ht="15" hidden="false" customHeight="false" outlineLevel="0" collapsed="false">
      <c r="B43" s="57" t="s">
        <v>138</v>
      </c>
      <c r="C43" s="49" t="n">
        <f aca="false">COUNTIFS(案件管理!$N$3:$N$202,$C$3,案件管理!$H$3:$H$202,$B43,案件管理!$G$3:$G$202,"&lt;&gt;失注")</f>
        <v>0</v>
      </c>
      <c r="D43" s="51" t="n">
        <f aca="false">SUMIFS(案件管理!$P$3:$P$202,案件管理!$N$3:$N$202,$C$3,案件管理!$H$3:$H$202,$B43,案件管理!$G$3:$G$202,"&lt;&gt;失注")</f>
        <v>0</v>
      </c>
      <c r="E43" s="55" t="n">
        <f aca="false">SUMIFS(案件管理!$V$3:$V$202,案件管理!$N$3:$N$202,$C$3,案件管理!$H$3:$H$202,$B43,案件管理!$G$3:$G$202,"&lt;&gt;失注")</f>
        <v>0</v>
      </c>
    </row>
    <row r="44" customFormat="false" ht="15" hidden="false" customHeight="false" outlineLevel="0" collapsed="false">
      <c r="B44" s="57" t="s">
        <v>92</v>
      </c>
      <c r="C44" s="49" t="n">
        <f aca="false">COUNTIFS(案件管理!$N$3:$N$202,$C$3,案件管理!$H$3:$H$202,$B44,案件管理!$G$3:$G$202,"&lt;&gt;失注")</f>
        <v>1</v>
      </c>
      <c r="D44" s="51" t="n">
        <f aca="false">SUMIFS(案件管理!$P$3:$P$202,案件管理!$N$3:$N$202,$C$3,案件管理!$H$3:$H$202,$B44,案件管理!$G$3:$G$202,"&lt;&gt;失注")</f>
        <v>1200000</v>
      </c>
      <c r="E44" s="55" t="n">
        <f aca="false">SUMIFS(案件管理!$V$3:$V$202,案件管理!$N$3:$N$202,$C$3,案件管理!$H$3:$H$202,$B44,案件管理!$G$3:$G$202,"&lt;&gt;失注")</f>
        <v>0.5</v>
      </c>
    </row>
    <row r="46" customFormat="false" ht="15" hidden="false" customHeight="false" outlineLevel="0" collapsed="false">
      <c r="B46" s="40" t="s">
        <v>139</v>
      </c>
    </row>
  </sheetData>
  <mergeCells count="1">
    <mergeCell ref="B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9" min="5" style="0" width="14"/>
  </cols>
  <sheetData>
    <row r="1" customFormat="false" ht="24" hidden="false" customHeight="true" outlineLevel="0" collapsed="false">
      <c r="A1" s="1" t="s">
        <v>140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3" t="s">
        <v>141</v>
      </c>
      <c r="E2" s="3" t="s">
        <v>142</v>
      </c>
    </row>
    <row r="3" customFormat="false" ht="15" hidden="false" customHeight="false" outlineLevel="0" collapsed="false">
      <c r="A3" s="13" t="s">
        <v>143</v>
      </c>
      <c r="B3" s="13" t="s">
        <v>144</v>
      </c>
      <c r="C3" s="13" t="s">
        <v>145</v>
      </c>
      <c r="E3" s="13" t="s">
        <v>58</v>
      </c>
      <c r="F3" s="13" t="s">
        <v>108</v>
      </c>
      <c r="G3" s="13" t="s">
        <v>55</v>
      </c>
      <c r="H3" s="13" t="s">
        <v>56</v>
      </c>
      <c r="I3" s="13" t="s">
        <v>57</v>
      </c>
    </row>
    <row r="4" customFormat="false" ht="15" hidden="false" customHeight="false" outlineLevel="0" collapsed="false">
      <c r="A4" s="58" t="s">
        <v>38</v>
      </c>
      <c r="B4" s="59" t="n">
        <v>4</v>
      </c>
      <c r="C4" s="60" t="s">
        <v>146</v>
      </c>
      <c r="E4" s="61" t="s">
        <v>98</v>
      </c>
      <c r="F4" s="61" t="s">
        <v>99</v>
      </c>
      <c r="G4" s="61" t="s">
        <v>82</v>
      </c>
      <c r="H4" s="61" t="s">
        <v>83</v>
      </c>
      <c r="I4" s="62" t="n">
        <v>1</v>
      </c>
    </row>
    <row r="5" customFormat="false" ht="15" hidden="false" customHeight="false" outlineLevel="0" collapsed="false">
      <c r="A5" s="63" t="s">
        <v>147</v>
      </c>
      <c r="B5" s="64" t="n">
        <v>8</v>
      </c>
      <c r="C5" s="60" t="s">
        <v>148</v>
      </c>
      <c r="E5" s="61" t="s">
        <v>84</v>
      </c>
      <c r="F5" s="61" t="s">
        <v>135</v>
      </c>
      <c r="G5" s="61" t="s">
        <v>90</v>
      </c>
      <c r="H5" s="61" t="s">
        <v>149</v>
      </c>
      <c r="I5" s="62" t="n">
        <v>0.8</v>
      </c>
    </row>
    <row r="6" customFormat="false" ht="15" hidden="false" customHeight="false" outlineLevel="0" collapsed="false">
      <c r="A6" s="58" t="s">
        <v>150</v>
      </c>
      <c r="B6" s="65" t="n">
        <v>2026</v>
      </c>
      <c r="C6" s="60" t="s">
        <v>151</v>
      </c>
      <c r="E6" s="61" t="s">
        <v>130</v>
      </c>
      <c r="F6" s="61" t="s">
        <v>136</v>
      </c>
      <c r="G6" s="61" t="s">
        <v>97</v>
      </c>
      <c r="H6" s="61" t="s">
        <v>91</v>
      </c>
      <c r="I6" s="62" t="n">
        <v>0.5</v>
      </c>
    </row>
    <row r="7" customFormat="false" ht="15" hidden="false" customHeight="false" outlineLevel="0" collapsed="false">
      <c r="E7" s="61" t="s">
        <v>92</v>
      </c>
      <c r="F7" s="61" t="s">
        <v>85</v>
      </c>
      <c r="G7" s="61" t="s">
        <v>133</v>
      </c>
      <c r="H7" s="61" t="s">
        <v>152</v>
      </c>
      <c r="I7" s="62" t="n">
        <v>0.3</v>
      </c>
    </row>
    <row r="8" customFormat="false" ht="15" hidden="false" customHeight="false" outlineLevel="0" collapsed="false">
      <c r="E8" s="61" t="s">
        <v>131</v>
      </c>
      <c r="F8" s="61" t="s">
        <v>114</v>
      </c>
      <c r="I8" s="62" t="n">
        <v>0.1</v>
      </c>
    </row>
    <row r="9" customFormat="false" ht="15" hidden="false" customHeight="false" outlineLevel="0" collapsed="false">
      <c r="F9" s="61" t="s">
        <v>137</v>
      </c>
      <c r="I9" s="62" t="n">
        <v>0</v>
      </c>
    </row>
    <row r="10" customFormat="false" ht="15" hidden="false" customHeight="false" outlineLevel="0" collapsed="false">
      <c r="F10" s="61" t="s">
        <v>138</v>
      </c>
    </row>
    <row r="11" customFormat="false" ht="15" hidden="false" customHeight="false" outlineLevel="0" collapsed="false">
      <c r="F11" s="61" t="s">
        <v>92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2026-09-15T03:22:04Z</dcterms:created>
  <dc:creator>openpyxl</dc:creator>
  <dc:description/>
  <dc:language>en-US</dc:language>
  <cp:lastModifiedBy/>
  <dcterms:modified xsi:type="dcterms:W3CDTF">2026-09-15T03:22:05Z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