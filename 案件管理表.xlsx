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案件管理" sheetId="2" state="visible" r:id="rId4"/>
    <sheet name="工数明細" sheetId="3" state="visible" r:id="rId5"/>
    <sheet name="月次工数計画" sheetId="4" state="visible" r:id="rId6"/>
    <sheet name="発注・納品" sheetId="5" state="visible" r:id="rId7"/>
    <sheet name="現地作業" sheetId="6" state="visible" r:id="rId8"/>
    <sheet name="ダッシュボード" sheetId="7" state="visible" r:id="rId9"/>
    <sheet name="マスタ" sheetId="8" state="visible" r:id="rId10"/>
  </sheets>
  <definedNames>
    <definedName function="false" hidden="true" localSheetId="2" name="_xlnm._FilterDatabase" vbProcedure="false">工数明細!$A$2:$I$302</definedName>
    <definedName function="false" hidden="true" localSheetId="1" name="_xlnm._FilterDatabase" vbProcedure="false">案件管理!$A$2:$AK$202</definedName>
    <definedName function="false" hidden="true" localSheetId="5" name="_xlnm._FilterDatabase" vbProcedure="false">現地作業!$A$2:$N$202</definedName>
    <definedName function="false" hidden="true" localSheetId="4" name="_xlnm._FilterDatabase" vbProcedure="false">発注・納品!$A$2:$Q$202</definedName>
    <definedName function="false" hidden="false" name="OwnerList" vbProcedure="false">マスタ!$G$4:$G$23</definedName>
    <definedName function="false" hidden="false" name="PhaseList" vbProcedure="false">マスタ!$F$4:$F$18</definedName>
    <definedName function="false" hidden="false" name="ProbList" vbProcedure="false">マスタ!$I$4:$I$9</definedName>
    <definedName function="false" hidden="false" name="SiteTypeList" vbProcedure="false">マスタ!$J$4:$J$18</definedName>
    <definedName function="false" hidden="false" name="StatusList" vbProcedure="false">マスタ!$E$4:$E$13</definedName>
    <definedName function="false" hidden="false" name="TypeList" vbProcedure="false">マスタ!$H$4:$H$13</definedName>
    <definedName function="false" hidden="false" name="VendorList" vbProcedure="false">マスタ!$L$4:$L$23</definedName>
    <definedName function="false" hidden="false" name="WorkStateList" vbProcedure="false">マスタ!$K$4:$K$10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WenQuanYi Zen Hei"/>
            <family val="2"/>
          </rPr>
          <t xml:space="preserve">重複しない番号。他のシートと紐づくキーです（例</t>
        </r>
        <r>
          <rPr>
            <sz val="10"/>
            <rFont val="Arial"/>
            <family val="2"/>
          </rPr>
          <t xml:space="preserve">: P-001</t>
        </r>
        <r>
          <rPr>
            <sz val="10"/>
            <rFont val="WenQuanYi Zen Hei"/>
            <family val="2"/>
          </rPr>
          <t xml:space="preserve">）</t>
        </r>
      </text>
    </comment>
    <comment ref="D2" authorId="0">
      <text>
        <r>
          <rPr>
            <sz val="10"/>
            <rFont val="WenQuanYi Zen Hei"/>
            <family val="2"/>
          </rPr>
          <t xml:space="preserve">マスタのリストから選択</t>
        </r>
      </text>
    </comment>
    <comment ref="F2" authorId="0">
      <text>
        <r>
          <rPr>
            <sz val="10"/>
            <rFont val="WenQuanYi Zen Hei"/>
            <family val="2"/>
          </rPr>
          <t xml:space="preserve">見込みの確からしさ。加重金額の計算に使います</t>
        </r>
      </text>
    </comment>
    <comment ref="G2" authorId="0">
      <text>
        <r>
          <rPr>
            <sz val="10"/>
            <rFont val="WenQuanYi Zen Hei"/>
            <family val="2"/>
          </rPr>
          <t xml:space="preserve">未着手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進行中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保留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完了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失注</t>
        </r>
      </text>
    </comment>
    <comment ref="H2" authorId="0">
      <text>
        <r>
          <rPr>
            <sz val="10"/>
            <rFont val="WenQuanYi Zen Hei"/>
            <family val="2"/>
          </rPr>
          <t xml:space="preserve">いま案件のどこをやっているか</t>
        </r>
      </text>
    </comment>
    <comment ref="I2" authorId="0">
      <text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100% </t>
        </r>
        <r>
          <rPr>
            <sz val="10"/>
            <rFont val="WenQuanYi Zen Hei"/>
            <family val="2"/>
          </rPr>
          <t xml:space="preserve">で入力</t>
        </r>
      </text>
    </comment>
    <comment ref="J2" authorId="0">
      <text>
        <r>
          <rPr>
            <sz val="10"/>
            <rFont val="WenQuanYi Zen Hei"/>
            <family val="2"/>
          </rPr>
          <t xml:space="preserve">この日付から年度・クォーターを判定します</t>
        </r>
      </text>
    </comment>
    <comment ref="Q2" authorId="0">
      <text>
        <r>
          <rPr>
            <sz val="10"/>
            <rFont val="WenQuanYi Zen Hei"/>
            <family val="2"/>
          </rPr>
          <t xml:space="preserve">税抜の受注（見込）金額</t>
        </r>
      </text>
    </comment>
    <comment ref="S2" authorId="0">
      <text>
        <r>
          <rPr>
            <sz val="10"/>
            <rFont val="WenQuanYi Zen Hei"/>
            <family val="2"/>
          </rPr>
          <t xml:space="preserve">外注費・交通費など。機器代は発注・納品シートから自動集計します</t>
        </r>
      </text>
    </comment>
    <comment ref="AE2" authorId="0">
      <text>
        <r>
          <rPr>
            <sz val="10"/>
            <rFont val="WenQuanYi Zen Hei"/>
            <family val="2"/>
          </rPr>
          <t xml:space="preserve">人日で入力。月ごとの内訳は月次工数計画シートへ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WenQuanYi Zen Hei"/>
            <family val="2"/>
          </rPr>
          <t xml:space="preserve">案件管理シートに登録済みの</t>
        </r>
        <r>
          <rPr>
            <sz val="10"/>
            <rFont val="Arial"/>
            <family val="2"/>
          </rPr>
          <t xml:space="preserve">ID</t>
        </r>
        <r>
          <rPr>
            <sz val="10"/>
            <rFont val="WenQuanYi Zen Hei"/>
            <family val="2"/>
          </rPr>
          <t xml:space="preserve">を選んでください</t>
        </r>
      </text>
    </comment>
    <comment ref="F2" authorId="0">
      <text>
        <r>
          <rPr>
            <sz val="10"/>
            <rFont val="WenQuanYi Zen Hei"/>
            <family val="2"/>
          </rPr>
          <t xml:space="preserve">その日にかけた時間を入力</t>
        </r>
      </text>
    </comment>
    <comment ref="I2" authorId="0">
      <text>
        <r>
          <rPr>
            <sz val="10"/>
            <rFont val="WenQuanYi Zen Hei"/>
            <family val="2"/>
          </rPr>
          <t xml:space="preserve">月次工数計画シートの集計キーです（例</t>
        </r>
        <r>
          <rPr>
            <sz val="10"/>
            <rFont val="Arial"/>
            <family val="2"/>
          </rPr>
          <t xml:space="preserve">: 202606</t>
        </r>
        <r>
          <rPr>
            <sz val="10"/>
            <rFont val="WenQuanYi Zen Hei"/>
            <family val="2"/>
          </rPr>
          <t xml:space="preserve">）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WenQuanYi Zen Hei"/>
            <family val="2"/>
          </rPr>
          <t xml:space="preserve">自由な採番で</t>
        </r>
        <r>
          <rPr>
            <sz val="10"/>
            <rFont val="Arial"/>
            <family val="2"/>
          </rPr>
          <t xml:space="preserve">OK</t>
        </r>
        <r>
          <rPr>
            <sz val="10"/>
            <rFont val="WenQuanYi Zen Hei"/>
            <family val="2"/>
          </rPr>
          <t xml:space="preserve">（例</t>
        </r>
        <r>
          <rPr>
            <sz val="10"/>
            <rFont val="Arial"/>
            <family val="2"/>
          </rPr>
          <t xml:space="preserve">: O-001</t>
        </r>
        <r>
          <rPr>
            <sz val="10"/>
            <rFont val="WenQuanYi Zen Hei"/>
            <family val="2"/>
          </rPr>
          <t xml:space="preserve">）</t>
        </r>
      </text>
    </comment>
    <comment ref="B2" authorId="0">
      <text>
        <r>
          <rPr>
            <sz val="10"/>
            <rFont val="WenQuanYi Zen Hei"/>
            <family val="2"/>
          </rPr>
          <t xml:space="preserve">案件管理シートに登録済みの</t>
        </r>
        <r>
          <rPr>
            <sz val="10"/>
            <rFont val="Arial"/>
            <family val="2"/>
          </rPr>
          <t xml:space="preserve">ID</t>
        </r>
        <r>
          <rPr>
            <sz val="10"/>
            <rFont val="WenQuanYi Zen Hei"/>
            <family val="2"/>
          </rPr>
          <t xml:space="preserve">を選んでください</t>
        </r>
      </text>
    </comment>
    <comment ref="G2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台あたりの仕入価格（税抜）</t>
        </r>
      </text>
    </comment>
    <comment ref="K2" authorId="0">
      <text>
        <r>
          <rPr>
            <sz val="10"/>
            <rFont val="WenQuanYi Zen Hei"/>
            <family val="2"/>
          </rPr>
          <t xml:space="preserve">こちらが希望する納品日</t>
        </r>
      </text>
    </comment>
    <comment ref="L2" authorId="0">
      <text>
        <r>
          <rPr>
            <sz val="10"/>
            <rFont val="WenQuanYi Zen Hei"/>
            <family val="2"/>
          </rPr>
          <t xml:space="preserve">発注先から回答された納期。納期差異はここを基準に計算します</t>
        </r>
      </text>
    </comment>
    <comment ref="M2" authorId="0">
      <text>
        <r>
          <rPr>
            <sz val="10"/>
            <rFont val="WenQuanYi Zen Hei"/>
            <family val="2"/>
          </rPr>
          <t xml:space="preserve">実際にモノが届いた日</t>
        </r>
      </text>
    </comment>
    <comment ref="N2" authorId="0">
      <text>
        <r>
          <rPr>
            <sz val="10"/>
            <rFont val="WenQuanYi Zen Hei"/>
            <family val="2"/>
          </rPr>
          <t xml:space="preserve">検品して受け入れた日</t>
        </r>
      </text>
    </comment>
    <comment ref="P2" authorId="0">
      <text>
        <r>
          <rPr>
            <sz val="10"/>
            <rFont val="WenQuanYi Zen Hei"/>
            <family val="2"/>
          </rPr>
          <t xml:space="preserve">回答納期に対する入荷日のズレ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WenQuanYi Zen Hei"/>
            <family val="2"/>
          </rPr>
          <t xml:space="preserve">案件管理シートに登録済みの</t>
        </r>
        <r>
          <rPr>
            <sz val="10"/>
            <rFont val="Arial"/>
            <family val="2"/>
          </rPr>
          <t xml:space="preserve">ID</t>
        </r>
        <r>
          <rPr>
            <sz val="10"/>
            <rFont val="WenQuanYi Zen Hei"/>
            <family val="2"/>
          </rPr>
          <t xml:space="preserve">を選んでください</t>
        </r>
      </text>
    </comment>
    <comment ref="E2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9:00</t>
        </r>
      </text>
    </comment>
    <comment ref="F2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18:00</t>
        </r>
      </text>
    </comment>
    <comment ref="I2" authorId="0">
      <text>
        <r>
          <rPr>
            <sz val="10"/>
            <rFont val="WenQuanYi Zen Hei"/>
            <family val="2"/>
          </rPr>
          <t xml:space="preserve">現地の住所や拠点名</t>
        </r>
      </text>
    </comment>
    <comment ref="J2" authorId="0">
      <text>
        <r>
          <rPr>
            <sz val="10"/>
            <rFont val="WenQuanYi Zen Hei"/>
            <family val="2"/>
          </rPr>
          <t xml:space="preserve">複数名なら「山田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佐藤」のように書いても</t>
        </r>
        <r>
          <rPr>
            <sz val="10"/>
            <rFont val="Arial"/>
            <family val="2"/>
          </rPr>
          <t xml:space="preserve">OK</t>
        </r>
      </text>
    </comment>
    <comment ref="L2" authorId="0">
      <text>
        <r>
          <rPr>
            <sz val="10"/>
            <rFont val="WenQuanYi Zen Hei"/>
            <family val="2"/>
          </rPr>
          <t xml:space="preserve">予定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完了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延期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中止</t>
        </r>
      </text>
    </comment>
  </commentList>
</comments>
</file>

<file path=xl/sharedStrings.xml><?xml version="1.0" encoding="utf-8"?>
<sst xmlns="http://schemas.openxmlformats.org/spreadsheetml/2006/main" count="417" uniqueCount="287">
  <si>
    <t xml:space="preserve">使い方とルール</t>
  </si>
  <si>
    <t xml:space="preserve">■ シートの役割</t>
  </si>
  <si>
    <t xml:space="preserve">案件管理</t>
  </si>
  <si>
    <r>
      <rPr>
        <sz val="10"/>
        <color rgb="FF000000"/>
        <rFont val="WenQuanYi Zen Hei"/>
        <family val="2"/>
      </rPr>
      <t xml:space="preserve">案件を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行で登録します。青文字＋うすい黄色の列だけ入力してください。</t>
    </r>
  </si>
  <si>
    <t xml:space="preserve">グレー背景の列は自動計算です。緑文字は他のシートから集計した値です。</t>
  </si>
  <si>
    <t xml:space="preserve">工数明細</t>
  </si>
  <si>
    <r>
      <rPr>
        <sz val="10"/>
        <color rgb="FF000000"/>
        <rFont val="WenQuanYi Zen Hei"/>
        <family val="2"/>
      </rPr>
      <t xml:space="preserve">日々の工数を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行ずつ入れます。案件管理の「実績工数」と月次工数計画の「実績」に反映されます。</t>
    </r>
  </si>
  <si>
    <t xml:space="preserve">月次工数計画</t>
  </si>
  <si>
    <t xml:space="preserve">どの案件に何月何人日を投入するかを入力します。下半分に工数明細からの実績が並びます。</t>
  </si>
  <si>
    <t xml:space="preserve">発注・納品</t>
  </si>
  <si>
    <r>
      <rPr>
        <sz val="10"/>
        <color rgb="FF000000"/>
        <rFont val="WenQuanYi Zen Hei"/>
        <family val="2"/>
      </rPr>
      <t xml:space="preserve">機器の発注を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明細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行で。発注日→希望納期→回答納期→入荷日→受入日 を追いかけます。</t>
    </r>
  </si>
  <si>
    <t xml:space="preserve">現地作業</t>
  </si>
  <si>
    <t xml:space="preserve">現地に行く日の予定と実施記録。作業日・時間・場所・作業者・状態を入れます。</t>
  </si>
  <si>
    <t xml:space="preserve">ダッシュボード</t>
  </si>
  <si>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WenQuanYi Zen Hei"/>
        <family val="2"/>
      </rPr>
      <t xml:space="preserve">に年度を入れると、クォーター別・ステータス別・担当者別・作業ステップ別、</t>
    </r>
  </si>
  <si>
    <t xml:space="preserve">および機器の納品状況・現地作業の件数を自動集計します。</t>
  </si>
  <si>
    <t xml:space="preserve">マスタ</t>
  </si>
  <si>
    <r>
      <rPr>
        <sz val="10"/>
        <color rgb="FF000000"/>
        <rFont val="WenQuanYi Zen Hei"/>
        <family val="2"/>
      </rPr>
      <t xml:space="preserve">年度開始月（初期値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人日あたりの時間（初期値</t>
    </r>
    <r>
      <rPr>
        <sz val="10"/>
        <color rgb="FF000000"/>
        <rFont val="Arial"/>
        <family val="0"/>
        <charset val="1"/>
      </rPr>
      <t xml:space="preserve">8h</t>
    </r>
    <r>
      <rPr>
        <sz val="10"/>
        <color rgb="FF000000"/>
        <rFont val="WenQuanYi Zen Hei"/>
        <family val="2"/>
      </rPr>
      <t xml:space="preserve">）、月次計画の開始年月、</t>
    </r>
  </si>
  <si>
    <t xml:space="preserve">各プルダウンの選択肢を変えられます。</t>
  </si>
  <si>
    <t xml:space="preserve">■ 色のルール</t>
  </si>
  <si>
    <t xml:space="preserve">青文字</t>
  </si>
  <si>
    <t xml:space="preserve">自分で入力するセル</t>
  </si>
  <si>
    <t xml:space="preserve">黒文字＋グレー背景</t>
  </si>
  <si>
    <t xml:space="preserve">そのシート内の数式による自動計算。編集しないでください。</t>
  </si>
  <si>
    <t xml:space="preserve">緑文字＋グレー背景</t>
  </si>
  <si>
    <t xml:space="preserve">他のシートから集計している自動計算。編集しないでください。</t>
  </si>
  <si>
    <t xml:space="preserve">黄色の塗り</t>
  </si>
  <si>
    <t xml:space="preserve">設定値。会社のルールに合わせて変更してください（マスタシート）。</t>
  </si>
  <si>
    <t xml:space="preserve">うすい緑の行</t>
  </si>
  <si>
    <t xml:space="preserve">サンプル行です。書き換えるか、行ごと削除してからお使いください。</t>
  </si>
  <si>
    <t xml:space="preserve">■ 入力の順番（おすすめ）</t>
  </si>
  <si>
    <t xml:space="preserve">1</t>
  </si>
  <si>
    <r>
      <rPr>
        <sz val="10"/>
        <color rgb="FF000000"/>
        <rFont val="WenQuanYi Zen Hei"/>
        <family val="2"/>
      </rPr>
      <t xml:space="preserve">マスタで年度開始月・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人日あたりの時間・月次計画の開始年月を決める</t>
    </r>
  </si>
  <si>
    <t xml:space="preserve">2</t>
  </si>
  <si>
    <r>
      <rPr>
        <sz val="10"/>
        <color rgb="FF000000"/>
        <rFont val="WenQuanYi Zen Hei"/>
        <family val="2"/>
      </rPr>
      <t xml:space="preserve">案件管理に案件を登録する（案件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は重複しない値にしてください）</t>
    </r>
  </si>
  <si>
    <t xml:space="preserve">3</t>
  </si>
  <si>
    <t xml:space="preserve">月次工数計画で、その案件に何月何人日を投入するか配分する</t>
  </si>
  <si>
    <t xml:space="preserve">4</t>
  </si>
  <si>
    <t xml:space="preserve">機器があれば発注・納品に明細を登録する（金額は案件管理の機器原価に自動反映）</t>
  </si>
  <si>
    <t xml:space="preserve">5</t>
  </si>
  <si>
    <t xml:space="preserve">現地作業に行く日を予定として登録しておく</t>
  </si>
  <si>
    <t xml:space="preserve">6</t>
  </si>
  <si>
    <t xml:space="preserve">作業したら工数明細に工数を、現地作業の状態を「完了」に更新する</t>
  </si>
  <si>
    <t xml:space="preserve">■ 自動でやってくれること</t>
  </si>
  <si>
    <t xml:space="preserve">クォーター判定</t>
  </si>
  <si>
    <r>
      <rPr>
        <sz val="10"/>
        <color rgb="FF000000"/>
        <rFont val="WenQuanYi Zen Hei"/>
        <family val="2"/>
      </rPr>
      <t xml:space="preserve">「受注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予定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日」から年度と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を自動判定します（年度開始月はマスタで変更可）。</t>
    </r>
  </si>
  <si>
    <t xml:space="preserve">金額まわり</t>
  </si>
  <si>
    <r>
      <rPr>
        <sz val="10"/>
        <color rgb="FF000000"/>
        <rFont val="WenQuanYi Zen Hei"/>
        <family val="2"/>
      </rPr>
      <t xml:space="preserve">機器原価＝発注・納品の金額合計、原価計＝原価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機器以外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＋機器原価、</t>
    </r>
  </si>
  <si>
    <r>
      <rPr>
        <sz val="10"/>
        <color rgb="FF404040"/>
        <rFont val="WenQuanYi Zen Hei"/>
        <family val="2"/>
      </rPr>
      <t xml:space="preserve">粗利＝受注金額−原価計、加重金額＝受注金額</t>
    </r>
    <r>
      <rPr>
        <sz val="10"/>
        <color rgb="FF404040"/>
        <rFont val="Arial"/>
        <family val="0"/>
        <charset val="1"/>
      </rPr>
      <t xml:space="preserve">×</t>
    </r>
    <r>
      <rPr>
        <sz val="10"/>
        <color rgb="FF404040"/>
        <rFont val="WenQuanYi Zen Hei"/>
        <family val="2"/>
      </rPr>
      <t xml:space="preserve">受注確度。</t>
    </r>
  </si>
  <si>
    <t xml:space="preserve">機器の納品状況</t>
  </si>
  <si>
    <r>
      <rPr>
        <sz val="10"/>
        <color rgb="FF000000"/>
        <rFont val="WenQuanYi Zen Hei"/>
        <family val="2"/>
      </rPr>
      <t xml:space="preserve">発注件数・未入荷件数・最終入荷日・納品状況（機器なし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入荷待ち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受入待ち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受入完了）。</t>
    </r>
  </si>
  <si>
    <t xml:space="preserve">回答納期を過ぎても入荷していない明細は、納期差異が赤く表示されます。</t>
  </si>
  <si>
    <t xml:space="preserve">予定件数・完了件数と、今日以降でいちばん近い「次回現地作業日」を表示します。</t>
  </si>
  <si>
    <t xml:space="preserve">工数まわり</t>
  </si>
  <si>
    <r>
      <rPr>
        <sz val="10"/>
        <color rgb="FF000000"/>
        <rFont val="WenQuanYi Zen Hei"/>
        <family val="2"/>
      </rPr>
      <t xml:space="preserve">実績工数は工数明細から自動集計。残工数・消化率・予実判定（適正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注意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超過）も自動です。</t>
    </r>
  </si>
  <si>
    <t xml:space="preserve">月次工数計画では、予定工数に対して月配分が足りているか「差異」で確認できます。</t>
  </si>
  <si>
    <t xml:space="preserve">進行状況</t>
  </si>
  <si>
    <t xml:space="preserve">ステータスは色分け、進捗率はデータバー、失注行は打ち消し線になります。</t>
  </si>
  <si>
    <t xml:space="preserve">遅延の検知</t>
  </si>
  <si>
    <t xml:space="preserve">完了予定日を過ぎて未完了の案件は「遅延日数」が赤く表示されます。</t>
  </si>
  <si>
    <t xml:space="preserve">■ 行が足りなくなったら</t>
  </si>
  <si>
    <t xml:space="preserve">オートフィル</t>
  </si>
  <si>
    <r>
      <rPr>
        <sz val="10"/>
        <color rgb="FF000000"/>
        <rFont val="WenQuanYi Zen Hei"/>
        <family val="2"/>
      </rPr>
      <t xml:space="preserve">案件管理・発注・納品・現地作業は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WenQuanYi Zen Hei"/>
        <family val="2"/>
      </rPr>
      <t xml:space="preserve">行目、工数明細は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WenQuanYi Zen Hei"/>
        <family val="2"/>
      </rPr>
      <t xml:space="preserve">行目まで数式が入っています。</t>
    </r>
  </si>
  <si>
    <t xml:space="preserve">最終行を選択して右下を下へドラッグすると、数式・書式・プルダウンごと増やせます。</t>
  </si>
  <si>
    <t xml:space="preserve">注意</t>
  </si>
  <si>
    <t xml:space="preserve">案件管理の行を増やしたら、月次工数計画の計画ブロック・実績ブロックの行も</t>
  </si>
  <si>
    <t xml:space="preserve">同じだけ増やしてください（行の位置が対応しています）。</t>
  </si>
  <si>
    <t xml:space="preserve">■ 前提としている値</t>
  </si>
  <si>
    <t xml:space="preserve">年度開始月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</si>
  <si>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月（日本の一般的な年度）。マスタ</t>
    </r>
    <r>
      <rPr>
        <sz val="10"/>
        <color rgb="FF000000"/>
        <rFont val="Arial"/>
        <family val="0"/>
        <charset val="1"/>
      </rPr>
      <t xml:space="preserve">!B4 </t>
    </r>
    <r>
      <rPr>
        <sz val="10"/>
        <color rgb="FF000000"/>
        <rFont val="WenQuanYi Zen Hei"/>
        <family val="2"/>
      </rPr>
      <t xml:space="preserve">で変更できます。</t>
    </r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</si>
  <si>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人日</t>
    </r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</si>
  <si>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時間。マスタ</t>
    </r>
    <r>
      <rPr>
        <sz val="10"/>
        <color rgb="FF000000"/>
        <rFont val="Arial"/>
        <family val="0"/>
        <charset val="1"/>
      </rPr>
      <t xml:space="preserve">!B5 </t>
    </r>
    <r>
      <rPr>
        <sz val="10"/>
        <color rgb="FF000000"/>
        <rFont val="WenQuanYi Zen Hei"/>
        <family val="2"/>
      </rPr>
      <t xml:space="preserve">で変更できます。</t>
    </r>
  </si>
  <si>
    <t xml:space="preserve">月次計画の開始年月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</si>
  <si>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月から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ヶ月ぶん。マスタ</t>
    </r>
    <r>
      <rPr>
        <sz val="10"/>
        <color rgb="FF000000"/>
        <rFont val="Arial"/>
        <family val="0"/>
        <charset val="1"/>
      </rPr>
      <t xml:space="preserve">!B7 </t>
    </r>
    <r>
      <rPr>
        <sz val="10"/>
        <color rgb="FF000000"/>
        <rFont val="WenQuanYi Zen Hei"/>
        <family val="2"/>
      </rPr>
      <t xml:space="preserve">で変更できます。</t>
    </r>
  </si>
  <si>
    <t xml:space="preserve">金額</t>
  </si>
  <si>
    <t xml:space="preserve">すべて税抜・円で入力する前提です。</t>
  </si>
  <si>
    <t xml:space="preserve">工数の入り口</t>
  </si>
  <si>
    <t xml:space="preserve">工数は工数明細だけに入れてください。現地作業シートの実働時間は参考値で、</t>
  </si>
  <si>
    <t xml:space="preserve">実績工数には加算されません（二重計上を避けるためです）。</t>
  </si>
  <si>
    <t xml:space="preserve">サンプルの数値</t>
  </si>
  <si>
    <t xml:space="preserve">各シートのサンプル行の数値はすべて説明用の架空データです。</t>
  </si>
  <si>
    <t xml:space="preserve">入力するセルの見た目</t>
  </si>
  <si>
    <t xml:space="preserve">自動計算セルの見た目</t>
  </si>
  <si>
    <t xml:space="preserve">他シート集計セルの見た目</t>
  </si>
  <si>
    <t xml:space="preserve">設定値セルの見た目</t>
  </si>
  <si>
    <t xml:space="preserve">サンプル行の見た目</t>
  </si>
  <si>
    <t xml:space="preserve">案件管理表　│　金額・クォーター・機器納品・現地作業・工数・進行状況をまとめて管理</t>
  </si>
  <si>
    <r>
      <rPr>
        <b val="true"/>
        <sz val="10"/>
        <color rgb="FFFFFFFF"/>
        <rFont val="WenQuanYi Zen Hei"/>
        <family val="2"/>
      </rPr>
      <t xml:space="preserve">案件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</si>
  <si>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案件名</t>
  </si>
  <si>
    <t xml:space="preserve">顧客名</t>
  </si>
  <si>
    <t xml:space="preserve">担当者</t>
  </si>
  <si>
    <t xml:space="preserve">案件区分</t>
  </si>
  <si>
    <t xml:space="preserve">受注確度</t>
  </si>
  <si>
    <t xml:space="preserve">ステータス</t>
  </si>
  <si>
    <t xml:space="preserve">現在の作業ステップ</t>
  </si>
  <si>
    <t xml:space="preserve">進捗率</t>
  </si>
  <si>
    <r>
      <rPr>
        <b val="true"/>
        <sz val="10"/>
        <color rgb="FFFFFFFF"/>
        <rFont val="WenQuanYi Zen Hei"/>
        <family val="2"/>
      </rPr>
      <t xml:space="preserve">受注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予定</t>
    </r>
    <r>
      <rPr>
        <b val="true"/>
        <sz val="10"/>
        <color rgb="FFFFFFFF"/>
        <rFont val="Arial"/>
        <family val="0"/>
        <charset val="1"/>
      </rPr>
      <t xml:space="preserve">)</t>
    </r>
    <r>
      <rPr>
        <b val="true"/>
        <sz val="10"/>
        <color rgb="FFFFFFFF"/>
        <rFont val="WenQuanYi Zen Hei"/>
        <family val="2"/>
      </rPr>
      <t xml:space="preserve">日</t>
    </r>
  </si>
  <si>
    <t xml:space="preserve">着手日</t>
  </si>
  <si>
    <t xml:space="preserve">完了予定日</t>
  </si>
  <si>
    <t xml:space="preserve">完了日</t>
  </si>
  <si>
    <t xml:space="preserve">年度</t>
  </si>
  <si>
    <t xml:space="preserve">クォーター</t>
  </si>
  <si>
    <t xml:space="preserve">遅延日数</t>
  </si>
  <si>
    <t xml:space="preserve">受注金額</t>
  </si>
  <si>
    <t xml:space="preserve">加重金額</t>
  </si>
  <si>
    <r>
      <rPr>
        <b val="true"/>
        <sz val="10"/>
        <color rgb="FFFFFFFF"/>
        <rFont val="WenQuanYi Zen Hei"/>
        <family val="2"/>
      </rPr>
      <t xml:space="preserve">原価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機器以外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</si>
  <si>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機器原価</t>
  </si>
  <si>
    <t xml:space="preserve">原価計</t>
  </si>
  <si>
    <t xml:space="preserve">粗利</t>
  </si>
  <si>
    <t xml:space="preserve">粗利率</t>
  </si>
  <si>
    <t xml:space="preserve">発注件数</t>
  </si>
  <si>
    <t xml:space="preserve">未入荷件数</t>
  </si>
  <si>
    <t xml:space="preserve">最終入荷日</t>
  </si>
  <si>
    <t xml:space="preserve">納品状況</t>
  </si>
  <si>
    <r>
      <rPr>
        <b val="true"/>
        <sz val="10"/>
        <color rgb="FFFFFFFF"/>
        <rFont val="WenQuanYi Zen Hei"/>
        <family val="2"/>
      </rPr>
      <t xml:space="preserve">現地作業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予定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</si>
  <si>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現地作業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完了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</si>
  <si>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次回現地作業日</t>
  </si>
  <si>
    <t xml:space="preserve">予定工数</t>
  </si>
  <si>
    <t xml:space="preserve">月次計画計</t>
  </si>
  <si>
    <t xml:space="preserve">実績工数</t>
  </si>
  <si>
    <t xml:space="preserve">残工数</t>
  </si>
  <si>
    <t xml:space="preserve">工数消化率</t>
  </si>
  <si>
    <t xml:space="preserve">予実判定</t>
  </si>
  <si>
    <t xml:space="preserve">備考</t>
  </si>
  <si>
    <t xml:space="preserve">P-001</t>
  </si>
  <si>
    <t xml:space="preserve">本社ネットワーク更改</t>
  </si>
  <si>
    <t xml:space="preserve">株式会社アルファ商事</t>
  </si>
  <si>
    <t xml:space="preserve">山田 太郎</t>
  </si>
  <si>
    <t xml:space="preserve">新規</t>
  </si>
  <si>
    <t xml:space="preserve">進行中</t>
  </si>
  <si>
    <t xml:space="preserve">※サンプル行です。書き換えるか、行ごと削除してお使いください。</t>
  </si>
  <si>
    <t xml:space="preserve">P-002</t>
  </si>
  <si>
    <t xml:space="preserve">基幹システム保守（年間）</t>
  </si>
  <si>
    <t xml:space="preserve">ベータ工業株式会社</t>
  </si>
  <si>
    <t xml:space="preserve">佐藤 花子</t>
  </si>
  <si>
    <t xml:space="preserve">保守・運用</t>
  </si>
  <si>
    <t xml:space="preserve">完了</t>
  </si>
  <si>
    <t xml:space="preserve">※サンプル行です。</t>
  </si>
  <si>
    <t xml:space="preserve">P-003</t>
  </si>
  <si>
    <r>
      <rPr>
        <sz val="10"/>
        <color rgb="FF0000FF"/>
        <rFont val="Arial"/>
        <family val="0"/>
        <charset val="1"/>
      </rPr>
      <t xml:space="preserve">Web</t>
    </r>
    <r>
      <rPr>
        <sz val="10"/>
        <color rgb="FF0000FF"/>
        <rFont val="WenQuanYi Zen Hei"/>
        <family val="2"/>
      </rPr>
      <t xml:space="preserve">サイトリニューアル</t>
    </r>
  </si>
  <si>
    <t xml:space="preserve">ガンマデザイン合同会社</t>
  </si>
  <si>
    <t xml:space="preserve">鈴木 一郎</t>
  </si>
  <si>
    <t xml:space="preserve">未着手</t>
  </si>
  <si>
    <t xml:space="preserve">要件定義</t>
  </si>
  <si>
    <r>
      <rPr>
        <sz val="10"/>
        <color rgb="FF0000FF"/>
        <rFont val="WenQuanYi Zen Hei"/>
        <family val="2"/>
      </rPr>
      <t xml:space="preserve">※サンプル行です。提案中のため確度</t>
    </r>
    <r>
      <rPr>
        <sz val="10"/>
        <color rgb="FF0000FF"/>
        <rFont val="Arial"/>
        <family val="0"/>
        <charset val="1"/>
      </rPr>
      <t xml:space="preserve">50%</t>
    </r>
    <r>
      <rPr>
        <sz val="10"/>
        <color rgb="FF0000FF"/>
        <rFont val="WenQuanYi Zen Hei"/>
        <family val="2"/>
      </rPr>
      <t xml:space="preserve">。</t>
    </r>
  </si>
  <si>
    <t xml:space="preserve">凡例：</t>
  </si>
  <si>
    <t xml:space="preserve">青文字＝入力する欄</t>
  </si>
  <si>
    <t xml:space="preserve">黒文字（グレー背景）＝このシート内で自動計算</t>
  </si>
  <si>
    <t xml:space="preserve">緑文字＝他のシートから自動集計</t>
  </si>
  <si>
    <t xml:space="preserve">行が足りなくなったら、最終行を選んで下にドラッグ（オートフィル）すると数式ごと増やせます。※月次工数計画シートの行も同じだけ増やしてください。</t>
  </si>
  <si>
    <t xml:space="preserve">工数明細　│　日々の工数を入れると、案件管理の「実績工数」と月次工数計画の「実績」に積み上がります</t>
  </si>
  <si>
    <t xml:space="preserve">日付</t>
  </si>
  <si>
    <t xml:space="preserve">作業ステップ</t>
  </si>
  <si>
    <r>
      <rPr>
        <b val="true"/>
        <sz val="10"/>
        <color rgb="FFFFFFFF"/>
        <rFont val="WenQuanYi Zen Hei"/>
        <family val="2"/>
      </rPr>
      <t xml:space="preserve">工数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時間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</si>
  <si>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工数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人日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</si>
  <si>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作業内容・メモ</t>
  </si>
  <si>
    <t xml:space="preserve">年月</t>
  </si>
  <si>
    <r>
      <rPr>
        <sz val="10"/>
        <color rgb="FF0000FF"/>
        <rFont val="Arial"/>
        <family val="0"/>
        <charset val="1"/>
      </rPr>
      <t xml:space="preserve">L3</t>
    </r>
    <r>
      <rPr>
        <sz val="10"/>
        <color rgb="FF0000FF"/>
        <rFont val="WenQuanYi Zen Hei"/>
        <family val="2"/>
      </rPr>
      <t xml:space="preserve">スイッチ設置・疎通確認（※サンプル行）</t>
    </r>
  </si>
  <si>
    <t xml:space="preserve">配線作業（※サンプル行）</t>
  </si>
  <si>
    <t xml:space="preserve">テスト</t>
  </si>
  <si>
    <t xml:space="preserve">受入試験の立会い（※サンプル行）</t>
  </si>
  <si>
    <t xml:space="preserve">定期点検レポート作成（※サンプル行）</t>
  </si>
  <si>
    <r>
      <rPr>
        <sz val="9"/>
        <color rgb="FF595959"/>
        <rFont val="WenQuanYi Zen Hei"/>
        <family val="2"/>
      </rPr>
      <t xml:space="preserve">「工数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人日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」＝ 工数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時間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マスタ</t>
    </r>
    <r>
      <rPr>
        <sz val="9"/>
        <color rgb="FF595959"/>
        <rFont val="Arial"/>
        <family val="0"/>
        <charset val="1"/>
      </rPr>
      <t xml:space="preserve">!B5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人日あたりの時間）。「年月」は月次集計用の自動計算です。</t>
    </r>
  </si>
  <si>
    <t xml:space="preserve">月次工数計画　│　どの案件に、何月、何人日を投入するか</t>
  </si>
  <si>
    <t xml:space="preserve">開始年月</t>
  </si>
  <si>
    <r>
      <rPr>
        <sz val="9"/>
        <color rgb="FF595959"/>
        <rFont val="WenQuanYi Zen Hei"/>
        <family val="2"/>
      </rPr>
      <t xml:space="preserve">← マスタ</t>
    </r>
    <r>
      <rPr>
        <sz val="9"/>
        <color rgb="FF595959"/>
        <rFont val="Arial"/>
        <family val="0"/>
        <charset val="1"/>
      </rPr>
      <t xml:space="preserve">!B7 </t>
    </r>
    <r>
      <rPr>
        <sz val="9"/>
        <color rgb="FF595959"/>
        <rFont val="WenQuanYi Zen Hei"/>
        <family val="2"/>
      </rPr>
      <t xml:space="preserve">で変更できます。変えると列見出しがずれるので、入力済みの数値も合わせて動かしてください。</t>
    </r>
  </si>
  <si>
    <t xml:space="preserve">■ 計画（人日）　… 青いセルに「何月に何人日」を入力してください</t>
  </si>
  <si>
    <t xml:space="preserve">（集計キー：編集しないでください）</t>
  </si>
  <si>
    <r>
      <rPr>
        <b val="true"/>
        <sz val="10"/>
        <color rgb="FF1F3864"/>
        <rFont val="WenQuanYi Zen Hei"/>
        <family val="2"/>
      </rPr>
      <t xml:space="preserve">案件</t>
    </r>
    <r>
      <rPr>
        <b val="true"/>
        <sz val="10"/>
        <color rgb="FF1F3864"/>
        <rFont val="Arial"/>
        <family val="0"/>
        <charset val="1"/>
      </rPr>
      <t xml:space="preserve">ID</t>
    </r>
  </si>
  <si>
    <t xml:space="preserve">月次 計画計</t>
  </si>
  <si>
    <r>
      <rPr>
        <b val="true"/>
        <sz val="10"/>
        <color rgb="FF1F3864"/>
        <rFont val="WenQuanYi Zen Hei"/>
        <family val="2"/>
      </rPr>
      <t xml:space="preserve">差異
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未配分</t>
    </r>
    <r>
      <rPr>
        <b val="true"/>
        <sz val="10"/>
        <color rgb="FF1F3864"/>
        <rFont val="Arial"/>
        <family val="0"/>
        <charset val="1"/>
      </rPr>
      <t xml:space="preserve">)</t>
    </r>
  </si>
  <si>
    <t xml:space="preserve">月別 合計</t>
  </si>
  <si>
    <t xml:space="preserve">■ 実績（人日）　… 工数明細から自動集計されます（入力不要）</t>
  </si>
  <si>
    <t xml:space="preserve">月次 実績計</t>
  </si>
  <si>
    <r>
      <rPr>
        <b val="true"/>
        <sz val="10"/>
        <color rgb="FF1F3864"/>
        <rFont val="WenQuanYi Zen Hei"/>
        <family val="2"/>
      </rPr>
      <t xml:space="preserve">差異
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計画−実績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</si>
  <si>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「差異」は 計画ブロック＝予定工数−月次計画計（月への配分し忘れを検出）、実績ブロック＝月次計画計−月次実績計（計画に対する進み遅れ）です。計画ブロックの差異が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でない行は黄色くなります。</t>
    </r>
  </si>
  <si>
    <r>
      <rPr>
        <b val="true"/>
        <sz val="14"/>
        <color rgb="FFFFFFFF"/>
        <rFont val="WenQuanYi Zen Hei"/>
        <family val="2"/>
      </rPr>
      <t xml:space="preserve">発注・納品　│　機器の発注から受入までを</t>
    </r>
    <r>
      <rPr>
        <b val="true"/>
        <sz val="14"/>
        <color rgb="FFFFFFFF"/>
        <rFont val="Arial"/>
        <family val="0"/>
        <charset val="1"/>
      </rPr>
      <t xml:space="preserve">1</t>
    </r>
    <r>
      <rPr>
        <b val="true"/>
        <sz val="14"/>
        <color rgb="FFFFFFFF"/>
        <rFont val="WenQuanYi Zen Hei"/>
        <family val="2"/>
      </rPr>
      <t xml:space="preserve">明細</t>
    </r>
    <r>
      <rPr>
        <b val="true"/>
        <sz val="14"/>
        <color rgb="FFFFFFFF"/>
        <rFont val="Arial"/>
        <family val="0"/>
        <charset val="1"/>
      </rPr>
      <t xml:space="preserve">1</t>
    </r>
    <r>
      <rPr>
        <b val="true"/>
        <sz val="14"/>
        <color rgb="FFFFFFFF"/>
        <rFont val="WenQuanYi Zen Hei"/>
        <family val="2"/>
      </rPr>
      <t xml:space="preserve">行で管理</t>
    </r>
  </si>
  <si>
    <r>
      <rPr>
        <b val="true"/>
        <sz val="10"/>
        <color rgb="FFFFFFFF"/>
        <rFont val="WenQuanYi Zen Hei"/>
        <family val="2"/>
      </rPr>
      <t xml:space="preserve">発注</t>
    </r>
    <r>
      <rPr>
        <b val="true"/>
        <sz val="10"/>
        <color rgb="FFFFFFFF"/>
        <rFont val="Arial"/>
        <family val="0"/>
        <charset val="1"/>
      </rPr>
      <t xml:space="preserve">No</t>
    </r>
  </si>
  <si>
    <t xml:space="preserve">品名・型番</t>
  </si>
  <si>
    <t xml:space="preserve">メーカー</t>
  </si>
  <si>
    <t xml:space="preserve">数量</t>
  </si>
  <si>
    <t xml:space="preserve">仕入単価</t>
  </si>
  <si>
    <t xml:space="preserve">発注先</t>
  </si>
  <si>
    <t xml:space="preserve">発注日</t>
  </si>
  <si>
    <t xml:space="preserve">希望納期</t>
  </si>
  <si>
    <t xml:space="preserve">回答納期</t>
  </si>
  <si>
    <t xml:space="preserve">入荷日</t>
  </si>
  <si>
    <t xml:space="preserve">受入日</t>
  </si>
  <si>
    <t xml:space="preserve">納期差異</t>
  </si>
  <si>
    <t xml:space="preserve">O-001</t>
  </si>
  <si>
    <r>
      <rPr>
        <sz val="10"/>
        <color rgb="FF0000FF"/>
        <rFont val="Arial"/>
        <family val="0"/>
        <charset val="1"/>
      </rPr>
      <t xml:space="preserve">L3</t>
    </r>
    <r>
      <rPr>
        <sz val="10"/>
        <color rgb="FF0000FF"/>
        <rFont val="WenQuanYi Zen Hei"/>
        <family val="2"/>
      </rPr>
      <t xml:space="preserve">スイッチ </t>
    </r>
    <r>
      <rPr>
        <sz val="10"/>
        <color rgb="FF0000FF"/>
        <rFont val="Arial"/>
        <family val="0"/>
        <charset val="1"/>
      </rPr>
      <t xml:space="preserve">XG-4800-24P</t>
    </r>
  </si>
  <si>
    <t xml:space="preserve">アライドテレシス</t>
  </si>
  <si>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商事</t>
    </r>
  </si>
  <si>
    <t xml:space="preserve">O-002</t>
  </si>
  <si>
    <r>
      <rPr>
        <sz val="10"/>
        <color rgb="FF0000FF"/>
        <rFont val="WenQuanYi Zen Hei"/>
        <family val="2"/>
      </rPr>
      <t xml:space="preserve">光メディアコンバータ </t>
    </r>
    <r>
      <rPr>
        <sz val="10"/>
        <color rgb="FF0000FF"/>
        <rFont val="Arial"/>
        <family val="0"/>
        <charset val="1"/>
      </rPr>
      <t xml:space="preserve">MC-200</t>
    </r>
  </si>
  <si>
    <t xml:space="preserve">※サンプル行です。納期回答が遅く入荷待ち。</t>
  </si>
  <si>
    <t xml:space="preserve">O-003</t>
  </si>
  <si>
    <r>
      <rPr>
        <sz val="10"/>
        <color rgb="FF0000FF"/>
        <rFont val="Arial"/>
        <family val="0"/>
        <charset val="1"/>
      </rPr>
      <t xml:space="preserve">19</t>
    </r>
    <r>
      <rPr>
        <sz val="10"/>
        <color rgb="FF0000FF"/>
        <rFont val="WenQuanYi Zen Hei"/>
        <family val="2"/>
      </rPr>
      <t xml:space="preserve">インチラック </t>
    </r>
    <r>
      <rPr>
        <sz val="10"/>
        <color rgb="FF0000FF"/>
        <rFont val="Arial"/>
        <family val="0"/>
        <charset val="1"/>
      </rPr>
      <t xml:space="preserve">24U</t>
    </r>
  </si>
  <si>
    <r>
      <rPr>
        <sz val="10"/>
        <color rgb="FF0000FF"/>
        <rFont val="Arial"/>
        <family val="0"/>
        <charset val="1"/>
      </rPr>
      <t xml:space="preserve">C</t>
    </r>
    <r>
      <rPr>
        <sz val="10"/>
        <color rgb="FF0000FF"/>
        <rFont val="WenQuanYi Zen Hei"/>
        <family val="2"/>
      </rPr>
      <t xml:space="preserve">ネットワークス</t>
    </r>
  </si>
  <si>
    <t xml:space="preserve">※サンプル行です。入荷済み・受入待ち。</t>
  </si>
  <si>
    <r>
      <rPr>
        <sz val="9"/>
        <color rgb="FF595959"/>
        <rFont val="WenQuanYi Zen Hei"/>
        <family val="2"/>
      </rPr>
      <t xml:space="preserve">金額（数量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仕入単価）は案件管理の「機器原価」に自動集計されます。納期差異は回答納期に対するズレで、未入荷なら今日までの経過日数を表示します。</t>
    </r>
  </si>
  <si>
    <t xml:space="preserve">現地作業　│　現地に行く日の予定と実施記録（工数そのものは工数明細に入れてください）</t>
  </si>
  <si>
    <t xml:space="preserve">作業日</t>
  </si>
  <si>
    <t xml:space="preserve">曜日</t>
  </si>
  <si>
    <t xml:space="preserve">開始</t>
  </si>
  <si>
    <t xml:space="preserve">終了</t>
  </si>
  <si>
    <r>
      <rPr>
        <b val="true"/>
        <sz val="10"/>
        <color rgb="FFFFFFFF"/>
        <rFont val="WenQuanYi Zen Hei"/>
        <family val="2"/>
      </rPr>
      <t xml:space="preserve">休憩</t>
    </r>
    <r>
      <rPr>
        <b val="true"/>
        <sz val="10"/>
        <color rgb="FFFFFFFF"/>
        <rFont val="Arial"/>
        <family val="0"/>
        <charset val="1"/>
      </rPr>
      <t xml:space="preserve">(h)</t>
    </r>
  </si>
  <si>
    <t xml:space="preserve">実働時間</t>
  </si>
  <si>
    <t xml:space="preserve">作業場所</t>
  </si>
  <si>
    <t xml:space="preserve">作業者</t>
  </si>
  <si>
    <t xml:space="preserve">作業区分</t>
  </si>
  <si>
    <t xml:space="preserve">状態</t>
  </si>
  <si>
    <t xml:space="preserve">作業内容</t>
  </si>
  <si>
    <r>
      <rPr>
        <sz val="10"/>
        <color rgb="FF0000FF"/>
        <rFont val="WenQuanYi Zen Hei"/>
        <family val="2"/>
      </rPr>
      <t xml:space="preserve">アルファ商事 本社 </t>
    </r>
    <r>
      <rPr>
        <sz val="10"/>
        <color rgb="FF0000FF"/>
        <rFont val="Arial"/>
        <family val="0"/>
        <charset val="1"/>
      </rPr>
      <t xml:space="preserve">3F </t>
    </r>
    <r>
      <rPr>
        <sz val="10"/>
        <color rgb="FF0000FF"/>
        <rFont val="WenQuanYi Zen Hei"/>
        <family val="2"/>
      </rPr>
      <t xml:space="preserve">サーバ室</t>
    </r>
  </si>
  <si>
    <t xml:space="preserve">搬入・設置</t>
  </si>
  <si>
    <r>
      <rPr>
        <sz val="10"/>
        <color rgb="FF0000FF"/>
        <rFont val="Arial"/>
        <family val="0"/>
        <charset val="1"/>
      </rPr>
      <t xml:space="preserve">L3</t>
    </r>
    <r>
      <rPr>
        <sz val="10"/>
        <color rgb="FF0000FF"/>
        <rFont val="WenQuanYi Zen Hei"/>
        <family val="2"/>
      </rPr>
      <t xml:space="preserve">スイッチ設置・疎通確認</t>
    </r>
  </si>
  <si>
    <t xml:space="preserve">アルファ商事 本社 各フロア</t>
  </si>
  <si>
    <t xml:space="preserve">配線</t>
  </si>
  <si>
    <t xml:space="preserve">フロア配線の敷設</t>
  </si>
  <si>
    <r>
      <rPr>
        <sz val="10"/>
        <color rgb="FF0000FF"/>
        <rFont val="WenQuanYi Zen Hei"/>
        <family val="2"/>
      </rPr>
      <t xml:space="preserve">山田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佐藤</t>
    </r>
  </si>
  <si>
    <t xml:space="preserve">移行作業</t>
  </si>
  <si>
    <t xml:space="preserve">予定</t>
  </si>
  <si>
    <t xml:space="preserve">本番切替（夜間立会いあり）</t>
  </si>
  <si>
    <t xml:space="preserve">※サンプル行です。これから行く予定の作業。</t>
  </si>
  <si>
    <t xml:space="preserve">状態が「予定」で今日以降の作業日のうち、いちばん近い日が案件管理の「次回現地作業日」に出ます。土日の行はピンク色になります。</t>
  </si>
  <si>
    <t xml:space="preserve">ダッシュボード　│　年度を選ぶと自動で集計されます</t>
  </si>
  <si>
    <t xml:space="preserve">集計対象の年度</t>
  </si>
  <si>
    <r>
      <rPr>
        <sz val="9"/>
        <color rgb="FF595959"/>
        <rFont val="WenQuanYi Zen Hei"/>
        <family val="2"/>
      </rPr>
      <t xml:space="preserve">← マスタ</t>
    </r>
    <r>
      <rPr>
        <sz val="9"/>
        <color rgb="FF595959"/>
        <rFont val="Arial"/>
        <family val="0"/>
        <charset val="1"/>
      </rPr>
      <t xml:space="preserve">!B6 </t>
    </r>
    <r>
      <rPr>
        <sz val="9"/>
        <color rgb="FF595959"/>
        <rFont val="WenQuanYi Zen Hei"/>
        <family val="2"/>
      </rPr>
      <t xml:space="preserve">の値を見ています。ここに直接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などと入力して切り替えても</t>
    </r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です。</t>
    </r>
  </si>
  <si>
    <t xml:space="preserve">■ クォーター別サマリ</t>
  </si>
  <si>
    <t xml:space="preserve">項目</t>
  </si>
  <si>
    <t xml:space="preserve">Q1</t>
  </si>
  <si>
    <t xml:space="preserve">Q2</t>
  </si>
  <si>
    <t xml:space="preserve">Q3</t>
  </si>
  <si>
    <t xml:space="preserve">Q4</t>
  </si>
  <si>
    <t xml:space="preserve">年度合計</t>
  </si>
  <si>
    <t xml:space="preserve">案件数</t>
  </si>
  <si>
    <t xml:space="preserve">加重金額（確度反映）</t>
  </si>
  <si>
    <t xml:space="preserve">■ ステータス別（対象年度）</t>
  </si>
  <si>
    <t xml:space="preserve">保留</t>
  </si>
  <si>
    <t xml:space="preserve">失注</t>
  </si>
  <si>
    <t xml:space="preserve">■ 担当者別（対象年度）</t>
  </si>
  <si>
    <t xml:space="preserve">（未定）</t>
  </si>
  <si>
    <t xml:space="preserve">■ いまどの作業ステップにいるか（対象年度／失注をのぞく）</t>
  </si>
  <si>
    <t xml:space="preserve">基本設計</t>
  </si>
  <si>
    <t xml:space="preserve">詳細設計</t>
  </si>
  <si>
    <t xml:space="preserve">機器手配</t>
  </si>
  <si>
    <t xml:space="preserve">開発・構築</t>
  </si>
  <si>
    <t xml:space="preserve">納品・導入</t>
  </si>
  <si>
    <t xml:space="preserve">検収待ち</t>
  </si>
  <si>
    <t xml:space="preserve">■ 機器の発注・納品（全期間）</t>
  </si>
  <si>
    <t xml:space="preserve">件数</t>
  </si>
  <si>
    <t xml:space="preserve">未発注</t>
  </si>
  <si>
    <t xml:space="preserve">発注済</t>
  </si>
  <si>
    <t xml:space="preserve">入荷済（受入待ち）</t>
  </si>
  <si>
    <t xml:space="preserve">受入済</t>
  </si>
  <si>
    <t xml:space="preserve">納期遅れ（回答納期超過）</t>
  </si>
  <si>
    <t xml:space="preserve">■ 現地作業（全期間）</t>
  </si>
  <si>
    <t xml:space="preserve">延期</t>
  </si>
  <si>
    <t xml:space="preserve">中止</t>
  </si>
  <si>
    <r>
      <rPr>
        <b val="true"/>
        <sz val="10"/>
        <color rgb="FF000000"/>
        <rFont val="WenQuanYi Zen Hei"/>
        <family val="2"/>
      </rPr>
      <t xml:space="preserve">今後</t>
    </r>
    <r>
      <rPr>
        <b val="true"/>
        <sz val="10"/>
        <color rgb="FF000000"/>
        <rFont val="Arial"/>
        <family val="0"/>
        <charset val="1"/>
      </rPr>
      <t xml:space="preserve">30</t>
    </r>
    <r>
      <rPr>
        <b val="true"/>
        <sz val="10"/>
        <color rgb="FF000000"/>
        <rFont val="WenQuanYi Zen Hei"/>
        <family val="2"/>
      </rPr>
      <t xml:space="preserve">日以内の現地作業</t>
    </r>
  </si>
  <si>
    <r>
      <rPr>
        <sz val="9"/>
        <color rgb="FF595959"/>
        <rFont val="WenQuanYi Zen Hei"/>
        <family val="2"/>
      </rPr>
      <t xml:space="preserve">※ クォーター別・ステータス別などの集計は「受注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予定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日」から判定した年度が基準です（年度開始月は マスタ</t>
    </r>
    <r>
      <rPr>
        <sz val="9"/>
        <color rgb="FF595959"/>
        <rFont val="Arial"/>
        <family val="0"/>
        <charset val="1"/>
      </rPr>
      <t xml:space="preserve">!B4</t>
    </r>
    <r>
      <rPr>
        <sz val="9"/>
        <color rgb="FF595959"/>
        <rFont val="WenQuanYi Zen Hei"/>
        <family val="2"/>
      </rPr>
      <t xml:space="preserve">）。機器と現地作業の表は全期間の集計です。</t>
    </r>
  </si>
  <si>
    <t xml:space="preserve">マスタ（設定値とプルダウンの選択肢）</t>
  </si>
  <si>
    <t xml:space="preserve">■ 設定値（黄色いセルを自分の会社に合わせて変更してください）</t>
  </si>
  <si>
    <t xml:space="preserve">■ プルダウンの選択肢（行を足せば選択肢が増えます）</t>
  </si>
  <si>
    <t xml:space="preserve">設定項目</t>
  </si>
  <si>
    <t xml:space="preserve">値</t>
  </si>
  <si>
    <t xml:space="preserve">説明</t>
  </si>
  <si>
    <t xml:space="preserve">現地作業区分</t>
  </si>
  <si>
    <t xml:space="preserve">作業状態</t>
  </si>
  <si>
    <r>
      <rPr>
        <sz val="9"/>
        <color rgb="FF595959"/>
        <rFont val="WenQuanYi Zen Hei"/>
        <family val="2"/>
      </rPr>
      <t xml:space="preserve">日本の一般的な年度（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月開始）。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月開始なら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に変更してください。</t>
    </r>
  </si>
  <si>
    <t xml:space="preserve">現地調査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</si>
  <si>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人日あたりの時間</t>
    </r>
  </si>
  <si>
    <t xml:space="preserve">工数明細の「時間」を「人日」に換算するときの分母です。</t>
  </si>
  <si>
    <t xml:space="preserve">既存拡大</t>
  </si>
  <si>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商事</t>
    </r>
  </si>
  <si>
    <t xml:space="preserve">当年度（ダッシュボード初期値）</t>
  </si>
  <si>
    <t xml:space="preserve">ダッシュボードの集計対象年度の初期値。</t>
  </si>
  <si>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システム</t>
    </r>
  </si>
  <si>
    <t xml:space="preserve">月次工数計画の開始年月</t>
  </si>
  <si>
    <r>
      <rPr>
        <sz val="9"/>
        <color rgb="FF595959"/>
        <rFont val="WenQuanYi Zen Hei"/>
        <family val="2"/>
      </rPr>
      <t xml:space="preserve">月次工数計画シートの一番左の月。ここを変えると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WenQuanYi Zen Hei"/>
        <family val="2"/>
      </rPr>
      <t xml:space="preserve">ヶ月ぶんの列見出しがずれます（入力済みの数値は動かないので注意）。</t>
    </r>
  </si>
  <si>
    <t xml:space="preserve">社内</t>
  </si>
  <si>
    <t xml:space="preserve">設定・調整</t>
  </si>
  <si>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ネットワークス</t>
    </r>
  </si>
  <si>
    <t xml:space="preserve">疎通試験</t>
  </si>
  <si>
    <t xml:space="preserve">立会い</t>
  </si>
  <si>
    <t xml:space="preserve">障害対応</t>
  </si>
  <si>
    <t xml:space="preserve">撤去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</si>
</sst>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@"/>
    <numFmt numFmtId="166" formatCode="0%"/>
    <numFmt numFmtId="167" formatCode="0.0%;\(0.0%\);\-"/>
    <numFmt numFmtId="168" formatCode="yyyy/mm/dd"/>
    <numFmt numFmtId="169" formatCode="0&quot;年度&quot;"/>
    <numFmt numFmtId="170" formatCode="#,##0&quot;日 遅延&quot;;#,##0&quot;日 前倒し&quot;;&quot;予定どおり&quot;"/>
    <numFmt numFmtId="171" formatCode="\¥#,##0;[RED]&quot;(¥&quot;#,##0\);\-"/>
    <numFmt numFmtId="172" formatCode="#,##0\件;;\-"/>
    <numFmt numFmtId="173" formatCode="#,##0.0&quot;人日&quot;;\(#,##0.0\);\-"/>
    <numFmt numFmtId="174" formatCode="#,##0.0\h;\(#,##0.0\);\-"/>
    <numFmt numFmtId="175" formatCode="0"/>
    <numFmt numFmtId="176" formatCode="yyyy/mm"/>
    <numFmt numFmtId="177" formatCode="#,##0.0;\(#,##0.0\);\-"/>
    <numFmt numFmtId="178" formatCode="#,##0;\(#,##0\);\-"/>
    <numFmt numFmtId="179" formatCode="hh:mm"/>
    <numFmt numFmtId="180" formatCode="0\月"/>
    <numFmt numFmtId="181" formatCode="0.0\h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WenQuanYi Zen Hei"/>
      <family val="2"/>
    </font>
    <font>
      <b val="true"/>
      <sz val="11"/>
      <color rgb="FF1F3864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40404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WenQuanYi Zen Hei"/>
      <family val="2"/>
    </font>
    <font>
      <b val="true"/>
      <sz val="10"/>
      <color rgb="FF0000FF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sz val="9"/>
      <color rgb="FF59595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8"/>
      <color rgb="FFBFBFBF"/>
      <name val="WenQuanYi Zen Hei"/>
      <family val="2"/>
    </font>
    <font>
      <sz val="8"/>
      <color rgb="FFBFBFB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WenQuanYi Zen Hei"/>
      <family val="2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EAF3EA"/>
      </patternFill>
    </fill>
    <fill>
      <patternFill patternType="solid">
        <fgColor rgb="FFFFFF00"/>
        <bgColor rgb="FFFFCC00"/>
      </patternFill>
    </fill>
    <fill>
      <patternFill patternType="solid">
        <fgColor rgb="FFEAF3EA"/>
        <bgColor rgb="FFF2F2F2"/>
      </patternFill>
    </fill>
    <fill>
      <patternFill patternType="solid">
        <fgColor rgb="FF375623"/>
        <bgColor rgb="FF404040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EA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3EA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1F3864"/>
        <sz val="10"/>
      </font>
      <fill>
        <patternFill>
          <bgColor rgb="FFBDD7EE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808080"/>
        <sz val="10"/>
      </font>
      <fill>
        <patternFill>
          <bgColor rgb="FFD9D9D9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808080"/>
        <sz val="1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  <sz val="10"/>
      </font>
    </dxf>
    <dxf>
      <font>
        <name val="Arial"/>
        <charset val="1"/>
        <family val="0"/>
        <strike val="1"/>
        <color rgb="FFA6A6A6"/>
        <sz val="10"/>
      </font>
    </dxf>
    <dxf>
      <fill>
        <patternFill>
          <bgColor rgb="FFFCE4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EAF3EA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D9D9"/>
      <rgbColor rgb="FFFCE4EC"/>
      <rgbColor rgb="FFD9E2F3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6100"/>
      <rgbColor rgb="FF375623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04"/>
  </cols>
  <sheetData>
    <row r="1" customFormat="false" ht="25.5" hidden="false" customHeight="true" outlineLevel="0" collapsed="false">
      <c r="B1" s="1" t="s">
        <v>0</v>
      </c>
      <c r="C1" s="1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C5" s="5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4" t="s">
        <v>10</v>
      </c>
    </row>
    <row r="9" customFormat="false" ht="15" hidden="false" customHeight="false" outlineLevel="0" collapsed="false">
      <c r="B9" s="3" t="s">
        <v>11</v>
      </c>
      <c r="C9" s="4" t="s">
        <v>12</v>
      </c>
    </row>
    <row r="10" customFormat="false" ht="15" hidden="false" customHeight="false" outlineLevel="0" collapsed="false">
      <c r="B10" s="3" t="s">
        <v>13</v>
      </c>
      <c r="C10" s="6" t="s">
        <v>14</v>
      </c>
    </row>
    <row r="11" customFormat="false" ht="15" hidden="false" customHeight="false" outlineLevel="0" collapsed="false">
      <c r="C11" s="5" t="s">
        <v>15</v>
      </c>
    </row>
    <row r="12" customFormat="false" ht="15" hidden="false" customHeight="false" outlineLevel="0" collapsed="false">
      <c r="B12" s="3" t="s">
        <v>16</v>
      </c>
      <c r="C12" s="4" t="s">
        <v>17</v>
      </c>
    </row>
    <row r="13" customFormat="false" ht="15" hidden="false" customHeight="false" outlineLevel="0" collapsed="false">
      <c r="C13" s="5" t="s">
        <v>18</v>
      </c>
    </row>
    <row r="15" customFormat="false" ht="15" hidden="false" customHeight="false" outlineLevel="0" collapsed="false">
      <c r="B15" s="2" t="s">
        <v>19</v>
      </c>
    </row>
    <row r="16" customFormat="false" ht="15" hidden="false" customHeight="false" outlineLevel="0" collapsed="false">
      <c r="B16" s="3" t="s">
        <v>20</v>
      </c>
      <c r="C16" s="4" t="s">
        <v>21</v>
      </c>
    </row>
    <row r="17" customFormat="false" ht="15" hidden="false" customHeight="false" outlineLevel="0" collapsed="false">
      <c r="B17" s="3" t="s">
        <v>22</v>
      </c>
      <c r="C17" s="4" t="s">
        <v>23</v>
      </c>
    </row>
    <row r="18" customFormat="false" ht="15" hidden="false" customHeight="false" outlineLevel="0" collapsed="false">
      <c r="B18" s="3" t="s">
        <v>24</v>
      </c>
      <c r="C18" s="4" t="s">
        <v>25</v>
      </c>
    </row>
    <row r="19" customFormat="false" ht="15" hidden="false" customHeight="false" outlineLevel="0" collapsed="false">
      <c r="B19" s="3" t="s">
        <v>26</v>
      </c>
      <c r="C19" s="4" t="s">
        <v>27</v>
      </c>
    </row>
    <row r="20" customFormat="false" ht="15" hidden="false" customHeight="false" outlineLevel="0" collapsed="false">
      <c r="B20" s="3" t="s">
        <v>28</v>
      </c>
      <c r="C20" s="4" t="s">
        <v>29</v>
      </c>
    </row>
    <row r="22" customFormat="false" ht="15" hidden="false" customHeight="false" outlineLevel="0" collapsed="false">
      <c r="B22" s="2" t="s">
        <v>30</v>
      </c>
    </row>
    <row r="23" customFormat="false" ht="15" hidden="false" customHeight="false" outlineLevel="0" collapsed="false">
      <c r="B23" s="7" t="s">
        <v>31</v>
      </c>
      <c r="C23" s="4" t="s">
        <v>32</v>
      </c>
    </row>
    <row r="24" customFormat="false" ht="15" hidden="false" customHeight="false" outlineLevel="0" collapsed="false">
      <c r="B24" s="7" t="s">
        <v>33</v>
      </c>
      <c r="C24" s="4" t="s">
        <v>34</v>
      </c>
    </row>
    <row r="25" customFormat="false" ht="15" hidden="false" customHeight="false" outlineLevel="0" collapsed="false">
      <c r="B25" s="7" t="s">
        <v>35</v>
      </c>
      <c r="C25" s="4" t="s">
        <v>36</v>
      </c>
    </row>
    <row r="26" customFormat="false" ht="15" hidden="false" customHeight="false" outlineLevel="0" collapsed="false">
      <c r="B26" s="7" t="s">
        <v>37</v>
      </c>
      <c r="C26" s="4" t="s">
        <v>38</v>
      </c>
    </row>
    <row r="27" customFormat="false" ht="15" hidden="false" customHeight="false" outlineLevel="0" collapsed="false">
      <c r="B27" s="7" t="s">
        <v>39</v>
      </c>
      <c r="C27" s="4" t="s">
        <v>40</v>
      </c>
    </row>
    <row r="28" customFormat="false" ht="15" hidden="false" customHeight="false" outlineLevel="0" collapsed="false">
      <c r="B28" s="7" t="s">
        <v>41</v>
      </c>
      <c r="C28" s="4" t="s">
        <v>42</v>
      </c>
    </row>
    <row r="30" customFormat="false" ht="15" hidden="false" customHeight="false" outlineLevel="0" collapsed="false">
      <c r="B30" s="2" t="s">
        <v>43</v>
      </c>
    </row>
    <row r="31" customFormat="false" ht="15" hidden="false" customHeight="false" outlineLevel="0" collapsed="false">
      <c r="B31" s="3" t="s">
        <v>44</v>
      </c>
      <c r="C31" s="4" t="s">
        <v>45</v>
      </c>
    </row>
    <row r="32" customFormat="false" ht="15" hidden="false" customHeight="false" outlineLevel="0" collapsed="false">
      <c r="B32" s="3" t="s">
        <v>46</v>
      </c>
      <c r="C32" s="4" t="s">
        <v>47</v>
      </c>
    </row>
    <row r="33" customFormat="false" ht="15" hidden="false" customHeight="false" outlineLevel="0" collapsed="false">
      <c r="C33" s="5" t="s">
        <v>48</v>
      </c>
    </row>
    <row r="34" customFormat="false" ht="15" hidden="false" customHeight="false" outlineLevel="0" collapsed="false">
      <c r="B34" s="3" t="s">
        <v>49</v>
      </c>
      <c r="C34" s="4" t="s">
        <v>50</v>
      </c>
    </row>
    <row r="35" customFormat="false" ht="15" hidden="false" customHeight="false" outlineLevel="0" collapsed="false">
      <c r="C35" s="5" t="s">
        <v>51</v>
      </c>
    </row>
    <row r="36" customFormat="false" ht="15" hidden="false" customHeight="false" outlineLevel="0" collapsed="false">
      <c r="B36" s="3" t="s">
        <v>11</v>
      </c>
      <c r="C36" s="4" t="s">
        <v>52</v>
      </c>
    </row>
    <row r="37" customFormat="false" ht="15" hidden="false" customHeight="false" outlineLevel="0" collapsed="false">
      <c r="B37" s="3" t="s">
        <v>53</v>
      </c>
      <c r="C37" s="4" t="s">
        <v>54</v>
      </c>
    </row>
    <row r="38" customFormat="false" ht="15" hidden="false" customHeight="false" outlineLevel="0" collapsed="false">
      <c r="C38" s="5" t="s">
        <v>55</v>
      </c>
    </row>
    <row r="39" customFormat="false" ht="15" hidden="false" customHeight="false" outlineLevel="0" collapsed="false">
      <c r="B39" s="3" t="s">
        <v>56</v>
      </c>
      <c r="C39" s="4" t="s">
        <v>57</v>
      </c>
    </row>
    <row r="40" customFormat="false" ht="15" hidden="false" customHeight="false" outlineLevel="0" collapsed="false">
      <c r="B40" s="3" t="s">
        <v>58</v>
      </c>
      <c r="C40" s="4" t="s">
        <v>59</v>
      </c>
    </row>
    <row r="42" customFormat="false" ht="15" hidden="false" customHeight="false" outlineLevel="0" collapsed="false">
      <c r="B42" s="2" t="s">
        <v>60</v>
      </c>
    </row>
    <row r="43" customFormat="false" ht="15" hidden="false" customHeight="false" outlineLevel="0" collapsed="false">
      <c r="B43" s="3" t="s">
        <v>61</v>
      </c>
      <c r="C43" s="4" t="s">
        <v>62</v>
      </c>
    </row>
    <row r="44" customFormat="false" ht="15" hidden="false" customHeight="false" outlineLevel="0" collapsed="false">
      <c r="C44" s="5" t="s">
        <v>63</v>
      </c>
    </row>
    <row r="45" customFormat="false" ht="15" hidden="false" customHeight="false" outlineLevel="0" collapsed="false">
      <c r="B45" s="3" t="s">
        <v>64</v>
      </c>
      <c r="C45" s="4" t="s">
        <v>65</v>
      </c>
    </row>
    <row r="46" customFormat="false" ht="15" hidden="false" customHeight="false" outlineLevel="0" collapsed="false">
      <c r="C46" s="5" t="s">
        <v>66</v>
      </c>
    </row>
    <row r="48" customFormat="false" ht="15" hidden="false" customHeight="false" outlineLevel="0" collapsed="false">
      <c r="B48" s="2" t="s">
        <v>67</v>
      </c>
    </row>
    <row r="49" customFormat="false" ht="15" hidden="false" customHeight="false" outlineLevel="0" collapsed="false">
      <c r="B49" s="3" t="s">
        <v>68</v>
      </c>
      <c r="C49" s="6" t="s">
        <v>69</v>
      </c>
    </row>
    <row r="50" customFormat="false" ht="15" hidden="false" customHeight="false" outlineLevel="0" collapsed="false">
      <c r="B50" s="7" t="s">
        <v>70</v>
      </c>
      <c r="C50" s="6" t="s">
        <v>71</v>
      </c>
    </row>
    <row r="51" customFormat="false" ht="15" hidden="false" customHeight="false" outlineLevel="0" collapsed="false">
      <c r="B51" s="3" t="s">
        <v>72</v>
      </c>
      <c r="C51" s="6" t="s">
        <v>73</v>
      </c>
    </row>
    <row r="52" customFormat="false" ht="15" hidden="false" customHeight="false" outlineLevel="0" collapsed="false">
      <c r="B52" s="3" t="s">
        <v>74</v>
      </c>
      <c r="C52" s="4" t="s">
        <v>75</v>
      </c>
    </row>
    <row r="53" customFormat="false" ht="15" hidden="false" customHeight="false" outlineLevel="0" collapsed="false">
      <c r="B53" s="3" t="s">
        <v>76</v>
      </c>
      <c r="C53" s="4" t="s">
        <v>77</v>
      </c>
    </row>
    <row r="54" customFormat="false" ht="15" hidden="false" customHeight="false" outlineLevel="0" collapsed="false">
      <c r="C54" s="5" t="s">
        <v>78</v>
      </c>
    </row>
    <row r="55" customFormat="false" ht="15" hidden="false" customHeight="false" outlineLevel="0" collapsed="false">
      <c r="B55" s="3" t="s">
        <v>79</v>
      </c>
      <c r="C55" s="4" t="s">
        <v>80</v>
      </c>
    </row>
    <row r="57" customFormat="false" ht="15" hidden="false" customHeight="false" outlineLevel="0" collapsed="false">
      <c r="B57" s="8" t="s">
        <v>81</v>
      </c>
    </row>
    <row r="58" customFormat="false" ht="15" hidden="false" customHeight="false" outlineLevel="0" collapsed="false">
      <c r="B58" s="9" t="s">
        <v>82</v>
      </c>
    </row>
    <row r="59" customFormat="false" ht="15" hidden="false" customHeight="false" outlineLevel="0" collapsed="false">
      <c r="B59" s="10" t="s">
        <v>83</v>
      </c>
    </row>
    <row r="60" customFormat="false" ht="15" hidden="false" customHeight="false" outlineLevel="0" collapsed="false">
      <c r="B60" s="11" t="s">
        <v>84</v>
      </c>
    </row>
    <row r="61" customFormat="false" ht="15" hidden="false" customHeight="false" outlineLevel="0" collapsed="false">
      <c r="B61" s="12" t="s">
        <v>85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3" min="10" style="0" width="12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22" min="17" style="0" width="13"/>
    <col collapsed="false" customWidth="true" hidden="false" outlineLevel="0" max="23" min="23" style="0" width="9"/>
    <col collapsed="false" customWidth="true" hidden="false" outlineLevel="0" max="25" min="24" style="0" width="10"/>
    <col collapsed="false" customWidth="true" hidden="false" outlineLevel="0" max="26" min="26" style="0" width="12"/>
    <col collapsed="false" customWidth="true" hidden="false" outlineLevel="0" max="27" min="27" style="0" width="13"/>
    <col collapsed="false" customWidth="true" hidden="false" outlineLevel="0" max="29" min="28" style="0" width="11"/>
    <col collapsed="false" customWidth="true" hidden="false" outlineLevel="0" max="30" min="30" style="0" width="13"/>
    <col collapsed="false" customWidth="true" hidden="false" outlineLevel="0" max="34" min="31" style="0" width="11"/>
    <col collapsed="false" customWidth="true" hidden="false" outlineLevel="0" max="36" min="35" style="0" width="10"/>
    <col collapsed="false" customWidth="true" hidden="false" outlineLevel="0" max="37" min="37" style="0" width="30"/>
  </cols>
  <sheetData>
    <row r="1" customFormat="false" ht="25.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31.5" hidden="false" customHeight="true" outlineLevel="0" collapsed="false">
      <c r="A2" s="13" t="s">
        <v>87</v>
      </c>
      <c r="B2" s="13" t="s">
        <v>88</v>
      </c>
      <c r="C2" s="13" t="s">
        <v>89</v>
      </c>
      <c r="D2" s="13" t="s">
        <v>90</v>
      </c>
      <c r="E2" s="13" t="s">
        <v>91</v>
      </c>
      <c r="F2" s="13" t="s">
        <v>92</v>
      </c>
      <c r="G2" s="13" t="s">
        <v>93</v>
      </c>
      <c r="H2" s="13" t="s">
        <v>94</v>
      </c>
      <c r="I2" s="13" t="s">
        <v>95</v>
      </c>
      <c r="J2" s="13" t="s">
        <v>96</v>
      </c>
      <c r="K2" s="13" t="s">
        <v>97</v>
      </c>
      <c r="L2" s="13" t="s">
        <v>98</v>
      </c>
      <c r="M2" s="13" t="s">
        <v>99</v>
      </c>
      <c r="N2" s="14" t="s">
        <v>100</v>
      </c>
      <c r="O2" s="14" t="s">
        <v>101</v>
      </c>
      <c r="P2" s="14" t="s">
        <v>102</v>
      </c>
      <c r="Q2" s="13" t="s">
        <v>103</v>
      </c>
      <c r="R2" s="14" t="s">
        <v>104</v>
      </c>
      <c r="S2" s="13" t="s">
        <v>105</v>
      </c>
      <c r="T2" s="14" t="s">
        <v>106</v>
      </c>
      <c r="U2" s="14" t="s">
        <v>107</v>
      </c>
      <c r="V2" s="14" t="s">
        <v>108</v>
      </c>
      <c r="W2" s="14" t="s">
        <v>109</v>
      </c>
      <c r="X2" s="14" t="s">
        <v>110</v>
      </c>
      <c r="Y2" s="14" t="s">
        <v>111</v>
      </c>
      <c r="Z2" s="14" t="s">
        <v>112</v>
      </c>
      <c r="AA2" s="14" t="s">
        <v>113</v>
      </c>
      <c r="AB2" s="14" t="s">
        <v>114</v>
      </c>
      <c r="AC2" s="14" t="s">
        <v>115</v>
      </c>
      <c r="AD2" s="14" t="s">
        <v>116</v>
      </c>
      <c r="AE2" s="13" t="s">
        <v>117</v>
      </c>
      <c r="AF2" s="14" t="s">
        <v>118</v>
      </c>
      <c r="AG2" s="14" t="s">
        <v>119</v>
      </c>
      <c r="AH2" s="14" t="s">
        <v>120</v>
      </c>
      <c r="AI2" s="14" t="s">
        <v>121</v>
      </c>
      <c r="AJ2" s="14" t="s">
        <v>122</v>
      </c>
      <c r="AK2" s="13" t="s">
        <v>123</v>
      </c>
    </row>
    <row r="3" customFormat="false" ht="18" hidden="false" customHeight="true" outlineLevel="0" collapsed="false">
      <c r="A3" s="15" t="s">
        <v>124</v>
      </c>
      <c r="B3" s="12" t="s">
        <v>125</v>
      </c>
      <c r="C3" s="12" t="s">
        <v>126</v>
      </c>
      <c r="D3" s="12" t="s">
        <v>127</v>
      </c>
      <c r="E3" s="12" t="s">
        <v>128</v>
      </c>
      <c r="F3" s="16" t="n">
        <v>1</v>
      </c>
      <c r="G3" s="12" t="s">
        <v>129</v>
      </c>
      <c r="H3" s="12" t="s">
        <v>11</v>
      </c>
      <c r="I3" s="17" t="n">
        <v>0.45</v>
      </c>
      <c r="J3" s="18" t="n">
        <v>46162</v>
      </c>
      <c r="K3" s="18" t="n">
        <v>46174</v>
      </c>
      <c r="L3" s="18" t="n">
        <v>46265</v>
      </c>
      <c r="M3" s="18"/>
      <c r="N3" s="19" t="n">
        <f aca="false">IF($J3="","",YEAR($J3)-IF(MONTH($J3)&lt;マスタ!$B$4,1,0))</f>
        <v>2026</v>
      </c>
      <c r="O3" s="20" t="str">
        <f aca="false">IF($J3="","","Q"&amp;(INT(MOD(MONTH($J3)-マスタ!$B$4+12,12)/3)+1))</f>
        <v>Q1</v>
      </c>
      <c r="P3" s="21" t="n">
        <f aca="true">IF($L3="","",IF($M3&lt;&gt;"",$M3-$L3,IF(TODAY()&gt;$L3,TODAY()-$L3,0)))</f>
        <v>15</v>
      </c>
      <c r="Q3" s="22" t="n">
        <v>4800000</v>
      </c>
      <c r="R3" s="23" t="n">
        <f aca="false">IF($Q3="","",$Q3*N($F3))</f>
        <v>4800000</v>
      </c>
      <c r="S3" s="22" t="n">
        <v>600000</v>
      </c>
      <c r="T3" s="24" t="n">
        <f aca="false">IF($A3="","",SUMIFS(発注・納品!$H$3:$H$202,発注・納品!$B$3:$B$202,$A3))</f>
        <v>1820000</v>
      </c>
      <c r="U3" s="23" t="n">
        <f aca="false">IF($Q3="","",N($S3)+N($T3))</f>
        <v>2420000</v>
      </c>
      <c r="V3" s="23" t="n">
        <f aca="false">IF($Q3="","",$Q3-N($U3))</f>
        <v>2380000</v>
      </c>
      <c r="W3" s="25" t="n">
        <f aca="false">IF(N($Q3)=0,"",$V3/$Q3)</f>
        <v>0.495833333333333</v>
      </c>
      <c r="X3" s="26" t="n">
        <f aca="false">IF($A3="","",COUNTIFS(発注・納品!$B$3:$B$202,$A3))</f>
        <v>3</v>
      </c>
      <c r="Y3" s="26" t="n">
        <f aca="false">IF($A3="","",COUNTIFS(発注・納品!$B$3:$B$202,$A3,発注・納品!$M$3:$M$202,""))</f>
        <v>1</v>
      </c>
      <c r="Z3" s="27" t="n">
        <f aca="false">IF(N($X3)=0,"",IF(_xlfn.MAXIFS(発注・納品!$M$3:$M$202,発注・納品!$B$3:$B$202,$A3)=0,"",_xlfn.MAXIFS(発注・納品!$M$3:$M$202,発注・納品!$B$3:$B$202,$A3)))</f>
        <v>46192</v>
      </c>
      <c r="AA3" s="28" t="str">
        <f aca="false">IF($A3="","",IF(N($X3)=0,"機器なし",IF(N($Y3)&gt;0,"入荷待ち",IF(COUNTIFS(発注・納品!$B$3:$B$202,$A3,発注・納品!$N$3:$N$202,"")&gt;0,"受入待ち","受入完了"))))</f>
        <v>入荷待ち</v>
      </c>
      <c r="AB3" s="26" t="n">
        <f aca="false">IF($A3="","",COUNTIFS(現地作業!$A$3:$A$202,$A3,現地作業!$L$3:$L$202,"予定"))</f>
        <v>1</v>
      </c>
      <c r="AC3" s="26" t="n">
        <f aca="false">IF($A3="","",COUNTIFS(現地作業!$A$3:$A$202,$A3,現地作業!$L$3:$L$202,"完了"))</f>
        <v>2</v>
      </c>
      <c r="AD3" s="27" t="n">
        <f aca="true">IF(N($AB3)=0,"",IF(_xlfn.MINIFS(現地作業!$C$3:$C$202,現地作業!$A$3:$A$202,$A3,現地作業!$L$3:$L$202,"予定",現地作業!$C$3:$C$202,"&gt;="&amp;TODAY())=0,"",_xlfn.MINIFS(現地作業!$C$3:$C$202,現地作業!$A$3:$A$202,$A3,現地作業!$L$3:$L$202,"予定",現地作業!$C$3:$C$202,"&gt;="&amp;TODAY())))</f>
        <v>46309</v>
      </c>
      <c r="AE3" s="29" t="n">
        <v>45</v>
      </c>
      <c r="AF3" s="30" t="n">
        <f aca="false">IF($A3="","",SUM(月次工数計画!$G$8:$AD$8))</f>
        <v>45</v>
      </c>
      <c r="AG3" s="30" t="n">
        <f aca="false">IF($A3="","",SUMIFS(工数明細!$G$3:$G$302,工数明細!$B$3:$B$302,$A3))</f>
        <v>2.25</v>
      </c>
      <c r="AH3" s="31" t="n">
        <f aca="false">IF($AE3="","",$AE3-N($AG3))</f>
        <v>42.75</v>
      </c>
      <c r="AI3" s="25" t="n">
        <f aca="false">IF(N($AE3)=0,"",$AG3/$AE3)</f>
        <v>0.05</v>
      </c>
      <c r="AJ3" s="20" t="str">
        <f aca="false">IF(N($AE3)=0,"",IF($AG3&gt;$AE3,"超過",IF($AG3&gt;=$AE3*0.9,"注意","適正")))</f>
        <v>適正</v>
      </c>
      <c r="AK3" s="12" t="s">
        <v>130</v>
      </c>
    </row>
    <row r="4" customFormat="false" ht="18" hidden="false" customHeight="true" outlineLevel="0" collapsed="false">
      <c r="A4" s="15" t="s">
        <v>131</v>
      </c>
      <c r="B4" s="12" t="s">
        <v>132</v>
      </c>
      <c r="C4" s="12" t="s">
        <v>133</v>
      </c>
      <c r="D4" s="12" t="s">
        <v>134</v>
      </c>
      <c r="E4" s="12" t="s">
        <v>135</v>
      </c>
      <c r="F4" s="16" t="n">
        <v>1</v>
      </c>
      <c r="G4" s="12" t="s">
        <v>136</v>
      </c>
      <c r="H4" s="12" t="s">
        <v>136</v>
      </c>
      <c r="I4" s="17" t="n">
        <v>1</v>
      </c>
      <c r="J4" s="18" t="n">
        <v>46122</v>
      </c>
      <c r="K4" s="18" t="n">
        <v>46127</v>
      </c>
      <c r="L4" s="18" t="n">
        <v>46203</v>
      </c>
      <c r="M4" s="18" t="n">
        <v>46201</v>
      </c>
      <c r="N4" s="19" t="n">
        <f aca="false">IF($J4="","",YEAR($J4)-IF(MONTH($J4)&lt;マスタ!$B$4,1,0))</f>
        <v>2026</v>
      </c>
      <c r="O4" s="20" t="str">
        <f aca="false">IF($J4="","","Q"&amp;(INT(MOD(MONTH($J4)-マスタ!$B$4+12,12)/3)+1))</f>
        <v>Q1</v>
      </c>
      <c r="P4" s="21" t="n">
        <f aca="true">IF($L4="","",IF($M4&lt;&gt;"",$M4-$L4,IF(TODAY()&gt;$L4,TODAY()-$L4,0)))</f>
        <v>-2</v>
      </c>
      <c r="Q4" s="22" t="n">
        <v>1200000</v>
      </c>
      <c r="R4" s="23" t="n">
        <f aca="false">IF($Q4="","",$Q4*N($F4))</f>
        <v>1200000</v>
      </c>
      <c r="S4" s="22" t="n">
        <v>480000</v>
      </c>
      <c r="T4" s="24" t="n">
        <f aca="false">IF($A4="","",SUMIFS(発注・納品!$H$3:$H$202,発注・納品!$B$3:$B$202,$A4))</f>
        <v>0</v>
      </c>
      <c r="U4" s="23" t="n">
        <f aca="false">IF($Q4="","",N($S4)+N($T4))</f>
        <v>480000</v>
      </c>
      <c r="V4" s="23" t="n">
        <f aca="false">IF($Q4="","",$Q4-N($U4))</f>
        <v>720000</v>
      </c>
      <c r="W4" s="25" t="n">
        <f aca="false">IF(N($Q4)=0,"",$V4/$Q4)</f>
        <v>0.6</v>
      </c>
      <c r="X4" s="26" t="n">
        <f aca="false">IF($A4="","",COUNTIFS(発注・納品!$B$3:$B$202,$A4))</f>
        <v>0</v>
      </c>
      <c r="Y4" s="26" t="n">
        <f aca="false">IF($A4="","",COUNTIFS(発注・納品!$B$3:$B$202,$A4,発注・納品!$M$3:$M$202,""))</f>
        <v>0</v>
      </c>
      <c r="Z4" s="27" t="str">
        <f aca="false">IF(N($X4)=0,"",IF(_xlfn.MAXIFS(発注・納品!$M$3:$M$202,発注・納品!$B$3:$B$202,$A4)=0,"",_xlfn.MAXIFS(発注・納品!$M$3:$M$202,発注・納品!$B$3:$B$202,$A4)))</f>
        <v/>
      </c>
      <c r="AA4" s="28" t="str">
        <f aca="false">IF($A4="","",IF(N($X4)=0,"機器なし",IF(N($Y4)&gt;0,"入荷待ち",IF(COUNTIFS(発注・納品!$B$3:$B$202,$A4,発注・納品!$N$3:$N$202,"")&gt;0,"受入待ち","受入完了"))))</f>
        <v>機器なし</v>
      </c>
      <c r="AB4" s="26" t="n">
        <f aca="false">IF($A4="","",COUNTIFS(現地作業!$A$3:$A$202,$A4,現地作業!$L$3:$L$202,"予定"))</f>
        <v>0</v>
      </c>
      <c r="AC4" s="26" t="n">
        <f aca="false">IF($A4="","",COUNTIFS(現地作業!$A$3:$A$202,$A4,現地作業!$L$3:$L$202,"完了"))</f>
        <v>0</v>
      </c>
      <c r="AD4" s="27" t="str">
        <f aca="true">IF(N($AB4)=0,"",IF(_xlfn.MINIFS(現地作業!$C$3:$C$202,現地作業!$A$3:$A$202,$A4,現地作業!$L$3:$L$202,"予定",現地作業!$C$3:$C$202,"&gt;="&amp;TODAY())=0,"",_xlfn.MINIFS(現地作業!$C$3:$C$202,現地作業!$A$3:$A$202,$A4,現地作業!$L$3:$L$202,"予定",現地作業!$C$3:$C$202,"&gt;="&amp;TODAY())))</f>
        <v/>
      </c>
      <c r="AE4" s="29" t="n">
        <v>12</v>
      </c>
      <c r="AF4" s="30" t="n">
        <f aca="false">IF($A4="","",SUM(月次工数計画!$G$9:$AD$9))</f>
        <v>12</v>
      </c>
      <c r="AG4" s="30" t="n">
        <f aca="false">IF($A4="","",SUMIFS(工数明細!$G$3:$G$302,工数明細!$B$3:$B$302,$A4))</f>
        <v>0.5</v>
      </c>
      <c r="AH4" s="31" t="n">
        <f aca="false">IF($AE4="","",$AE4-N($AG4))</f>
        <v>11.5</v>
      </c>
      <c r="AI4" s="25" t="n">
        <f aca="false">IF(N($AE4)=0,"",$AG4/$AE4)</f>
        <v>0.0416666666666667</v>
      </c>
      <c r="AJ4" s="20" t="str">
        <f aca="false">IF(N($AE4)=0,"",IF($AG4&gt;$AE4,"超過",IF($AG4&gt;=$AE4*0.9,"注意","適正")))</f>
        <v>適正</v>
      </c>
      <c r="AK4" s="12" t="s">
        <v>137</v>
      </c>
    </row>
    <row r="5" customFormat="false" ht="18" hidden="false" customHeight="true" outlineLevel="0" collapsed="false">
      <c r="A5" s="15" t="s">
        <v>138</v>
      </c>
      <c r="B5" s="32" t="s">
        <v>139</v>
      </c>
      <c r="C5" s="12" t="s">
        <v>140</v>
      </c>
      <c r="D5" s="12" t="s">
        <v>141</v>
      </c>
      <c r="E5" s="12" t="s">
        <v>128</v>
      </c>
      <c r="F5" s="16" t="n">
        <v>0.5</v>
      </c>
      <c r="G5" s="12" t="s">
        <v>142</v>
      </c>
      <c r="H5" s="12" t="s">
        <v>143</v>
      </c>
      <c r="I5" s="17" t="n">
        <v>0.1</v>
      </c>
      <c r="J5" s="18" t="n">
        <v>46331</v>
      </c>
      <c r="K5" s="18"/>
      <c r="L5" s="18" t="n">
        <v>46446</v>
      </c>
      <c r="M5" s="18"/>
      <c r="N5" s="19" t="n">
        <f aca="false">IF($J5="","",YEAR($J5)-IF(MONTH($J5)&lt;マスタ!$B$4,1,0))</f>
        <v>2026</v>
      </c>
      <c r="O5" s="20" t="str">
        <f aca="false">IF($J5="","","Q"&amp;(INT(MOD(MONTH($J5)-マスタ!$B$4+12,12)/3)+1))</f>
        <v>Q3</v>
      </c>
      <c r="P5" s="21" t="n">
        <f aca="true">IF($L5="","",IF($M5&lt;&gt;"",$M5-$L5,IF(TODAY()&gt;$L5,TODAY()-$L5,0)))</f>
        <v>0</v>
      </c>
      <c r="Q5" s="22" t="n">
        <v>3000000</v>
      </c>
      <c r="R5" s="23" t="n">
        <f aca="false">IF($Q5="","",$Q5*N($F5))</f>
        <v>1500000</v>
      </c>
      <c r="S5" s="22" t="n">
        <v>1500000</v>
      </c>
      <c r="T5" s="24" t="n">
        <f aca="false">IF($A5="","",SUMIFS(発注・納品!$H$3:$H$202,発注・納品!$B$3:$B$202,$A5))</f>
        <v>0</v>
      </c>
      <c r="U5" s="23" t="n">
        <f aca="false">IF($Q5="","",N($S5)+N($T5))</f>
        <v>1500000</v>
      </c>
      <c r="V5" s="23" t="n">
        <f aca="false">IF($Q5="","",$Q5-N($U5))</f>
        <v>1500000</v>
      </c>
      <c r="W5" s="25" t="n">
        <f aca="false">IF(N($Q5)=0,"",$V5/$Q5)</f>
        <v>0.5</v>
      </c>
      <c r="X5" s="26" t="n">
        <f aca="false">IF($A5="","",COUNTIFS(発注・納品!$B$3:$B$202,$A5))</f>
        <v>0</v>
      </c>
      <c r="Y5" s="26" t="n">
        <f aca="false">IF($A5="","",COUNTIFS(発注・納品!$B$3:$B$202,$A5,発注・納品!$M$3:$M$202,""))</f>
        <v>0</v>
      </c>
      <c r="Z5" s="27" t="str">
        <f aca="false">IF(N($X5)=0,"",IF(_xlfn.MAXIFS(発注・納品!$M$3:$M$202,発注・納品!$B$3:$B$202,$A5)=0,"",_xlfn.MAXIFS(発注・納品!$M$3:$M$202,発注・納品!$B$3:$B$202,$A5)))</f>
        <v/>
      </c>
      <c r="AA5" s="28" t="str">
        <f aca="false">IF($A5="","",IF(N($X5)=0,"機器なし",IF(N($Y5)&gt;0,"入荷待ち",IF(COUNTIFS(発注・納品!$B$3:$B$202,$A5,発注・納品!$N$3:$N$202,"")&gt;0,"受入待ち","受入完了"))))</f>
        <v>機器なし</v>
      </c>
      <c r="AB5" s="26" t="n">
        <f aca="false">IF($A5="","",COUNTIFS(現地作業!$A$3:$A$202,$A5,現地作業!$L$3:$L$202,"予定"))</f>
        <v>0</v>
      </c>
      <c r="AC5" s="26" t="n">
        <f aca="false">IF($A5="","",COUNTIFS(現地作業!$A$3:$A$202,$A5,現地作業!$L$3:$L$202,"完了"))</f>
        <v>0</v>
      </c>
      <c r="AD5" s="27" t="str">
        <f aca="true">IF(N($AB5)=0,"",IF(_xlfn.MINIFS(現地作業!$C$3:$C$202,現地作業!$A$3:$A$202,$A5,現地作業!$L$3:$L$202,"予定",現地作業!$C$3:$C$202,"&gt;="&amp;TODAY())=0,"",_xlfn.MINIFS(現地作業!$C$3:$C$202,現地作業!$A$3:$A$202,$A5,現地作業!$L$3:$L$202,"予定",現地作業!$C$3:$C$202,"&gt;="&amp;TODAY())))</f>
        <v/>
      </c>
      <c r="AE5" s="29" t="n">
        <v>30</v>
      </c>
      <c r="AF5" s="30" t="n">
        <f aca="false">IF($A5="","",SUM(月次工数計画!$G$10:$AD$10))</f>
        <v>30</v>
      </c>
      <c r="AG5" s="30" t="n">
        <f aca="false">IF($A5="","",SUMIFS(工数明細!$G$3:$G$302,工数明細!$B$3:$B$302,$A5))</f>
        <v>0</v>
      </c>
      <c r="AH5" s="31" t="n">
        <f aca="false">IF($AE5="","",$AE5-N($AG5))</f>
        <v>30</v>
      </c>
      <c r="AI5" s="25" t="n">
        <f aca="false">IF(N($AE5)=0,"",$AG5/$AE5)</f>
        <v>0</v>
      </c>
      <c r="AJ5" s="20" t="str">
        <f aca="false">IF(N($AE5)=0,"",IF($AG5&gt;$AE5,"超過",IF($AG5&gt;=$AE5*0.9,"注意","適正")))</f>
        <v>適正</v>
      </c>
      <c r="AK5" s="12" t="s">
        <v>144</v>
      </c>
    </row>
    <row r="6" customFormat="false" ht="18" hidden="false" customHeight="true" outlineLevel="0" collapsed="false">
      <c r="A6" s="33"/>
      <c r="B6" s="34"/>
      <c r="C6" s="34"/>
      <c r="D6" s="34"/>
      <c r="E6" s="34"/>
      <c r="F6" s="35"/>
      <c r="G6" s="34"/>
      <c r="H6" s="34"/>
      <c r="I6" s="36"/>
      <c r="J6" s="37"/>
      <c r="K6" s="37"/>
      <c r="L6" s="37"/>
      <c r="M6" s="37"/>
      <c r="N6" s="19" t="str">
        <f aca="false">IF($J6="","",YEAR($J6)-IF(MONTH($J6)&lt;マスタ!$B$4,1,0))</f>
        <v/>
      </c>
      <c r="O6" s="20" t="str">
        <f aca="false">IF($J6="","","Q"&amp;(INT(MOD(MONTH($J6)-マスタ!$B$4+12,12)/3)+1))</f>
        <v/>
      </c>
      <c r="P6" s="21" t="str">
        <f aca="true">IF($L6="","",IF($M6&lt;&gt;"",$M6-$L6,IF(TODAY()&gt;$L6,TODAY()-$L6,0)))</f>
        <v/>
      </c>
      <c r="Q6" s="38"/>
      <c r="R6" s="23" t="str">
        <f aca="false">IF($Q6="","",$Q6*N($F6))</f>
        <v/>
      </c>
      <c r="S6" s="38"/>
      <c r="T6" s="24" t="str">
        <f aca="false">IF($A6="","",SUMIFS(発注・納品!$H$3:$H$202,発注・納品!$B$3:$B$202,$A6))</f>
        <v/>
      </c>
      <c r="U6" s="23" t="str">
        <f aca="false">IF($Q6="","",N($S6)+N($T6))</f>
        <v/>
      </c>
      <c r="V6" s="23" t="str">
        <f aca="false">IF($Q6="","",$Q6-N($U6))</f>
        <v/>
      </c>
      <c r="W6" s="25" t="str">
        <f aca="false">IF(N($Q6)=0,"",$V6/$Q6)</f>
        <v/>
      </c>
      <c r="X6" s="26" t="str">
        <f aca="false">IF($A6="","",COUNTIFS(発注・納品!$B$3:$B$202,$A6))</f>
        <v/>
      </c>
      <c r="Y6" s="26" t="str">
        <f aca="false">IF($A6="","",COUNTIFS(発注・納品!$B$3:$B$202,$A6,発注・納品!$M$3:$M$202,""))</f>
        <v/>
      </c>
      <c r="Z6" s="27" t="str">
        <f aca="false">IF(N($X6)=0,"",IF(_xlfn.MAXIFS(発注・納品!$M$3:$M$202,発注・納品!$B$3:$B$202,$A6)=0,"",_xlfn.MAXIFS(発注・納品!$M$3:$M$202,発注・納品!$B$3:$B$202,$A6)))</f>
        <v/>
      </c>
      <c r="AA6" s="28" t="str">
        <f aca="false">IF($A6="","",IF(N($X6)=0,"機器なし",IF(N($Y6)&gt;0,"入荷待ち",IF(COUNTIFS(発注・納品!$B$3:$B$202,$A6,発注・納品!$N$3:$N$202,"")&gt;0,"受入待ち","受入完了"))))</f>
        <v/>
      </c>
      <c r="AB6" s="26" t="str">
        <f aca="false">IF($A6="","",COUNTIFS(現地作業!$A$3:$A$202,$A6,現地作業!$L$3:$L$202,"予定"))</f>
        <v/>
      </c>
      <c r="AC6" s="26" t="str">
        <f aca="false">IF($A6="","",COUNTIFS(現地作業!$A$3:$A$202,$A6,現地作業!$L$3:$L$202,"完了"))</f>
        <v/>
      </c>
      <c r="AD6" s="27" t="str">
        <f aca="true">IF(N($AB6)=0,"",IF(_xlfn.MINIFS(現地作業!$C$3:$C$202,現地作業!$A$3:$A$202,$A6,現地作業!$L$3:$L$202,"予定",現地作業!$C$3:$C$202,"&gt;="&amp;TODAY())=0,"",_xlfn.MINIFS(現地作業!$C$3:$C$202,現地作業!$A$3:$A$202,$A6,現地作業!$L$3:$L$202,"予定",現地作業!$C$3:$C$202,"&gt;="&amp;TODAY())))</f>
        <v/>
      </c>
      <c r="AE6" s="39"/>
      <c r="AF6" s="30" t="str">
        <f aca="false">IF($A6="","",SUM(月次工数計画!$G$11:$AD$11))</f>
        <v/>
      </c>
      <c r="AG6" s="30" t="str">
        <f aca="false">IF($A6="","",SUMIFS(工数明細!$G$3:$G$302,工数明細!$B$3:$B$302,$A6))</f>
        <v/>
      </c>
      <c r="AH6" s="31" t="str">
        <f aca="false">IF($AE6="","",$AE6-N($AG6))</f>
        <v/>
      </c>
      <c r="AI6" s="25" t="str">
        <f aca="false">IF(N($AE6)=0,"",$AG6/$AE6)</f>
        <v/>
      </c>
      <c r="AJ6" s="20" t="str">
        <f aca="false">IF(N($AE6)=0,"",IF($AG6&gt;$AE6,"超過",IF($AG6&gt;=$AE6*0.9,"注意","適正")))</f>
        <v/>
      </c>
      <c r="AK6" s="34"/>
    </row>
    <row r="7" customFormat="false" ht="18" hidden="false" customHeight="true" outlineLevel="0" collapsed="false">
      <c r="A7" s="33"/>
      <c r="B7" s="34"/>
      <c r="C7" s="34"/>
      <c r="D7" s="34"/>
      <c r="E7" s="34"/>
      <c r="F7" s="35"/>
      <c r="G7" s="34"/>
      <c r="H7" s="34"/>
      <c r="I7" s="36"/>
      <c r="J7" s="37"/>
      <c r="K7" s="37"/>
      <c r="L7" s="37"/>
      <c r="M7" s="37"/>
      <c r="N7" s="19" t="str">
        <f aca="false">IF($J7="","",YEAR($J7)-IF(MONTH($J7)&lt;マスタ!$B$4,1,0))</f>
        <v/>
      </c>
      <c r="O7" s="20" t="str">
        <f aca="false">IF($J7="","","Q"&amp;(INT(MOD(MONTH($J7)-マスタ!$B$4+12,12)/3)+1))</f>
        <v/>
      </c>
      <c r="P7" s="21" t="str">
        <f aca="true">IF($L7="","",IF($M7&lt;&gt;"",$M7-$L7,IF(TODAY()&gt;$L7,TODAY()-$L7,0)))</f>
        <v/>
      </c>
      <c r="Q7" s="38"/>
      <c r="R7" s="23" t="str">
        <f aca="false">IF($Q7="","",$Q7*N($F7))</f>
        <v/>
      </c>
      <c r="S7" s="38"/>
      <c r="T7" s="24" t="str">
        <f aca="false">IF($A7="","",SUMIFS(発注・納品!$H$3:$H$202,発注・納品!$B$3:$B$202,$A7))</f>
        <v/>
      </c>
      <c r="U7" s="23" t="str">
        <f aca="false">IF($Q7="","",N($S7)+N($T7))</f>
        <v/>
      </c>
      <c r="V7" s="23" t="str">
        <f aca="false">IF($Q7="","",$Q7-N($U7))</f>
        <v/>
      </c>
      <c r="W7" s="25" t="str">
        <f aca="false">IF(N($Q7)=0,"",$V7/$Q7)</f>
        <v/>
      </c>
      <c r="X7" s="26" t="str">
        <f aca="false">IF($A7="","",COUNTIFS(発注・納品!$B$3:$B$202,$A7))</f>
        <v/>
      </c>
      <c r="Y7" s="26" t="str">
        <f aca="false">IF($A7="","",COUNTIFS(発注・納品!$B$3:$B$202,$A7,発注・納品!$M$3:$M$202,""))</f>
        <v/>
      </c>
      <c r="Z7" s="27" t="str">
        <f aca="false">IF(N($X7)=0,"",IF(_xlfn.MAXIFS(発注・納品!$M$3:$M$202,発注・納品!$B$3:$B$202,$A7)=0,"",_xlfn.MAXIFS(発注・納品!$M$3:$M$202,発注・納品!$B$3:$B$202,$A7)))</f>
        <v/>
      </c>
      <c r="AA7" s="28" t="str">
        <f aca="false">IF($A7="","",IF(N($X7)=0,"機器なし",IF(N($Y7)&gt;0,"入荷待ち",IF(COUNTIFS(発注・納品!$B$3:$B$202,$A7,発注・納品!$N$3:$N$202,"")&gt;0,"受入待ち","受入完了"))))</f>
        <v/>
      </c>
      <c r="AB7" s="26" t="str">
        <f aca="false">IF($A7="","",COUNTIFS(現地作業!$A$3:$A$202,$A7,現地作業!$L$3:$L$202,"予定"))</f>
        <v/>
      </c>
      <c r="AC7" s="26" t="str">
        <f aca="false">IF($A7="","",COUNTIFS(現地作業!$A$3:$A$202,$A7,現地作業!$L$3:$L$202,"完了"))</f>
        <v/>
      </c>
      <c r="AD7" s="27" t="str">
        <f aca="true">IF(N($AB7)=0,"",IF(_xlfn.MINIFS(現地作業!$C$3:$C$202,現地作業!$A$3:$A$202,$A7,現地作業!$L$3:$L$202,"予定",現地作業!$C$3:$C$202,"&gt;="&amp;TODAY())=0,"",_xlfn.MINIFS(現地作業!$C$3:$C$202,現地作業!$A$3:$A$202,$A7,現地作業!$L$3:$L$202,"予定",現地作業!$C$3:$C$202,"&gt;="&amp;TODAY())))</f>
        <v/>
      </c>
      <c r="AE7" s="39"/>
      <c r="AF7" s="30" t="str">
        <f aca="false">IF($A7="","",SUM(月次工数計画!$G$12:$AD$12))</f>
        <v/>
      </c>
      <c r="AG7" s="30" t="str">
        <f aca="false">IF($A7="","",SUMIFS(工数明細!$G$3:$G$302,工数明細!$B$3:$B$302,$A7))</f>
        <v/>
      </c>
      <c r="AH7" s="31" t="str">
        <f aca="false">IF($AE7="","",$AE7-N($AG7))</f>
        <v/>
      </c>
      <c r="AI7" s="25" t="str">
        <f aca="false">IF(N($AE7)=0,"",$AG7/$AE7)</f>
        <v/>
      </c>
      <c r="AJ7" s="20" t="str">
        <f aca="false">IF(N($AE7)=0,"",IF($AG7&gt;$AE7,"超過",IF($AG7&gt;=$AE7*0.9,"注意","適正")))</f>
        <v/>
      </c>
      <c r="AK7" s="34"/>
    </row>
    <row r="8" customFormat="false" ht="18" hidden="false" customHeight="true" outlineLevel="0" collapsed="false">
      <c r="A8" s="33"/>
      <c r="B8" s="34"/>
      <c r="C8" s="34"/>
      <c r="D8" s="34"/>
      <c r="E8" s="34"/>
      <c r="F8" s="35"/>
      <c r="G8" s="34"/>
      <c r="H8" s="34"/>
      <c r="I8" s="36"/>
      <c r="J8" s="37"/>
      <c r="K8" s="37"/>
      <c r="L8" s="37"/>
      <c r="M8" s="37"/>
      <c r="N8" s="19" t="str">
        <f aca="false">IF($J8="","",YEAR($J8)-IF(MONTH($J8)&lt;マスタ!$B$4,1,0))</f>
        <v/>
      </c>
      <c r="O8" s="20" t="str">
        <f aca="false">IF($J8="","","Q"&amp;(INT(MOD(MONTH($J8)-マスタ!$B$4+12,12)/3)+1))</f>
        <v/>
      </c>
      <c r="P8" s="21" t="str">
        <f aca="true">IF($L8="","",IF($M8&lt;&gt;"",$M8-$L8,IF(TODAY()&gt;$L8,TODAY()-$L8,0)))</f>
        <v/>
      </c>
      <c r="Q8" s="38"/>
      <c r="R8" s="23" t="str">
        <f aca="false">IF($Q8="","",$Q8*N($F8))</f>
        <v/>
      </c>
      <c r="S8" s="38"/>
      <c r="T8" s="24" t="str">
        <f aca="false">IF($A8="","",SUMIFS(発注・納品!$H$3:$H$202,発注・納品!$B$3:$B$202,$A8))</f>
        <v/>
      </c>
      <c r="U8" s="23" t="str">
        <f aca="false">IF($Q8="","",N($S8)+N($T8))</f>
        <v/>
      </c>
      <c r="V8" s="23" t="str">
        <f aca="false">IF($Q8="","",$Q8-N($U8))</f>
        <v/>
      </c>
      <c r="W8" s="25" t="str">
        <f aca="false">IF(N($Q8)=0,"",$V8/$Q8)</f>
        <v/>
      </c>
      <c r="X8" s="26" t="str">
        <f aca="false">IF($A8="","",COUNTIFS(発注・納品!$B$3:$B$202,$A8))</f>
        <v/>
      </c>
      <c r="Y8" s="26" t="str">
        <f aca="false">IF($A8="","",COUNTIFS(発注・納品!$B$3:$B$202,$A8,発注・納品!$M$3:$M$202,""))</f>
        <v/>
      </c>
      <c r="Z8" s="27" t="str">
        <f aca="false">IF(N($X8)=0,"",IF(_xlfn.MAXIFS(発注・納品!$M$3:$M$202,発注・納品!$B$3:$B$202,$A8)=0,"",_xlfn.MAXIFS(発注・納品!$M$3:$M$202,発注・納品!$B$3:$B$202,$A8)))</f>
        <v/>
      </c>
      <c r="AA8" s="28" t="str">
        <f aca="false">IF($A8="","",IF(N($X8)=0,"機器なし",IF(N($Y8)&gt;0,"入荷待ち",IF(COUNTIFS(発注・納品!$B$3:$B$202,$A8,発注・納品!$N$3:$N$202,"")&gt;0,"受入待ち","受入完了"))))</f>
        <v/>
      </c>
      <c r="AB8" s="26" t="str">
        <f aca="false">IF($A8="","",COUNTIFS(現地作業!$A$3:$A$202,$A8,現地作業!$L$3:$L$202,"予定"))</f>
        <v/>
      </c>
      <c r="AC8" s="26" t="str">
        <f aca="false">IF($A8="","",COUNTIFS(現地作業!$A$3:$A$202,$A8,現地作業!$L$3:$L$202,"完了"))</f>
        <v/>
      </c>
      <c r="AD8" s="27" t="str">
        <f aca="true">IF(N($AB8)=0,"",IF(_xlfn.MINIFS(現地作業!$C$3:$C$202,現地作業!$A$3:$A$202,$A8,現地作業!$L$3:$L$202,"予定",現地作業!$C$3:$C$202,"&gt;="&amp;TODAY())=0,"",_xlfn.MINIFS(現地作業!$C$3:$C$202,現地作業!$A$3:$A$202,$A8,現地作業!$L$3:$L$202,"予定",現地作業!$C$3:$C$202,"&gt;="&amp;TODAY())))</f>
        <v/>
      </c>
      <c r="AE8" s="39"/>
      <c r="AF8" s="30" t="str">
        <f aca="false">IF($A8="","",SUM(月次工数計画!$G$13:$AD$13))</f>
        <v/>
      </c>
      <c r="AG8" s="30" t="str">
        <f aca="false">IF($A8="","",SUMIFS(工数明細!$G$3:$G$302,工数明細!$B$3:$B$302,$A8))</f>
        <v/>
      </c>
      <c r="AH8" s="31" t="str">
        <f aca="false">IF($AE8="","",$AE8-N($AG8))</f>
        <v/>
      </c>
      <c r="AI8" s="25" t="str">
        <f aca="false">IF(N($AE8)=0,"",$AG8/$AE8)</f>
        <v/>
      </c>
      <c r="AJ8" s="20" t="str">
        <f aca="false">IF(N($AE8)=0,"",IF($AG8&gt;$AE8,"超過",IF($AG8&gt;=$AE8*0.9,"注意","適正")))</f>
        <v/>
      </c>
      <c r="AK8" s="34"/>
    </row>
    <row r="9" customFormat="false" ht="18" hidden="false" customHeight="true" outlineLevel="0" collapsed="false">
      <c r="A9" s="33"/>
      <c r="B9" s="34"/>
      <c r="C9" s="34"/>
      <c r="D9" s="34"/>
      <c r="E9" s="34"/>
      <c r="F9" s="35"/>
      <c r="G9" s="34"/>
      <c r="H9" s="34"/>
      <c r="I9" s="36"/>
      <c r="J9" s="37"/>
      <c r="K9" s="37"/>
      <c r="L9" s="37"/>
      <c r="M9" s="37"/>
      <c r="N9" s="19" t="str">
        <f aca="false">IF($J9="","",YEAR($J9)-IF(MONTH($J9)&lt;マスタ!$B$4,1,0))</f>
        <v/>
      </c>
      <c r="O9" s="20" t="str">
        <f aca="false">IF($J9="","","Q"&amp;(INT(MOD(MONTH($J9)-マスタ!$B$4+12,12)/3)+1))</f>
        <v/>
      </c>
      <c r="P9" s="21" t="str">
        <f aca="true">IF($L9="","",IF($M9&lt;&gt;"",$M9-$L9,IF(TODAY()&gt;$L9,TODAY()-$L9,0)))</f>
        <v/>
      </c>
      <c r="Q9" s="38"/>
      <c r="R9" s="23" t="str">
        <f aca="false">IF($Q9="","",$Q9*N($F9))</f>
        <v/>
      </c>
      <c r="S9" s="38"/>
      <c r="T9" s="24" t="str">
        <f aca="false">IF($A9="","",SUMIFS(発注・納品!$H$3:$H$202,発注・納品!$B$3:$B$202,$A9))</f>
        <v/>
      </c>
      <c r="U9" s="23" t="str">
        <f aca="false">IF($Q9="","",N($S9)+N($T9))</f>
        <v/>
      </c>
      <c r="V9" s="23" t="str">
        <f aca="false">IF($Q9="","",$Q9-N($U9))</f>
        <v/>
      </c>
      <c r="W9" s="25" t="str">
        <f aca="false">IF(N($Q9)=0,"",$V9/$Q9)</f>
        <v/>
      </c>
      <c r="X9" s="26" t="str">
        <f aca="false">IF($A9="","",COUNTIFS(発注・納品!$B$3:$B$202,$A9))</f>
        <v/>
      </c>
      <c r="Y9" s="26" t="str">
        <f aca="false">IF($A9="","",COUNTIFS(発注・納品!$B$3:$B$202,$A9,発注・納品!$M$3:$M$202,""))</f>
        <v/>
      </c>
      <c r="Z9" s="27" t="str">
        <f aca="false">IF(N($X9)=0,"",IF(_xlfn.MAXIFS(発注・納品!$M$3:$M$202,発注・納品!$B$3:$B$202,$A9)=0,"",_xlfn.MAXIFS(発注・納品!$M$3:$M$202,発注・納品!$B$3:$B$202,$A9)))</f>
        <v/>
      </c>
      <c r="AA9" s="28" t="str">
        <f aca="false">IF($A9="","",IF(N($X9)=0,"機器なし",IF(N($Y9)&gt;0,"入荷待ち",IF(COUNTIFS(発注・納品!$B$3:$B$202,$A9,発注・納品!$N$3:$N$202,"")&gt;0,"受入待ち","受入完了"))))</f>
        <v/>
      </c>
      <c r="AB9" s="26" t="str">
        <f aca="false">IF($A9="","",COUNTIFS(現地作業!$A$3:$A$202,$A9,現地作業!$L$3:$L$202,"予定"))</f>
        <v/>
      </c>
      <c r="AC9" s="26" t="str">
        <f aca="false">IF($A9="","",COUNTIFS(現地作業!$A$3:$A$202,$A9,現地作業!$L$3:$L$202,"完了"))</f>
        <v/>
      </c>
      <c r="AD9" s="27" t="str">
        <f aca="true">IF(N($AB9)=0,"",IF(_xlfn.MINIFS(現地作業!$C$3:$C$202,現地作業!$A$3:$A$202,$A9,現地作業!$L$3:$L$202,"予定",現地作業!$C$3:$C$202,"&gt;="&amp;TODAY())=0,"",_xlfn.MINIFS(現地作業!$C$3:$C$202,現地作業!$A$3:$A$202,$A9,現地作業!$L$3:$L$202,"予定",現地作業!$C$3:$C$202,"&gt;="&amp;TODAY())))</f>
        <v/>
      </c>
      <c r="AE9" s="39"/>
      <c r="AF9" s="30" t="str">
        <f aca="false">IF($A9="","",SUM(月次工数計画!$G$14:$AD$14))</f>
        <v/>
      </c>
      <c r="AG9" s="30" t="str">
        <f aca="false">IF($A9="","",SUMIFS(工数明細!$G$3:$G$302,工数明細!$B$3:$B$302,$A9))</f>
        <v/>
      </c>
      <c r="AH9" s="31" t="str">
        <f aca="false">IF($AE9="","",$AE9-N($AG9))</f>
        <v/>
      </c>
      <c r="AI9" s="25" t="str">
        <f aca="false">IF(N($AE9)=0,"",$AG9/$AE9)</f>
        <v/>
      </c>
      <c r="AJ9" s="20" t="str">
        <f aca="false">IF(N($AE9)=0,"",IF($AG9&gt;$AE9,"超過",IF($AG9&gt;=$AE9*0.9,"注意","適正")))</f>
        <v/>
      </c>
      <c r="AK9" s="34"/>
    </row>
    <row r="10" customFormat="false" ht="18" hidden="false" customHeight="true" outlineLevel="0" collapsed="false">
      <c r="A10" s="33"/>
      <c r="B10" s="34"/>
      <c r="C10" s="34"/>
      <c r="D10" s="34"/>
      <c r="E10" s="34"/>
      <c r="F10" s="35"/>
      <c r="G10" s="34"/>
      <c r="H10" s="34"/>
      <c r="I10" s="36"/>
      <c r="J10" s="37"/>
      <c r="K10" s="37"/>
      <c r="L10" s="37"/>
      <c r="M10" s="37"/>
      <c r="N10" s="19" t="str">
        <f aca="false">IF($J10="","",YEAR($J10)-IF(MONTH($J10)&lt;マスタ!$B$4,1,0))</f>
        <v/>
      </c>
      <c r="O10" s="20" t="str">
        <f aca="false">IF($J10="","","Q"&amp;(INT(MOD(MONTH($J10)-マスタ!$B$4+12,12)/3)+1))</f>
        <v/>
      </c>
      <c r="P10" s="21" t="str">
        <f aca="true">IF($L10="","",IF($M10&lt;&gt;"",$M10-$L10,IF(TODAY()&gt;$L10,TODAY()-$L10,0)))</f>
        <v/>
      </c>
      <c r="Q10" s="38"/>
      <c r="R10" s="23" t="str">
        <f aca="false">IF($Q10="","",$Q10*N($F10))</f>
        <v/>
      </c>
      <c r="S10" s="38"/>
      <c r="T10" s="24" t="str">
        <f aca="false">IF($A10="","",SUMIFS(発注・納品!$H$3:$H$202,発注・納品!$B$3:$B$202,$A10))</f>
        <v/>
      </c>
      <c r="U10" s="23" t="str">
        <f aca="false">IF($Q10="","",N($S10)+N($T10))</f>
        <v/>
      </c>
      <c r="V10" s="23" t="str">
        <f aca="false">IF($Q10="","",$Q10-N($U10))</f>
        <v/>
      </c>
      <c r="W10" s="25" t="str">
        <f aca="false">IF(N($Q10)=0,"",$V10/$Q10)</f>
        <v/>
      </c>
      <c r="X10" s="26" t="str">
        <f aca="false">IF($A10="","",COUNTIFS(発注・納品!$B$3:$B$202,$A10))</f>
        <v/>
      </c>
      <c r="Y10" s="26" t="str">
        <f aca="false">IF($A10="","",COUNTIFS(発注・納品!$B$3:$B$202,$A10,発注・納品!$M$3:$M$202,""))</f>
        <v/>
      </c>
      <c r="Z10" s="27" t="str">
        <f aca="false">IF(N($X10)=0,"",IF(_xlfn.MAXIFS(発注・納品!$M$3:$M$202,発注・納品!$B$3:$B$202,$A10)=0,"",_xlfn.MAXIFS(発注・納品!$M$3:$M$202,発注・納品!$B$3:$B$202,$A10)))</f>
        <v/>
      </c>
      <c r="AA10" s="28" t="str">
        <f aca="false">IF($A10="","",IF(N($X10)=0,"機器なし",IF(N($Y10)&gt;0,"入荷待ち",IF(COUNTIFS(発注・納品!$B$3:$B$202,$A10,発注・納品!$N$3:$N$202,"")&gt;0,"受入待ち","受入完了"))))</f>
        <v/>
      </c>
      <c r="AB10" s="26" t="str">
        <f aca="false">IF($A10="","",COUNTIFS(現地作業!$A$3:$A$202,$A10,現地作業!$L$3:$L$202,"予定"))</f>
        <v/>
      </c>
      <c r="AC10" s="26" t="str">
        <f aca="false">IF($A10="","",COUNTIFS(現地作業!$A$3:$A$202,$A10,現地作業!$L$3:$L$202,"完了"))</f>
        <v/>
      </c>
      <c r="AD10" s="27" t="str">
        <f aca="true">IF(N($AB10)=0,"",IF(_xlfn.MINIFS(現地作業!$C$3:$C$202,現地作業!$A$3:$A$202,$A10,現地作業!$L$3:$L$202,"予定",現地作業!$C$3:$C$202,"&gt;="&amp;TODAY())=0,"",_xlfn.MINIFS(現地作業!$C$3:$C$202,現地作業!$A$3:$A$202,$A10,現地作業!$L$3:$L$202,"予定",現地作業!$C$3:$C$202,"&gt;="&amp;TODAY())))</f>
        <v/>
      </c>
      <c r="AE10" s="39"/>
      <c r="AF10" s="30" t="str">
        <f aca="false">IF($A10="","",SUM(月次工数計画!$G$15:$AD$15))</f>
        <v/>
      </c>
      <c r="AG10" s="30" t="str">
        <f aca="false">IF($A10="","",SUMIFS(工数明細!$G$3:$G$302,工数明細!$B$3:$B$302,$A10))</f>
        <v/>
      </c>
      <c r="AH10" s="31" t="str">
        <f aca="false">IF($AE10="","",$AE10-N($AG10))</f>
        <v/>
      </c>
      <c r="AI10" s="25" t="str">
        <f aca="false">IF(N($AE10)=0,"",$AG10/$AE10)</f>
        <v/>
      </c>
      <c r="AJ10" s="20" t="str">
        <f aca="false">IF(N($AE10)=0,"",IF($AG10&gt;$AE10,"超過",IF($AG10&gt;=$AE10*0.9,"注意","適正")))</f>
        <v/>
      </c>
      <c r="AK10" s="34"/>
    </row>
    <row r="11" customFormat="false" ht="18" hidden="false" customHeight="true" outlineLevel="0" collapsed="false">
      <c r="A11" s="33"/>
      <c r="B11" s="34"/>
      <c r="C11" s="34"/>
      <c r="D11" s="34"/>
      <c r="E11" s="34"/>
      <c r="F11" s="35"/>
      <c r="G11" s="34"/>
      <c r="H11" s="34"/>
      <c r="I11" s="36"/>
      <c r="J11" s="37"/>
      <c r="K11" s="37"/>
      <c r="L11" s="37"/>
      <c r="M11" s="37"/>
      <c r="N11" s="19" t="str">
        <f aca="false">IF($J11="","",YEAR($J11)-IF(MONTH($J11)&lt;マスタ!$B$4,1,0))</f>
        <v/>
      </c>
      <c r="O11" s="20" t="str">
        <f aca="false">IF($J11="","","Q"&amp;(INT(MOD(MONTH($J11)-マスタ!$B$4+12,12)/3)+1))</f>
        <v/>
      </c>
      <c r="P11" s="21" t="str">
        <f aca="true">IF($L11="","",IF($M11&lt;&gt;"",$M11-$L11,IF(TODAY()&gt;$L11,TODAY()-$L11,0)))</f>
        <v/>
      </c>
      <c r="Q11" s="38"/>
      <c r="R11" s="23" t="str">
        <f aca="false">IF($Q11="","",$Q11*N($F11))</f>
        <v/>
      </c>
      <c r="S11" s="38"/>
      <c r="T11" s="24" t="str">
        <f aca="false">IF($A11="","",SUMIFS(発注・納品!$H$3:$H$202,発注・納品!$B$3:$B$202,$A11))</f>
        <v/>
      </c>
      <c r="U11" s="23" t="str">
        <f aca="false">IF($Q11="","",N($S11)+N($T11))</f>
        <v/>
      </c>
      <c r="V11" s="23" t="str">
        <f aca="false">IF($Q11="","",$Q11-N($U11))</f>
        <v/>
      </c>
      <c r="W11" s="25" t="str">
        <f aca="false">IF(N($Q11)=0,"",$V11/$Q11)</f>
        <v/>
      </c>
      <c r="X11" s="26" t="str">
        <f aca="false">IF($A11="","",COUNTIFS(発注・納品!$B$3:$B$202,$A11))</f>
        <v/>
      </c>
      <c r="Y11" s="26" t="str">
        <f aca="false">IF($A11="","",COUNTIFS(発注・納品!$B$3:$B$202,$A11,発注・納品!$M$3:$M$202,""))</f>
        <v/>
      </c>
      <c r="Z11" s="27" t="str">
        <f aca="false">IF(N($X11)=0,"",IF(_xlfn.MAXIFS(発注・納品!$M$3:$M$202,発注・納品!$B$3:$B$202,$A11)=0,"",_xlfn.MAXIFS(発注・納品!$M$3:$M$202,発注・納品!$B$3:$B$202,$A11)))</f>
        <v/>
      </c>
      <c r="AA11" s="28" t="str">
        <f aca="false">IF($A11="","",IF(N($X11)=0,"機器なし",IF(N($Y11)&gt;0,"入荷待ち",IF(COUNTIFS(発注・納品!$B$3:$B$202,$A11,発注・納品!$N$3:$N$202,"")&gt;0,"受入待ち","受入完了"))))</f>
        <v/>
      </c>
      <c r="AB11" s="26" t="str">
        <f aca="false">IF($A11="","",COUNTIFS(現地作業!$A$3:$A$202,$A11,現地作業!$L$3:$L$202,"予定"))</f>
        <v/>
      </c>
      <c r="AC11" s="26" t="str">
        <f aca="false">IF($A11="","",COUNTIFS(現地作業!$A$3:$A$202,$A11,現地作業!$L$3:$L$202,"完了"))</f>
        <v/>
      </c>
      <c r="AD11" s="27" t="str">
        <f aca="true">IF(N($AB11)=0,"",IF(_xlfn.MINIFS(現地作業!$C$3:$C$202,現地作業!$A$3:$A$202,$A11,現地作業!$L$3:$L$202,"予定",現地作業!$C$3:$C$202,"&gt;="&amp;TODAY())=0,"",_xlfn.MINIFS(現地作業!$C$3:$C$202,現地作業!$A$3:$A$202,$A11,現地作業!$L$3:$L$202,"予定",現地作業!$C$3:$C$202,"&gt;="&amp;TODAY())))</f>
        <v/>
      </c>
      <c r="AE11" s="39"/>
      <c r="AF11" s="30" t="str">
        <f aca="false">IF($A11="","",SUM(月次工数計画!$G$16:$AD$16))</f>
        <v/>
      </c>
      <c r="AG11" s="30" t="str">
        <f aca="false">IF($A11="","",SUMIFS(工数明細!$G$3:$G$302,工数明細!$B$3:$B$302,$A11))</f>
        <v/>
      </c>
      <c r="AH11" s="31" t="str">
        <f aca="false">IF($AE11="","",$AE11-N($AG11))</f>
        <v/>
      </c>
      <c r="AI11" s="25" t="str">
        <f aca="false">IF(N($AE11)=0,"",$AG11/$AE11)</f>
        <v/>
      </c>
      <c r="AJ11" s="20" t="str">
        <f aca="false">IF(N($AE11)=0,"",IF($AG11&gt;$AE11,"超過",IF($AG11&gt;=$AE11*0.9,"注意","適正")))</f>
        <v/>
      </c>
      <c r="AK11" s="34"/>
    </row>
    <row r="12" customFormat="false" ht="18" hidden="false" customHeight="true" outlineLevel="0" collapsed="false">
      <c r="A12" s="33"/>
      <c r="B12" s="34"/>
      <c r="C12" s="34"/>
      <c r="D12" s="34"/>
      <c r="E12" s="34"/>
      <c r="F12" s="35"/>
      <c r="G12" s="34"/>
      <c r="H12" s="34"/>
      <c r="I12" s="36"/>
      <c r="J12" s="37"/>
      <c r="K12" s="37"/>
      <c r="L12" s="37"/>
      <c r="M12" s="37"/>
      <c r="N12" s="19" t="str">
        <f aca="false">IF($J12="","",YEAR($J12)-IF(MONTH($J12)&lt;マスタ!$B$4,1,0))</f>
        <v/>
      </c>
      <c r="O12" s="20" t="str">
        <f aca="false">IF($J12="","","Q"&amp;(INT(MOD(MONTH($J12)-マスタ!$B$4+12,12)/3)+1))</f>
        <v/>
      </c>
      <c r="P12" s="21" t="str">
        <f aca="true">IF($L12="","",IF($M12&lt;&gt;"",$M12-$L12,IF(TODAY()&gt;$L12,TODAY()-$L12,0)))</f>
        <v/>
      </c>
      <c r="Q12" s="38"/>
      <c r="R12" s="23" t="str">
        <f aca="false">IF($Q12="","",$Q12*N($F12))</f>
        <v/>
      </c>
      <c r="S12" s="38"/>
      <c r="T12" s="24" t="str">
        <f aca="false">IF($A12="","",SUMIFS(発注・納品!$H$3:$H$202,発注・納品!$B$3:$B$202,$A12))</f>
        <v/>
      </c>
      <c r="U12" s="23" t="str">
        <f aca="false">IF($Q12="","",N($S12)+N($T12))</f>
        <v/>
      </c>
      <c r="V12" s="23" t="str">
        <f aca="false">IF($Q12="","",$Q12-N($U12))</f>
        <v/>
      </c>
      <c r="W12" s="25" t="str">
        <f aca="false">IF(N($Q12)=0,"",$V12/$Q12)</f>
        <v/>
      </c>
      <c r="X12" s="26" t="str">
        <f aca="false">IF($A12="","",COUNTIFS(発注・納品!$B$3:$B$202,$A12))</f>
        <v/>
      </c>
      <c r="Y12" s="26" t="str">
        <f aca="false">IF($A12="","",COUNTIFS(発注・納品!$B$3:$B$202,$A12,発注・納品!$M$3:$M$202,""))</f>
        <v/>
      </c>
      <c r="Z12" s="27" t="str">
        <f aca="false">IF(N($X12)=0,"",IF(_xlfn.MAXIFS(発注・納品!$M$3:$M$202,発注・納品!$B$3:$B$202,$A12)=0,"",_xlfn.MAXIFS(発注・納品!$M$3:$M$202,発注・納品!$B$3:$B$202,$A12)))</f>
        <v/>
      </c>
      <c r="AA12" s="28" t="str">
        <f aca="false">IF($A12="","",IF(N($X12)=0,"機器なし",IF(N($Y12)&gt;0,"入荷待ち",IF(COUNTIFS(発注・納品!$B$3:$B$202,$A12,発注・納品!$N$3:$N$202,"")&gt;0,"受入待ち","受入完了"))))</f>
        <v/>
      </c>
      <c r="AB12" s="26" t="str">
        <f aca="false">IF($A12="","",COUNTIFS(現地作業!$A$3:$A$202,$A12,現地作業!$L$3:$L$202,"予定"))</f>
        <v/>
      </c>
      <c r="AC12" s="26" t="str">
        <f aca="false">IF($A12="","",COUNTIFS(現地作業!$A$3:$A$202,$A12,現地作業!$L$3:$L$202,"完了"))</f>
        <v/>
      </c>
      <c r="AD12" s="27" t="str">
        <f aca="true">IF(N($AB12)=0,"",IF(_xlfn.MINIFS(現地作業!$C$3:$C$202,現地作業!$A$3:$A$202,$A12,現地作業!$L$3:$L$202,"予定",現地作業!$C$3:$C$202,"&gt;="&amp;TODAY())=0,"",_xlfn.MINIFS(現地作業!$C$3:$C$202,現地作業!$A$3:$A$202,$A12,現地作業!$L$3:$L$202,"予定",現地作業!$C$3:$C$202,"&gt;="&amp;TODAY())))</f>
        <v/>
      </c>
      <c r="AE12" s="39"/>
      <c r="AF12" s="30" t="str">
        <f aca="false">IF($A12="","",SUM(月次工数計画!$G$17:$AD$17))</f>
        <v/>
      </c>
      <c r="AG12" s="30" t="str">
        <f aca="false">IF($A12="","",SUMIFS(工数明細!$G$3:$G$302,工数明細!$B$3:$B$302,$A12))</f>
        <v/>
      </c>
      <c r="AH12" s="31" t="str">
        <f aca="false">IF($AE12="","",$AE12-N($AG12))</f>
        <v/>
      </c>
      <c r="AI12" s="25" t="str">
        <f aca="false">IF(N($AE12)=0,"",$AG12/$AE12)</f>
        <v/>
      </c>
      <c r="AJ12" s="20" t="str">
        <f aca="false">IF(N($AE12)=0,"",IF($AG12&gt;$AE12,"超過",IF($AG12&gt;=$AE12*0.9,"注意","適正")))</f>
        <v/>
      </c>
      <c r="AK12" s="34"/>
    </row>
    <row r="13" customFormat="false" ht="18" hidden="false" customHeight="true" outlineLevel="0" collapsed="false">
      <c r="A13" s="33"/>
      <c r="B13" s="34"/>
      <c r="C13" s="34"/>
      <c r="D13" s="34"/>
      <c r="E13" s="34"/>
      <c r="F13" s="35"/>
      <c r="G13" s="34"/>
      <c r="H13" s="34"/>
      <c r="I13" s="36"/>
      <c r="J13" s="37"/>
      <c r="K13" s="37"/>
      <c r="L13" s="37"/>
      <c r="M13" s="37"/>
      <c r="N13" s="19" t="str">
        <f aca="false">IF($J13="","",YEAR($J13)-IF(MONTH($J13)&lt;マスタ!$B$4,1,0))</f>
        <v/>
      </c>
      <c r="O13" s="20" t="str">
        <f aca="false">IF($J13="","","Q"&amp;(INT(MOD(MONTH($J13)-マスタ!$B$4+12,12)/3)+1))</f>
        <v/>
      </c>
      <c r="P13" s="21" t="str">
        <f aca="true">IF($L13="","",IF($M13&lt;&gt;"",$M13-$L13,IF(TODAY()&gt;$L13,TODAY()-$L13,0)))</f>
        <v/>
      </c>
      <c r="Q13" s="38"/>
      <c r="R13" s="23" t="str">
        <f aca="false">IF($Q13="","",$Q13*N($F13))</f>
        <v/>
      </c>
      <c r="S13" s="38"/>
      <c r="T13" s="24" t="str">
        <f aca="false">IF($A13="","",SUMIFS(発注・納品!$H$3:$H$202,発注・納品!$B$3:$B$202,$A13))</f>
        <v/>
      </c>
      <c r="U13" s="23" t="str">
        <f aca="false">IF($Q13="","",N($S13)+N($T13))</f>
        <v/>
      </c>
      <c r="V13" s="23" t="str">
        <f aca="false">IF($Q13="","",$Q13-N($U13))</f>
        <v/>
      </c>
      <c r="W13" s="25" t="str">
        <f aca="false">IF(N($Q13)=0,"",$V13/$Q13)</f>
        <v/>
      </c>
      <c r="X13" s="26" t="str">
        <f aca="false">IF($A13="","",COUNTIFS(発注・納品!$B$3:$B$202,$A13))</f>
        <v/>
      </c>
      <c r="Y13" s="26" t="str">
        <f aca="false">IF($A13="","",COUNTIFS(発注・納品!$B$3:$B$202,$A13,発注・納品!$M$3:$M$202,""))</f>
        <v/>
      </c>
      <c r="Z13" s="27" t="str">
        <f aca="false">IF(N($X13)=0,"",IF(_xlfn.MAXIFS(発注・納品!$M$3:$M$202,発注・納品!$B$3:$B$202,$A13)=0,"",_xlfn.MAXIFS(発注・納品!$M$3:$M$202,発注・納品!$B$3:$B$202,$A13)))</f>
        <v/>
      </c>
      <c r="AA13" s="28" t="str">
        <f aca="false">IF($A13="","",IF(N($X13)=0,"機器なし",IF(N($Y13)&gt;0,"入荷待ち",IF(COUNTIFS(発注・納品!$B$3:$B$202,$A13,発注・納品!$N$3:$N$202,"")&gt;0,"受入待ち","受入完了"))))</f>
        <v/>
      </c>
      <c r="AB13" s="26" t="str">
        <f aca="false">IF($A13="","",COUNTIFS(現地作業!$A$3:$A$202,$A13,現地作業!$L$3:$L$202,"予定"))</f>
        <v/>
      </c>
      <c r="AC13" s="26" t="str">
        <f aca="false">IF($A13="","",COUNTIFS(現地作業!$A$3:$A$202,$A13,現地作業!$L$3:$L$202,"完了"))</f>
        <v/>
      </c>
      <c r="AD13" s="27" t="str">
        <f aca="true">IF(N($AB13)=0,"",IF(_xlfn.MINIFS(現地作業!$C$3:$C$202,現地作業!$A$3:$A$202,$A13,現地作業!$L$3:$L$202,"予定",現地作業!$C$3:$C$202,"&gt;="&amp;TODAY())=0,"",_xlfn.MINIFS(現地作業!$C$3:$C$202,現地作業!$A$3:$A$202,$A13,現地作業!$L$3:$L$202,"予定",現地作業!$C$3:$C$202,"&gt;="&amp;TODAY())))</f>
        <v/>
      </c>
      <c r="AE13" s="39"/>
      <c r="AF13" s="30" t="str">
        <f aca="false">IF($A13="","",SUM(月次工数計画!$G$18:$AD$18))</f>
        <v/>
      </c>
      <c r="AG13" s="30" t="str">
        <f aca="false">IF($A13="","",SUMIFS(工数明細!$G$3:$G$302,工数明細!$B$3:$B$302,$A13))</f>
        <v/>
      </c>
      <c r="AH13" s="31" t="str">
        <f aca="false">IF($AE13="","",$AE13-N($AG13))</f>
        <v/>
      </c>
      <c r="AI13" s="25" t="str">
        <f aca="false">IF(N($AE13)=0,"",$AG13/$AE13)</f>
        <v/>
      </c>
      <c r="AJ13" s="20" t="str">
        <f aca="false">IF(N($AE13)=0,"",IF($AG13&gt;$AE13,"超過",IF($AG13&gt;=$AE13*0.9,"注意","適正")))</f>
        <v/>
      </c>
      <c r="AK13" s="34"/>
    </row>
    <row r="14" customFormat="false" ht="18" hidden="false" customHeight="true" outlineLevel="0" collapsed="false">
      <c r="A14" s="33"/>
      <c r="B14" s="34"/>
      <c r="C14" s="34"/>
      <c r="D14" s="34"/>
      <c r="E14" s="34"/>
      <c r="F14" s="35"/>
      <c r="G14" s="34"/>
      <c r="H14" s="34"/>
      <c r="I14" s="36"/>
      <c r="J14" s="37"/>
      <c r="K14" s="37"/>
      <c r="L14" s="37"/>
      <c r="M14" s="37"/>
      <c r="N14" s="19" t="str">
        <f aca="false">IF($J14="","",YEAR($J14)-IF(MONTH($J14)&lt;マスタ!$B$4,1,0))</f>
        <v/>
      </c>
      <c r="O14" s="20" t="str">
        <f aca="false">IF($J14="","","Q"&amp;(INT(MOD(MONTH($J14)-マスタ!$B$4+12,12)/3)+1))</f>
        <v/>
      </c>
      <c r="P14" s="21" t="str">
        <f aca="true">IF($L14="","",IF($M14&lt;&gt;"",$M14-$L14,IF(TODAY()&gt;$L14,TODAY()-$L14,0)))</f>
        <v/>
      </c>
      <c r="Q14" s="38"/>
      <c r="R14" s="23" t="str">
        <f aca="false">IF($Q14="","",$Q14*N($F14))</f>
        <v/>
      </c>
      <c r="S14" s="38"/>
      <c r="T14" s="24" t="str">
        <f aca="false">IF($A14="","",SUMIFS(発注・納品!$H$3:$H$202,発注・納品!$B$3:$B$202,$A14))</f>
        <v/>
      </c>
      <c r="U14" s="23" t="str">
        <f aca="false">IF($Q14="","",N($S14)+N($T14))</f>
        <v/>
      </c>
      <c r="V14" s="23" t="str">
        <f aca="false">IF($Q14="","",$Q14-N($U14))</f>
        <v/>
      </c>
      <c r="W14" s="25" t="str">
        <f aca="false">IF(N($Q14)=0,"",$V14/$Q14)</f>
        <v/>
      </c>
      <c r="X14" s="26" t="str">
        <f aca="false">IF($A14="","",COUNTIFS(発注・納品!$B$3:$B$202,$A14))</f>
        <v/>
      </c>
      <c r="Y14" s="26" t="str">
        <f aca="false">IF($A14="","",COUNTIFS(発注・納品!$B$3:$B$202,$A14,発注・納品!$M$3:$M$202,""))</f>
        <v/>
      </c>
      <c r="Z14" s="27" t="str">
        <f aca="false">IF(N($X14)=0,"",IF(_xlfn.MAXIFS(発注・納品!$M$3:$M$202,発注・納品!$B$3:$B$202,$A14)=0,"",_xlfn.MAXIFS(発注・納品!$M$3:$M$202,発注・納品!$B$3:$B$202,$A14)))</f>
        <v/>
      </c>
      <c r="AA14" s="28" t="str">
        <f aca="false">IF($A14="","",IF(N($X14)=0,"機器なし",IF(N($Y14)&gt;0,"入荷待ち",IF(COUNTIFS(発注・納品!$B$3:$B$202,$A14,発注・納品!$N$3:$N$202,"")&gt;0,"受入待ち","受入完了"))))</f>
        <v/>
      </c>
      <c r="AB14" s="26" t="str">
        <f aca="false">IF($A14="","",COUNTIFS(現地作業!$A$3:$A$202,$A14,現地作業!$L$3:$L$202,"予定"))</f>
        <v/>
      </c>
      <c r="AC14" s="26" t="str">
        <f aca="false">IF($A14="","",COUNTIFS(現地作業!$A$3:$A$202,$A14,現地作業!$L$3:$L$202,"完了"))</f>
        <v/>
      </c>
      <c r="AD14" s="27" t="str">
        <f aca="true">IF(N($AB14)=0,"",IF(_xlfn.MINIFS(現地作業!$C$3:$C$202,現地作業!$A$3:$A$202,$A14,現地作業!$L$3:$L$202,"予定",現地作業!$C$3:$C$202,"&gt;="&amp;TODAY())=0,"",_xlfn.MINIFS(現地作業!$C$3:$C$202,現地作業!$A$3:$A$202,$A14,現地作業!$L$3:$L$202,"予定",現地作業!$C$3:$C$202,"&gt;="&amp;TODAY())))</f>
        <v/>
      </c>
      <c r="AE14" s="39"/>
      <c r="AF14" s="30" t="str">
        <f aca="false">IF($A14="","",SUM(月次工数計画!$G$19:$AD$19))</f>
        <v/>
      </c>
      <c r="AG14" s="30" t="str">
        <f aca="false">IF($A14="","",SUMIFS(工数明細!$G$3:$G$302,工数明細!$B$3:$B$302,$A14))</f>
        <v/>
      </c>
      <c r="AH14" s="31" t="str">
        <f aca="false">IF($AE14="","",$AE14-N($AG14))</f>
        <v/>
      </c>
      <c r="AI14" s="25" t="str">
        <f aca="false">IF(N($AE14)=0,"",$AG14/$AE14)</f>
        <v/>
      </c>
      <c r="AJ14" s="20" t="str">
        <f aca="false">IF(N($AE14)=0,"",IF($AG14&gt;$AE14,"超過",IF($AG14&gt;=$AE14*0.9,"注意","適正")))</f>
        <v/>
      </c>
      <c r="AK14" s="34"/>
    </row>
    <row r="15" customFormat="false" ht="18" hidden="false" customHeight="true" outlineLevel="0" collapsed="false">
      <c r="A15" s="33"/>
      <c r="B15" s="34"/>
      <c r="C15" s="34"/>
      <c r="D15" s="34"/>
      <c r="E15" s="34"/>
      <c r="F15" s="35"/>
      <c r="G15" s="34"/>
      <c r="H15" s="34"/>
      <c r="I15" s="36"/>
      <c r="J15" s="37"/>
      <c r="K15" s="37"/>
      <c r="L15" s="37"/>
      <c r="M15" s="37"/>
      <c r="N15" s="19" t="str">
        <f aca="false">IF($J15="","",YEAR($J15)-IF(MONTH($J15)&lt;マスタ!$B$4,1,0))</f>
        <v/>
      </c>
      <c r="O15" s="20" t="str">
        <f aca="false">IF($J15="","","Q"&amp;(INT(MOD(MONTH($J15)-マスタ!$B$4+12,12)/3)+1))</f>
        <v/>
      </c>
      <c r="P15" s="21" t="str">
        <f aca="true">IF($L15="","",IF($M15&lt;&gt;"",$M15-$L15,IF(TODAY()&gt;$L15,TODAY()-$L15,0)))</f>
        <v/>
      </c>
      <c r="Q15" s="38"/>
      <c r="R15" s="23" t="str">
        <f aca="false">IF($Q15="","",$Q15*N($F15))</f>
        <v/>
      </c>
      <c r="S15" s="38"/>
      <c r="T15" s="24" t="str">
        <f aca="false">IF($A15="","",SUMIFS(発注・納品!$H$3:$H$202,発注・納品!$B$3:$B$202,$A15))</f>
        <v/>
      </c>
      <c r="U15" s="23" t="str">
        <f aca="false">IF($Q15="","",N($S15)+N($T15))</f>
        <v/>
      </c>
      <c r="V15" s="23" t="str">
        <f aca="false">IF($Q15="","",$Q15-N($U15))</f>
        <v/>
      </c>
      <c r="W15" s="25" t="str">
        <f aca="false">IF(N($Q15)=0,"",$V15/$Q15)</f>
        <v/>
      </c>
      <c r="X15" s="26" t="str">
        <f aca="false">IF($A15="","",COUNTIFS(発注・納品!$B$3:$B$202,$A15))</f>
        <v/>
      </c>
      <c r="Y15" s="26" t="str">
        <f aca="false">IF($A15="","",COUNTIFS(発注・納品!$B$3:$B$202,$A15,発注・納品!$M$3:$M$202,""))</f>
        <v/>
      </c>
      <c r="Z15" s="27" t="str">
        <f aca="false">IF(N($X15)=0,"",IF(_xlfn.MAXIFS(発注・納品!$M$3:$M$202,発注・納品!$B$3:$B$202,$A15)=0,"",_xlfn.MAXIFS(発注・納品!$M$3:$M$202,発注・納品!$B$3:$B$202,$A15)))</f>
        <v/>
      </c>
      <c r="AA15" s="28" t="str">
        <f aca="false">IF($A15="","",IF(N($X15)=0,"機器なし",IF(N($Y15)&gt;0,"入荷待ち",IF(COUNTIFS(発注・納品!$B$3:$B$202,$A15,発注・納品!$N$3:$N$202,"")&gt;0,"受入待ち","受入完了"))))</f>
        <v/>
      </c>
      <c r="AB15" s="26" t="str">
        <f aca="false">IF($A15="","",COUNTIFS(現地作業!$A$3:$A$202,$A15,現地作業!$L$3:$L$202,"予定"))</f>
        <v/>
      </c>
      <c r="AC15" s="26" t="str">
        <f aca="false">IF($A15="","",COUNTIFS(現地作業!$A$3:$A$202,$A15,現地作業!$L$3:$L$202,"完了"))</f>
        <v/>
      </c>
      <c r="AD15" s="27" t="str">
        <f aca="true">IF(N($AB15)=0,"",IF(_xlfn.MINIFS(現地作業!$C$3:$C$202,現地作業!$A$3:$A$202,$A15,現地作業!$L$3:$L$202,"予定",現地作業!$C$3:$C$202,"&gt;="&amp;TODAY())=0,"",_xlfn.MINIFS(現地作業!$C$3:$C$202,現地作業!$A$3:$A$202,$A15,現地作業!$L$3:$L$202,"予定",現地作業!$C$3:$C$202,"&gt;="&amp;TODAY())))</f>
        <v/>
      </c>
      <c r="AE15" s="39"/>
      <c r="AF15" s="30" t="str">
        <f aca="false">IF($A15="","",SUM(月次工数計画!$G$20:$AD$20))</f>
        <v/>
      </c>
      <c r="AG15" s="30" t="str">
        <f aca="false">IF($A15="","",SUMIFS(工数明細!$G$3:$G$302,工数明細!$B$3:$B$302,$A15))</f>
        <v/>
      </c>
      <c r="AH15" s="31" t="str">
        <f aca="false">IF($AE15="","",$AE15-N($AG15))</f>
        <v/>
      </c>
      <c r="AI15" s="25" t="str">
        <f aca="false">IF(N($AE15)=0,"",$AG15/$AE15)</f>
        <v/>
      </c>
      <c r="AJ15" s="20" t="str">
        <f aca="false">IF(N($AE15)=0,"",IF($AG15&gt;$AE15,"超過",IF($AG15&gt;=$AE15*0.9,"注意","適正")))</f>
        <v/>
      </c>
      <c r="AK15" s="34"/>
    </row>
    <row r="16" customFormat="false" ht="18" hidden="false" customHeight="true" outlineLevel="0" collapsed="false">
      <c r="A16" s="33"/>
      <c r="B16" s="34"/>
      <c r="C16" s="34"/>
      <c r="D16" s="34"/>
      <c r="E16" s="34"/>
      <c r="F16" s="35"/>
      <c r="G16" s="34"/>
      <c r="H16" s="34"/>
      <c r="I16" s="36"/>
      <c r="J16" s="37"/>
      <c r="K16" s="37"/>
      <c r="L16" s="37"/>
      <c r="M16" s="37"/>
      <c r="N16" s="19" t="str">
        <f aca="false">IF($J16="","",YEAR($J16)-IF(MONTH($J16)&lt;マスタ!$B$4,1,0))</f>
        <v/>
      </c>
      <c r="O16" s="20" t="str">
        <f aca="false">IF($J16="","","Q"&amp;(INT(MOD(MONTH($J16)-マスタ!$B$4+12,12)/3)+1))</f>
        <v/>
      </c>
      <c r="P16" s="21" t="str">
        <f aca="true">IF($L16="","",IF($M16&lt;&gt;"",$M16-$L16,IF(TODAY()&gt;$L16,TODAY()-$L16,0)))</f>
        <v/>
      </c>
      <c r="Q16" s="38"/>
      <c r="R16" s="23" t="str">
        <f aca="false">IF($Q16="","",$Q16*N($F16))</f>
        <v/>
      </c>
      <c r="S16" s="38"/>
      <c r="T16" s="24" t="str">
        <f aca="false">IF($A16="","",SUMIFS(発注・納品!$H$3:$H$202,発注・納品!$B$3:$B$202,$A16))</f>
        <v/>
      </c>
      <c r="U16" s="23" t="str">
        <f aca="false">IF($Q16="","",N($S16)+N($T16))</f>
        <v/>
      </c>
      <c r="V16" s="23" t="str">
        <f aca="false">IF($Q16="","",$Q16-N($U16))</f>
        <v/>
      </c>
      <c r="W16" s="25" t="str">
        <f aca="false">IF(N($Q16)=0,"",$V16/$Q16)</f>
        <v/>
      </c>
      <c r="X16" s="26" t="str">
        <f aca="false">IF($A16="","",COUNTIFS(発注・納品!$B$3:$B$202,$A16))</f>
        <v/>
      </c>
      <c r="Y16" s="26" t="str">
        <f aca="false">IF($A16="","",COUNTIFS(発注・納品!$B$3:$B$202,$A16,発注・納品!$M$3:$M$202,""))</f>
        <v/>
      </c>
      <c r="Z16" s="27" t="str">
        <f aca="false">IF(N($X16)=0,"",IF(_xlfn.MAXIFS(発注・納品!$M$3:$M$202,発注・納品!$B$3:$B$202,$A16)=0,"",_xlfn.MAXIFS(発注・納品!$M$3:$M$202,発注・納品!$B$3:$B$202,$A16)))</f>
        <v/>
      </c>
      <c r="AA16" s="28" t="str">
        <f aca="false">IF($A16="","",IF(N($X16)=0,"機器なし",IF(N($Y16)&gt;0,"入荷待ち",IF(COUNTIFS(発注・納品!$B$3:$B$202,$A16,発注・納品!$N$3:$N$202,"")&gt;0,"受入待ち","受入完了"))))</f>
        <v/>
      </c>
      <c r="AB16" s="26" t="str">
        <f aca="false">IF($A16="","",COUNTIFS(現地作業!$A$3:$A$202,$A16,現地作業!$L$3:$L$202,"予定"))</f>
        <v/>
      </c>
      <c r="AC16" s="26" t="str">
        <f aca="false">IF($A16="","",COUNTIFS(現地作業!$A$3:$A$202,$A16,現地作業!$L$3:$L$202,"完了"))</f>
        <v/>
      </c>
      <c r="AD16" s="27" t="str">
        <f aca="true">IF(N($AB16)=0,"",IF(_xlfn.MINIFS(現地作業!$C$3:$C$202,現地作業!$A$3:$A$202,$A16,現地作業!$L$3:$L$202,"予定",現地作業!$C$3:$C$202,"&gt;="&amp;TODAY())=0,"",_xlfn.MINIFS(現地作業!$C$3:$C$202,現地作業!$A$3:$A$202,$A16,現地作業!$L$3:$L$202,"予定",現地作業!$C$3:$C$202,"&gt;="&amp;TODAY())))</f>
        <v/>
      </c>
      <c r="AE16" s="39"/>
      <c r="AF16" s="30" t="str">
        <f aca="false">IF($A16="","",SUM(月次工数計画!$G$21:$AD$21))</f>
        <v/>
      </c>
      <c r="AG16" s="30" t="str">
        <f aca="false">IF($A16="","",SUMIFS(工数明細!$G$3:$G$302,工数明細!$B$3:$B$302,$A16))</f>
        <v/>
      </c>
      <c r="AH16" s="31" t="str">
        <f aca="false">IF($AE16="","",$AE16-N($AG16))</f>
        <v/>
      </c>
      <c r="AI16" s="25" t="str">
        <f aca="false">IF(N($AE16)=0,"",$AG16/$AE16)</f>
        <v/>
      </c>
      <c r="AJ16" s="20" t="str">
        <f aca="false">IF(N($AE16)=0,"",IF($AG16&gt;$AE16,"超過",IF($AG16&gt;=$AE16*0.9,"注意","適正")))</f>
        <v/>
      </c>
      <c r="AK16" s="34"/>
    </row>
    <row r="17" customFormat="false" ht="18" hidden="false" customHeight="true" outlineLevel="0" collapsed="false">
      <c r="A17" s="33"/>
      <c r="B17" s="34"/>
      <c r="C17" s="34"/>
      <c r="D17" s="34"/>
      <c r="E17" s="34"/>
      <c r="F17" s="35"/>
      <c r="G17" s="34"/>
      <c r="H17" s="34"/>
      <c r="I17" s="36"/>
      <c r="J17" s="37"/>
      <c r="K17" s="37"/>
      <c r="L17" s="37"/>
      <c r="M17" s="37"/>
      <c r="N17" s="19" t="str">
        <f aca="false">IF($J17="","",YEAR($J17)-IF(MONTH($J17)&lt;マスタ!$B$4,1,0))</f>
        <v/>
      </c>
      <c r="O17" s="20" t="str">
        <f aca="false">IF($J17="","","Q"&amp;(INT(MOD(MONTH($J17)-マスタ!$B$4+12,12)/3)+1))</f>
        <v/>
      </c>
      <c r="P17" s="21" t="str">
        <f aca="true">IF($L17="","",IF($M17&lt;&gt;"",$M17-$L17,IF(TODAY()&gt;$L17,TODAY()-$L17,0)))</f>
        <v/>
      </c>
      <c r="Q17" s="38"/>
      <c r="R17" s="23" t="str">
        <f aca="false">IF($Q17="","",$Q17*N($F17))</f>
        <v/>
      </c>
      <c r="S17" s="38"/>
      <c r="T17" s="24" t="str">
        <f aca="false">IF($A17="","",SUMIFS(発注・納品!$H$3:$H$202,発注・納品!$B$3:$B$202,$A17))</f>
        <v/>
      </c>
      <c r="U17" s="23" t="str">
        <f aca="false">IF($Q17="","",N($S17)+N($T17))</f>
        <v/>
      </c>
      <c r="V17" s="23" t="str">
        <f aca="false">IF($Q17="","",$Q17-N($U17))</f>
        <v/>
      </c>
      <c r="W17" s="25" t="str">
        <f aca="false">IF(N($Q17)=0,"",$V17/$Q17)</f>
        <v/>
      </c>
      <c r="X17" s="26" t="str">
        <f aca="false">IF($A17="","",COUNTIFS(発注・納品!$B$3:$B$202,$A17))</f>
        <v/>
      </c>
      <c r="Y17" s="26" t="str">
        <f aca="false">IF($A17="","",COUNTIFS(発注・納品!$B$3:$B$202,$A17,発注・納品!$M$3:$M$202,""))</f>
        <v/>
      </c>
      <c r="Z17" s="27" t="str">
        <f aca="false">IF(N($X17)=0,"",IF(_xlfn.MAXIFS(発注・納品!$M$3:$M$202,発注・納品!$B$3:$B$202,$A17)=0,"",_xlfn.MAXIFS(発注・納品!$M$3:$M$202,発注・納品!$B$3:$B$202,$A17)))</f>
        <v/>
      </c>
      <c r="AA17" s="28" t="str">
        <f aca="false">IF($A17="","",IF(N($X17)=0,"機器なし",IF(N($Y17)&gt;0,"入荷待ち",IF(COUNTIFS(発注・納品!$B$3:$B$202,$A17,発注・納品!$N$3:$N$202,"")&gt;0,"受入待ち","受入完了"))))</f>
        <v/>
      </c>
      <c r="AB17" s="26" t="str">
        <f aca="false">IF($A17="","",COUNTIFS(現地作業!$A$3:$A$202,$A17,現地作業!$L$3:$L$202,"予定"))</f>
        <v/>
      </c>
      <c r="AC17" s="26" t="str">
        <f aca="false">IF($A17="","",COUNTIFS(現地作業!$A$3:$A$202,$A17,現地作業!$L$3:$L$202,"完了"))</f>
        <v/>
      </c>
      <c r="AD17" s="27" t="str">
        <f aca="true">IF(N($AB17)=0,"",IF(_xlfn.MINIFS(現地作業!$C$3:$C$202,現地作業!$A$3:$A$202,$A17,現地作業!$L$3:$L$202,"予定",現地作業!$C$3:$C$202,"&gt;="&amp;TODAY())=0,"",_xlfn.MINIFS(現地作業!$C$3:$C$202,現地作業!$A$3:$A$202,$A17,現地作業!$L$3:$L$202,"予定",現地作業!$C$3:$C$202,"&gt;="&amp;TODAY())))</f>
        <v/>
      </c>
      <c r="AE17" s="39"/>
      <c r="AF17" s="30" t="str">
        <f aca="false">IF($A17="","",SUM(月次工数計画!$G$22:$AD$22))</f>
        <v/>
      </c>
      <c r="AG17" s="30" t="str">
        <f aca="false">IF($A17="","",SUMIFS(工数明細!$G$3:$G$302,工数明細!$B$3:$B$302,$A17))</f>
        <v/>
      </c>
      <c r="AH17" s="31" t="str">
        <f aca="false">IF($AE17="","",$AE17-N($AG17))</f>
        <v/>
      </c>
      <c r="AI17" s="25" t="str">
        <f aca="false">IF(N($AE17)=0,"",$AG17/$AE17)</f>
        <v/>
      </c>
      <c r="AJ17" s="20" t="str">
        <f aca="false">IF(N($AE17)=0,"",IF($AG17&gt;$AE17,"超過",IF($AG17&gt;=$AE17*0.9,"注意","適正")))</f>
        <v/>
      </c>
      <c r="AK17" s="34"/>
    </row>
    <row r="18" customFormat="false" ht="18" hidden="false" customHeight="true" outlineLevel="0" collapsed="false">
      <c r="A18" s="33"/>
      <c r="B18" s="34"/>
      <c r="C18" s="34"/>
      <c r="D18" s="34"/>
      <c r="E18" s="34"/>
      <c r="F18" s="35"/>
      <c r="G18" s="34"/>
      <c r="H18" s="34"/>
      <c r="I18" s="36"/>
      <c r="J18" s="37"/>
      <c r="K18" s="37"/>
      <c r="L18" s="37"/>
      <c r="M18" s="37"/>
      <c r="N18" s="19" t="str">
        <f aca="false">IF($J18="","",YEAR($J18)-IF(MONTH($J18)&lt;マスタ!$B$4,1,0))</f>
        <v/>
      </c>
      <c r="O18" s="20" t="str">
        <f aca="false">IF($J18="","","Q"&amp;(INT(MOD(MONTH($J18)-マスタ!$B$4+12,12)/3)+1))</f>
        <v/>
      </c>
      <c r="P18" s="21" t="str">
        <f aca="true">IF($L18="","",IF($M18&lt;&gt;"",$M18-$L18,IF(TODAY()&gt;$L18,TODAY()-$L18,0)))</f>
        <v/>
      </c>
      <c r="Q18" s="38"/>
      <c r="R18" s="23" t="str">
        <f aca="false">IF($Q18="","",$Q18*N($F18))</f>
        <v/>
      </c>
      <c r="S18" s="38"/>
      <c r="T18" s="24" t="str">
        <f aca="false">IF($A18="","",SUMIFS(発注・納品!$H$3:$H$202,発注・納品!$B$3:$B$202,$A18))</f>
        <v/>
      </c>
      <c r="U18" s="23" t="str">
        <f aca="false">IF($Q18="","",N($S18)+N($T18))</f>
        <v/>
      </c>
      <c r="V18" s="23" t="str">
        <f aca="false">IF($Q18="","",$Q18-N($U18))</f>
        <v/>
      </c>
      <c r="W18" s="25" t="str">
        <f aca="false">IF(N($Q18)=0,"",$V18/$Q18)</f>
        <v/>
      </c>
      <c r="X18" s="26" t="str">
        <f aca="false">IF($A18="","",COUNTIFS(発注・納品!$B$3:$B$202,$A18))</f>
        <v/>
      </c>
      <c r="Y18" s="26" t="str">
        <f aca="false">IF($A18="","",COUNTIFS(発注・納品!$B$3:$B$202,$A18,発注・納品!$M$3:$M$202,""))</f>
        <v/>
      </c>
      <c r="Z18" s="27" t="str">
        <f aca="false">IF(N($X18)=0,"",IF(_xlfn.MAXIFS(発注・納品!$M$3:$M$202,発注・納品!$B$3:$B$202,$A18)=0,"",_xlfn.MAXIFS(発注・納品!$M$3:$M$202,発注・納品!$B$3:$B$202,$A18)))</f>
        <v/>
      </c>
      <c r="AA18" s="28" t="str">
        <f aca="false">IF($A18="","",IF(N($X18)=0,"機器なし",IF(N($Y18)&gt;0,"入荷待ち",IF(COUNTIFS(発注・納品!$B$3:$B$202,$A18,発注・納品!$N$3:$N$202,"")&gt;0,"受入待ち","受入完了"))))</f>
        <v/>
      </c>
      <c r="AB18" s="26" t="str">
        <f aca="false">IF($A18="","",COUNTIFS(現地作業!$A$3:$A$202,$A18,現地作業!$L$3:$L$202,"予定"))</f>
        <v/>
      </c>
      <c r="AC18" s="26" t="str">
        <f aca="false">IF($A18="","",COUNTIFS(現地作業!$A$3:$A$202,$A18,現地作業!$L$3:$L$202,"完了"))</f>
        <v/>
      </c>
      <c r="AD18" s="27" t="str">
        <f aca="true">IF(N($AB18)=0,"",IF(_xlfn.MINIFS(現地作業!$C$3:$C$202,現地作業!$A$3:$A$202,$A18,現地作業!$L$3:$L$202,"予定",現地作業!$C$3:$C$202,"&gt;="&amp;TODAY())=0,"",_xlfn.MINIFS(現地作業!$C$3:$C$202,現地作業!$A$3:$A$202,$A18,現地作業!$L$3:$L$202,"予定",現地作業!$C$3:$C$202,"&gt;="&amp;TODAY())))</f>
        <v/>
      </c>
      <c r="AE18" s="39"/>
      <c r="AF18" s="30" t="str">
        <f aca="false">IF($A18="","",SUM(月次工数計画!$G$23:$AD$23))</f>
        <v/>
      </c>
      <c r="AG18" s="30" t="str">
        <f aca="false">IF($A18="","",SUMIFS(工数明細!$G$3:$G$302,工数明細!$B$3:$B$302,$A18))</f>
        <v/>
      </c>
      <c r="AH18" s="31" t="str">
        <f aca="false">IF($AE18="","",$AE18-N($AG18))</f>
        <v/>
      </c>
      <c r="AI18" s="25" t="str">
        <f aca="false">IF(N($AE18)=0,"",$AG18/$AE18)</f>
        <v/>
      </c>
      <c r="AJ18" s="20" t="str">
        <f aca="false">IF(N($AE18)=0,"",IF($AG18&gt;$AE18,"超過",IF($AG18&gt;=$AE18*0.9,"注意","適正")))</f>
        <v/>
      </c>
      <c r="AK18" s="34"/>
    </row>
    <row r="19" customFormat="false" ht="18" hidden="false" customHeight="true" outlineLevel="0" collapsed="false">
      <c r="A19" s="33"/>
      <c r="B19" s="34"/>
      <c r="C19" s="34"/>
      <c r="D19" s="34"/>
      <c r="E19" s="34"/>
      <c r="F19" s="35"/>
      <c r="G19" s="34"/>
      <c r="H19" s="34"/>
      <c r="I19" s="36"/>
      <c r="J19" s="37"/>
      <c r="K19" s="37"/>
      <c r="L19" s="37"/>
      <c r="M19" s="37"/>
      <c r="N19" s="19" t="str">
        <f aca="false">IF($J19="","",YEAR($J19)-IF(MONTH($J19)&lt;マスタ!$B$4,1,0))</f>
        <v/>
      </c>
      <c r="O19" s="20" t="str">
        <f aca="false">IF($J19="","","Q"&amp;(INT(MOD(MONTH($J19)-マスタ!$B$4+12,12)/3)+1))</f>
        <v/>
      </c>
      <c r="P19" s="21" t="str">
        <f aca="true">IF($L19="","",IF($M19&lt;&gt;"",$M19-$L19,IF(TODAY()&gt;$L19,TODAY()-$L19,0)))</f>
        <v/>
      </c>
      <c r="Q19" s="38"/>
      <c r="R19" s="23" t="str">
        <f aca="false">IF($Q19="","",$Q19*N($F19))</f>
        <v/>
      </c>
      <c r="S19" s="38"/>
      <c r="T19" s="24" t="str">
        <f aca="false">IF($A19="","",SUMIFS(発注・納品!$H$3:$H$202,発注・納品!$B$3:$B$202,$A19))</f>
        <v/>
      </c>
      <c r="U19" s="23" t="str">
        <f aca="false">IF($Q19="","",N($S19)+N($T19))</f>
        <v/>
      </c>
      <c r="V19" s="23" t="str">
        <f aca="false">IF($Q19="","",$Q19-N($U19))</f>
        <v/>
      </c>
      <c r="W19" s="25" t="str">
        <f aca="false">IF(N($Q19)=0,"",$V19/$Q19)</f>
        <v/>
      </c>
      <c r="X19" s="26" t="str">
        <f aca="false">IF($A19="","",COUNTIFS(発注・納品!$B$3:$B$202,$A19))</f>
        <v/>
      </c>
      <c r="Y19" s="26" t="str">
        <f aca="false">IF($A19="","",COUNTIFS(発注・納品!$B$3:$B$202,$A19,発注・納品!$M$3:$M$202,""))</f>
        <v/>
      </c>
      <c r="Z19" s="27" t="str">
        <f aca="false">IF(N($X19)=0,"",IF(_xlfn.MAXIFS(発注・納品!$M$3:$M$202,発注・納品!$B$3:$B$202,$A19)=0,"",_xlfn.MAXIFS(発注・納品!$M$3:$M$202,発注・納品!$B$3:$B$202,$A19)))</f>
        <v/>
      </c>
      <c r="AA19" s="28" t="str">
        <f aca="false">IF($A19="","",IF(N($X19)=0,"機器なし",IF(N($Y19)&gt;0,"入荷待ち",IF(COUNTIFS(発注・納品!$B$3:$B$202,$A19,発注・納品!$N$3:$N$202,"")&gt;0,"受入待ち","受入完了"))))</f>
        <v/>
      </c>
      <c r="AB19" s="26" t="str">
        <f aca="false">IF($A19="","",COUNTIFS(現地作業!$A$3:$A$202,$A19,現地作業!$L$3:$L$202,"予定"))</f>
        <v/>
      </c>
      <c r="AC19" s="26" t="str">
        <f aca="false">IF($A19="","",COUNTIFS(現地作業!$A$3:$A$202,$A19,現地作業!$L$3:$L$202,"完了"))</f>
        <v/>
      </c>
      <c r="AD19" s="27" t="str">
        <f aca="true">IF(N($AB19)=0,"",IF(_xlfn.MINIFS(現地作業!$C$3:$C$202,現地作業!$A$3:$A$202,$A19,現地作業!$L$3:$L$202,"予定",現地作業!$C$3:$C$202,"&gt;="&amp;TODAY())=0,"",_xlfn.MINIFS(現地作業!$C$3:$C$202,現地作業!$A$3:$A$202,$A19,現地作業!$L$3:$L$202,"予定",現地作業!$C$3:$C$202,"&gt;="&amp;TODAY())))</f>
        <v/>
      </c>
      <c r="AE19" s="39"/>
      <c r="AF19" s="30" t="str">
        <f aca="false">IF($A19="","",SUM(月次工数計画!$G$24:$AD$24))</f>
        <v/>
      </c>
      <c r="AG19" s="30" t="str">
        <f aca="false">IF($A19="","",SUMIFS(工数明細!$G$3:$G$302,工数明細!$B$3:$B$302,$A19))</f>
        <v/>
      </c>
      <c r="AH19" s="31" t="str">
        <f aca="false">IF($AE19="","",$AE19-N($AG19))</f>
        <v/>
      </c>
      <c r="AI19" s="25" t="str">
        <f aca="false">IF(N($AE19)=0,"",$AG19/$AE19)</f>
        <v/>
      </c>
      <c r="AJ19" s="20" t="str">
        <f aca="false">IF(N($AE19)=0,"",IF($AG19&gt;$AE19,"超過",IF($AG19&gt;=$AE19*0.9,"注意","適正")))</f>
        <v/>
      </c>
      <c r="AK19" s="34"/>
    </row>
    <row r="20" customFormat="false" ht="18" hidden="false" customHeight="true" outlineLevel="0" collapsed="false">
      <c r="A20" s="33"/>
      <c r="B20" s="34"/>
      <c r="C20" s="34"/>
      <c r="D20" s="34"/>
      <c r="E20" s="34"/>
      <c r="F20" s="35"/>
      <c r="G20" s="34"/>
      <c r="H20" s="34"/>
      <c r="I20" s="36"/>
      <c r="J20" s="37"/>
      <c r="K20" s="37"/>
      <c r="L20" s="37"/>
      <c r="M20" s="37"/>
      <c r="N20" s="19" t="str">
        <f aca="false">IF($J20="","",YEAR($J20)-IF(MONTH($J20)&lt;マスタ!$B$4,1,0))</f>
        <v/>
      </c>
      <c r="O20" s="20" t="str">
        <f aca="false">IF($J20="","","Q"&amp;(INT(MOD(MONTH($J20)-マスタ!$B$4+12,12)/3)+1))</f>
        <v/>
      </c>
      <c r="P20" s="21" t="str">
        <f aca="true">IF($L20="","",IF($M20&lt;&gt;"",$M20-$L20,IF(TODAY()&gt;$L20,TODAY()-$L20,0)))</f>
        <v/>
      </c>
      <c r="Q20" s="38"/>
      <c r="R20" s="23" t="str">
        <f aca="false">IF($Q20="","",$Q20*N($F20))</f>
        <v/>
      </c>
      <c r="S20" s="38"/>
      <c r="T20" s="24" t="str">
        <f aca="false">IF($A20="","",SUMIFS(発注・納品!$H$3:$H$202,発注・納品!$B$3:$B$202,$A20))</f>
        <v/>
      </c>
      <c r="U20" s="23" t="str">
        <f aca="false">IF($Q20="","",N($S20)+N($T20))</f>
        <v/>
      </c>
      <c r="V20" s="23" t="str">
        <f aca="false">IF($Q20="","",$Q20-N($U20))</f>
        <v/>
      </c>
      <c r="W20" s="25" t="str">
        <f aca="false">IF(N($Q20)=0,"",$V20/$Q20)</f>
        <v/>
      </c>
      <c r="X20" s="26" t="str">
        <f aca="false">IF($A20="","",COUNTIFS(発注・納品!$B$3:$B$202,$A20))</f>
        <v/>
      </c>
      <c r="Y20" s="26" t="str">
        <f aca="false">IF($A20="","",COUNTIFS(発注・納品!$B$3:$B$202,$A20,発注・納品!$M$3:$M$202,""))</f>
        <v/>
      </c>
      <c r="Z20" s="27" t="str">
        <f aca="false">IF(N($X20)=0,"",IF(_xlfn.MAXIFS(発注・納品!$M$3:$M$202,発注・納品!$B$3:$B$202,$A20)=0,"",_xlfn.MAXIFS(発注・納品!$M$3:$M$202,発注・納品!$B$3:$B$202,$A20)))</f>
        <v/>
      </c>
      <c r="AA20" s="28" t="str">
        <f aca="false">IF($A20="","",IF(N($X20)=0,"機器なし",IF(N($Y20)&gt;0,"入荷待ち",IF(COUNTIFS(発注・納品!$B$3:$B$202,$A20,発注・納品!$N$3:$N$202,"")&gt;0,"受入待ち","受入完了"))))</f>
        <v/>
      </c>
      <c r="AB20" s="26" t="str">
        <f aca="false">IF($A20="","",COUNTIFS(現地作業!$A$3:$A$202,$A20,現地作業!$L$3:$L$202,"予定"))</f>
        <v/>
      </c>
      <c r="AC20" s="26" t="str">
        <f aca="false">IF($A20="","",COUNTIFS(現地作業!$A$3:$A$202,$A20,現地作業!$L$3:$L$202,"完了"))</f>
        <v/>
      </c>
      <c r="AD20" s="27" t="str">
        <f aca="true">IF(N($AB20)=0,"",IF(_xlfn.MINIFS(現地作業!$C$3:$C$202,現地作業!$A$3:$A$202,$A20,現地作業!$L$3:$L$202,"予定",現地作業!$C$3:$C$202,"&gt;="&amp;TODAY())=0,"",_xlfn.MINIFS(現地作業!$C$3:$C$202,現地作業!$A$3:$A$202,$A20,現地作業!$L$3:$L$202,"予定",現地作業!$C$3:$C$202,"&gt;="&amp;TODAY())))</f>
        <v/>
      </c>
      <c r="AE20" s="39"/>
      <c r="AF20" s="30" t="str">
        <f aca="false">IF($A20="","",SUM(月次工数計画!$G$25:$AD$25))</f>
        <v/>
      </c>
      <c r="AG20" s="30" t="str">
        <f aca="false">IF($A20="","",SUMIFS(工数明細!$G$3:$G$302,工数明細!$B$3:$B$302,$A20))</f>
        <v/>
      </c>
      <c r="AH20" s="31" t="str">
        <f aca="false">IF($AE20="","",$AE20-N($AG20))</f>
        <v/>
      </c>
      <c r="AI20" s="25" t="str">
        <f aca="false">IF(N($AE20)=0,"",$AG20/$AE20)</f>
        <v/>
      </c>
      <c r="AJ20" s="20" t="str">
        <f aca="false">IF(N($AE20)=0,"",IF($AG20&gt;$AE20,"超過",IF($AG20&gt;=$AE20*0.9,"注意","適正")))</f>
        <v/>
      </c>
      <c r="AK20" s="34"/>
    </row>
    <row r="21" customFormat="false" ht="18" hidden="false" customHeight="true" outlineLevel="0" collapsed="false">
      <c r="A21" s="33"/>
      <c r="B21" s="34"/>
      <c r="C21" s="34"/>
      <c r="D21" s="34"/>
      <c r="E21" s="34"/>
      <c r="F21" s="35"/>
      <c r="G21" s="34"/>
      <c r="H21" s="34"/>
      <c r="I21" s="36"/>
      <c r="J21" s="37"/>
      <c r="K21" s="37"/>
      <c r="L21" s="37"/>
      <c r="M21" s="37"/>
      <c r="N21" s="19" t="str">
        <f aca="false">IF($J21="","",YEAR($J21)-IF(MONTH($J21)&lt;マスタ!$B$4,1,0))</f>
        <v/>
      </c>
      <c r="O21" s="20" t="str">
        <f aca="false">IF($J21="","","Q"&amp;(INT(MOD(MONTH($J21)-マスタ!$B$4+12,12)/3)+1))</f>
        <v/>
      </c>
      <c r="P21" s="21" t="str">
        <f aca="true">IF($L21="","",IF($M21&lt;&gt;"",$M21-$L21,IF(TODAY()&gt;$L21,TODAY()-$L21,0)))</f>
        <v/>
      </c>
      <c r="Q21" s="38"/>
      <c r="R21" s="23" t="str">
        <f aca="false">IF($Q21="","",$Q21*N($F21))</f>
        <v/>
      </c>
      <c r="S21" s="38"/>
      <c r="T21" s="24" t="str">
        <f aca="false">IF($A21="","",SUMIFS(発注・納品!$H$3:$H$202,発注・納品!$B$3:$B$202,$A21))</f>
        <v/>
      </c>
      <c r="U21" s="23" t="str">
        <f aca="false">IF($Q21="","",N($S21)+N($T21))</f>
        <v/>
      </c>
      <c r="V21" s="23" t="str">
        <f aca="false">IF($Q21="","",$Q21-N($U21))</f>
        <v/>
      </c>
      <c r="W21" s="25" t="str">
        <f aca="false">IF(N($Q21)=0,"",$V21/$Q21)</f>
        <v/>
      </c>
      <c r="X21" s="26" t="str">
        <f aca="false">IF($A21="","",COUNTIFS(発注・納品!$B$3:$B$202,$A21))</f>
        <v/>
      </c>
      <c r="Y21" s="26" t="str">
        <f aca="false">IF($A21="","",COUNTIFS(発注・納品!$B$3:$B$202,$A21,発注・納品!$M$3:$M$202,""))</f>
        <v/>
      </c>
      <c r="Z21" s="27" t="str">
        <f aca="false">IF(N($X21)=0,"",IF(_xlfn.MAXIFS(発注・納品!$M$3:$M$202,発注・納品!$B$3:$B$202,$A21)=0,"",_xlfn.MAXIFS(発注・納品!$M$3:$M$202,発注・納品!$B$3:$B$202,$A21)))</f>
        <v/>
      </c>
      <c r="AA21" s="28" t="str">
        <f aca="false">IF($A21="","",IF(N($X21)=0,"機器なし",IF(N($Y21)&gt;0,"入荷待ち",IF(COUNTIFS(発注・納品!$B$3:$B$202,$A21,発注・納品!$N$3:$N$202,"")&gt;0,"受入待ち","受入完了"))))</f>
        <v/>
      </c>
      <c r="AB21" s="26" t="str">
        <f aca="false">IF($A21="","",COUNTIFS(現地作業!$A$3:$A$202,$A21,現地作業!$L$3:$L$202,"予定"))</f>
        <v/>
      </c>
      <c r="AC21" s="26" t="str">
        <f aca="false">IF($A21="","",COUNTIFS(現地作業!$A$3:$A$202,$A21,現地作業!$L$3:$L$202,"完了"))</f>
        <v/>
      </c>
      <c r="AD21" s="27" t="str">
        <f aca="true">IF(N($AB21)=0,"",IF(_xlfn.MINIFS(現地作業!$C$3:$C$202,現地作業!$A$3:$A$202,$A21,現地作業!$L$3:$L$202,"予定",現地作業!$C$3:$C$202,"&gt;="&amp;TODAY())=0,"",_xlfn.MINIFS(現地作業!$C$3:$C$202,現地作業!$A$3:$A$202,$A21,現地作業!$L$3:$L$202,"予定",現地作業!$C$3:$C$202,"&gt;="&amp;TODAY())))</f>
        <v/>
      </c>
      <c r="AE21" s="39"/>
      <c r="AF21" s="30" t="str">
        <f aca="false">IF($A21="","",SUM(月次工数計画!$G$26:$AD$26))</f>
        <v/>
      </c>
      <c r="AG21" s="30" t="str">
        <f aca="false">IF($A21="","",SUMIFS(工数明細!$G$3:$G$302,工数明細!$B$3:$B$302,$A21))</f>
        <v/>
      </c>
      <c r="AH21" s="31" t="str">
        <f aca="false">IF($AE21="","",$AE21-N($AG21))</f>
        <v/>
      </c>
      <c r="AI21" s="25" t="str">
        <f aca="false">IF(N($AE21)=0,"",$AG21/$AE21)</f>
        <v/>
      </c>
      <c r="AJ21" s="20" t="str">
        <f aca="false">IF(N($AE21)=0,"",IF($AG21&gt;$AE21,"超過",IF($AG21&gt;=$AE21*0.9,"注意","適正")))</f>
        <v/>
      </c>
      <c r="AK21" s="34"/>
    </row>
    <row r="22" customFormat="false" ht="18" hidden="false" customHeight="true" outlineLevel="0" collapsed="false">
      <c r="A22" s="33"/>
      <c r="B22" s="34"/>
      <c r="C22" s="34"/>
      <c r="D22" s="34"/>
      <c r="E22" s="34"/>
      <c r="F22" s="35"/>
      <c r="G22" s="34"/>
      <c r="H22" s="34"/>
      <c r="I22" s="36"/>
      <c r="J22" s="37"/>
      <c r="K22" s="37"/>
      <c r="L22" s="37"/>
      <c r="M22" s="37"/>
      <c r="N22" s="19" t="str">
        <f aca="false">IF($J22="","",YEAR($J22)-IF(MONTH($J22)&lt;マスタ!$B$4,1,0))</f>
        <v/>
      </c>
      <c r="O22" s="20" t="str">
        <f aca="false">IF($J22="","","Q"&amp;(INT(MOD(MONTH($J22)-マスタ!$B$4+12,12)/3)+1))</f>
        <v/>
      </c>
      <c r="P22" s="21" t="str">
        <f aca="true">IF($L22="","",IF($M22&lt;&gt;"",$M22-$L22,IF(TODAY()&gt;$L22,TODAY()-$L22,0)))</f>
        <v/>
      </c>
      <c r="Q22" s="38"/>
      <c r="R22" s="23" t="str">
        <f aca="false">IF($Q22="","",$Q22*N($F22))</f>
        <v/>
      </c>
      <c r="S22" s="38"/>
      <c r="T22" s="24" t="str">
        <f aca="false">IF($A22="","",SUMIFS(発注・納品!$H$3:$H$202,発注・納品!$B$3:$B$202,$A22))</f>
        <v/>
      </c>
      <c r="U22" s="23" t="str">
        <f aca="false">IF($Q22="","",N($S22)+N($T22))</f>
        <v/>
      </c>
      <c r="V22" s="23" t="str">
        <f aca="false">IF($Q22="","",$Q22-N($U22))</f>
        <v/>
      </c>
      <c r="W22" s="25" t="str">
        <f aca="false">IF(N($Q22)=0,"",$V22/$Q22)</f>
        <v/>
      </c>
      <c r="X22" s="26" t="str">
        <f aca="false">IF($A22="","",COUNTIFS(発注・納品!$B$3:$B$202,$A22))</f>
        <v/>
      </c>
      <c r="Y22" s="26" t="str">
        <f aca="false">IF($A22="","",COUNTIFS(発注・納品!$B$3:$B$202,$A22,発注・納品!$M$3:$M$202,""))</f>
        <v/>
      </c>
      <c r="Z22" s="27" t="str">
        <f aca="false">IF(N($X22)=0,"",IF(_xlfn.MAXIFS(発注・納品!$M$3:$M$202,発注・納品!$B$3:$B$202,$A22)=0,"",_xlfn.MAXIFS(発注・納品!$M$3:$M$202,発注・納品!$B$3:$B$202,$A22)))</f>
        <v/>
      </c>
      <c r="AA22" s="28" t="str">
        <f aca="false">IF($A22="","",IF(N($X22)=0,"機器なし",IF(N($Y22)&gt;0,"入荷待ち",IF(COUNTIFS(発注・納品!$B$3:$B$202,$A22,発注・納品!$N$3:$N$202,"")&gt;0,"受入待ち","受入完了"))))</f>
        <v/>
      </c>
      <c r="AB22" s="26" t="str">
        <f aca="false">IF($A22="","",COUNTIFS(現地作業!$A$3:$A$202,$A22,現地作業!$L$3:$L$202,"予定"))</f>
        <v/>
      </c>
      <c r="AC22" s="26" t="str">
        <f aca="false">IF($A22="","",COUNTIFS(現地作業!$A$3:$A$202,$A22,現地作業!$L$3:$L$202,"完了"))</f>
        <v/>
      </c>
      <c r="AD22" s="27" t="str">
        <f aca="true">IF(N($AB22)=0,"",IF(_xlfn.MINIFS(現地作業!$C$3:$C$202,現地作業!$A$3:$A$202,$A22,現地作業!$L$3:$L$202,"予定",現地作業!$C$3:$C$202,"&gt;="&amp;TODAY())=0,"",_xlfn.MINIFS(現地作業!$C$3:$C$202,現地作業!$A$3:$A$202,$A22,現地作業!$L$3:$L$202,"予定",現地作業!$C$3:$C$202,"&gt;="&amp;TODAY())))</f>
        <v/>
      </c>
      <c r="AE22" s="39"/>
      <c r="AF22" s="30" t="str">
        <f aca="false">IF($A22="","",SUM(月次工数計画!$G$27:$AD$27))</f>
        <v/>
      </c>
      <c r="AG22" s="30" t="str">
        <f aca="false">IF($A22="","",SUMIFS(工数明細!$G$3:$G$302,工数明細!$B$3:$B$302,$A22))</f>
        <v/>
      </c>
      <c r="AH22" s="31" t="str">
        <f aca="false">IF($AE22="","",$AE22-N($AG22))</f>
        <v/>
      </c>
      <c r="AI22" s="25" t="str">
        <f aca="false">IF(N($AE22)=0,"",$AG22/$AE22)</f>
        <v/>
      </c>
      <c r="AJ22" s="20" t="str">
        <f aca="false">IF(N($AE22)=0,"",IF($AG22&gt;$AE22,"超過",IF($AG22&gt;=$AE22*0.9,"注意","適正")))</f>
        <v/>
      </c>
      <c r="AK22" s="34"/>
    </row>
    <row r="23" customFormat="false" ht="18" hidden="false" customHeight="true" outlineLevel="0" collapsed="false">
      <c r="A23" s="33"/>
      <c r="B23" s="34"/>
      <c r="C23" s="34"/>
      <c r="D23" s="34"/>
      <c r="E23" s="34"/>
      <c r="F23" s="35"/>
      <c r="G23" s="34"/>
      <c r="H23" s="34"/>
      <c r="I23" s="36"/>
      <c r="J23" s="37"/>
      <c r="K23" s="37"/>
      <c r="L23" s="37"/>
      <c r="M23" s="37"/>
      <c r="N23" s="19" t="str">
        <f aca="false">IF($J23="","",YEAR($J23)-IF(MONTH($J23)&lt;マスタ!$B$4,1,0))</f>
        <v/>
      </c>
      <c r="O23" s="20" t="str">
        <f aca="false">IF($J23="","","Q"&amp;(INT(MOD(MONTH($J23)-マスタ!$B$4+12,12)/3)+1))</f>
        <v/>
      </c>
      <c r="P23" s="21" t="str">
        <f aca="true">IF($L23="","",IF($M23&lt;&gt;"",$M23-$L23,IF(TODAY()&gt;$L23,TODAY()-$L23,0)))</f>
        <v/>
      </c>
      <c r="Q23" s="38"/>
      <c r="R23" s="23" t="str">
        <f aca="false">IF($Q23="","",$Q23*N($F23))</f>
        <v/>
      </c>
      <c r="S23" s="38"/>
      <c r="T23" s="24" t="str">
        <f aca="false">IF($A23="","",SUMIFS(発注・納品!$H$3:$H$202,発注・納品!$B$3:$B$202,$A23))</f>
        <v/>
      </c>
      <c r="U23" s="23" t="str">
        <f aca="false">IF($Q23="","",N($S23)+N($T23))</f>
        <v/>
      </c>
      <c r="V23" s="23" t="str">
        <f aca="false">IF($Q23="","",$Q23-N($U23))</f>
        <v/>
      </c>
      <c r="W23" s="25" t="str">
        <f aca="false">IF(N($Q23)=0,"",$V23/$Q23)</f>
        <v/>
      </c>
      <c r="X23" s="26" t="str">
        <f aca="false">IF($A23="","",COUNTIFS(発注・納品!$B$3:$B$202,$A23))</f>
        <v/>
      </c>
      <c r="Y23" s="26" t="str">
        <f aca="false">IF($A23="","",COUNTIFS(発注・納品!$B$3:$B$202,$A23,発注・納品!$M$3:$M$202,""))</f>
        <v/>
      </c>
      <c r="Z23" s="27" t="str">
        <f aca="false">IF(N($X23)=0,"",IF(_xlfn.MAXIFS(発注・納品!$M$3:$M$202,発注・納品!$B$3:$B$202,$A23)=0,"",_xlfn.MAXIFS(発注・納品!$M$3:$M$202,発注・納品!$B$3:$B$202,$A23)))</f>
        <v/>
      </c>
      <c r="AA23" s="28" t="str">
        <f aca="false">IF($A23="","",IF(N($X23)=0,"機器なし",IF(N($Y23)&gt;0,"入荷待ち",IF(COUNTIFS(発注・納品!$B$3:$B$202,$A23,発注・納品!$N$3:$N$202,"")&gt;0,"受入待ち","受入完了"))))</f>
        <v/>
      </c>
      <c r="AB23" s="26" t="str">
        <f aca="false">IF($A23="","",COUNTIFS(現地作業!$A$3:$A$202,$A23,現地作業!$L$3:$L$202,"予定"))</f>
        <v/>
      </c>
      <c r="AC23" s="26" t="str">
        <f aca="false">IF($A23="","",COUNTIFS(現地作業!$A$3:$A$202,$A23,現地作業!$L$3:$L$202,"完了"))</f>
        <v/>
      </c>
      <c r="AD23" s="27" t="str">
        <f aca="true">IF(N($AB23)=0,"",IF(_xlfn.MINIFS(現地作業!$C$3:$C$202,現地作業!$A$3:$A$202,$A23,現地作業!$L$3:$L$202,"予定",現地作業!$C$3:$C$202,"&gt;="&amp;TODAY())=0,"",_xlfn.MINIFS(現地作業!$C$3:$C$202,現地作業!$A$3:$A$202,$A23,現地作業!$L$3:$L$202,"予定",現地作業!$C$3:$C$202,"&gt;="&amp;TODAY())))</f>
        <v/>
      </c>
      <c r="AE23" s="39"/>
      <c r="AF23" s="30" t="str">
        <f aca="false">IF($A23="","",SUM(月次工数計画!$G$28:$AD$28))</f>
        <v/>
      </c>
      <c r="AG23" s="30" t="str">
        <f aca="false">IF($A23="","",SUMIFS(工数明細!$G$3:$G$302,工数明細!$B$3:$B$302,$A23))</f>
        <v/>
      </c>
      <c r="AH23" s="31" t="str">
        <f aca="false">IF($AE23="","",$AE23-N($AG23))</f>
        <v/>
      </c>
      <c r="AI23" s="25" t="str">
        <f aca="false">IF(N($AE23)=0,"",$AG23/$AE23)</f>
        <v/>
      </c>
      <c r="AJ23" s="20" t="str">
        <f aca="false">IF(N($AE23)=0,"",IF($AG23&gt;$AE23,"超過",IF($AG23&gt;=$AE23*0.9,"注意","適正")))</f>
        <v/>
      </c>
      <c r="AK23" s="34"/>
    </row>
    <row r="24" customFormat="false" ht="18" hidden="false" customHeight="true" outlineLevel="0" collapsed="false">
      <c r="A24" s="33"/>
      <c r="B24" s="34"/>
      <c r="C24" s="34"/>
      <c r="D24" s="34"/>
      <c r="E24" s="34"/>
      <c r="F24" s="35"/>
      <c r="G24" s="34"/>
      <c r="H24" s="34"/>
      <c r="I24" s="36"/>
      <c r="J24" s="37"/>
      <c r="K24" s="37"/>
      <c r="L24" s="37"/>
      <c r="M24" s="37"/>
      <c r="N24" s="19" t="str">
        <f aca="false">IF($J24="","",YEAR($J24)-IF(MONTH($J24)&lt;マスタ!$B$4,1,0))</f>
        <v/>
      </c>
      <c r="O24" s="20" t="str">
        <f aca="false">IF($J24="","","Q"&amp;(INT(MOD(MONTH($J24)-マスタ!$B$4+12,12)/3)+1))</f>
        <v/>
      </c>
      <c r="P24" s="21" t="str">
        <f aca="true">IF($L24="","",IF($M24&lt;&gt;"",$M24-$L24,IF(TODAY()&gt;$L24,TODAY()-$L24,0)))</f>
        <v/>
      </c>
      <c r="Q24" s="38"/>
      <c r="R24" s="23" t="str">
        <f aca="false">IF($Q24="","",$Q24*N($F24))</f>
        <v/>
      </c>
      <c r="S24" s="38"/>
      <c r="T24" s="24" t="str">
        <f aca="false">IF($A24="","",SUMIFS(発注・納品!$H$3:$H$202,発注・納品!$B$3:$B$202,$A24))</f>
        <v/>
      </c>
      <c r="U24" s="23" t="str">
        <f aca="false">IF($Q24="","",N($S24)+N($T24))</f>
        <v/>
      </c>
      <c r="V24" s="23" t="str">
        <f aca="false">IF($Q24="","",$Q24-N($U24))</f>
        <v/>
      </c>
      <c r="W24" s="25" t="str">
        <f aca="false">IF(N($Q24)=0,"",$V24/$Q24)</f>
        <v/>
      </c>
      <c r="X24" s="26" t="str">
        <f aca="false">IF($A24="","",COUNTIFS(発注・納品!$B$3:$B$202,$A24))</f>
        <v/>
      </c>
      <c r="Y24" s="26" t="str">
        <f aca="false">IF($A24="","",COUNTIFS(発注・納品!$B$3:$B$202,$A24,発注・納品!$M$3:$M$202,""))</f>
        <v/>
      </c>
      <c r="Z24" s="27" t="str">
        <f aca="false">IF(N($X24)=0,"",IF(_xlfn.MAXIFS(発注・納品!$M$3:$M$202,発注・納品!$B$3:$B$202,$A24)=0,"",_xlfn.MAXIFS(発注・納品!$M$3:$M$202,発注・納品!$B$3:$B$202,$A24)))</f>
        <v/>
      </c>
      <c r="AA24" s="28" t="str">
        <f aca="false">IF($A24="","",IF(N($X24)=0,"機器なし",IF(N($Y24)&gt;0,"入荷待ち",IF(COUNTIFS(発注・納品!$B$3:$B$202,$A24,発注・納品!$N$3:$N$202,"")&gt;0,"受入待ち","受入完了"))))</f>
        <v/>
      </c>
      <c r="AB24" s="26" t="str">
        <f aca="false">IF($A24="","",COUNTIFS(現地作業!$A$3:$A$202,$A24,現地作業!$L$3:$L$202,"予定"))</f>
        <v/>
      </c>
      <c r="AC24" s="26" t="str">
        <f aca="false">IF($A24="","",COUNTIFS(現地作業!$A$3:$A$202,$A24,現地作業!$L$3:$L$202,"完了"))</f>
        <v/>
      </c>
      <c r="AD24" s="27" t="str">
        <f aca="true">IF(N($AB24)=0,"",IF(_xlfn.MINIFS(現地作業!$C$3:$C$202,現地作業!$A$3:$A$202,$A24,現地作業!$L$3:$L$202,"予定",現地作業!$C$3:$C$202,"&gt;="&amp;TODAY())=0,"",_xlfn.MINIFS(現地作業!$C$3:$C$202,現地作業!$A$3:$A$202,$A24,現地作業!$L$3:$L$202,"予定",現地作業!$C$3:$C$202,"&gt;="&amp;TODAY())))</f>
        <v/>
      </c>
      <c r="AE24" s="39"/>
      <c r="AF24" s="30" t="str">
        <f aca="false">IF($A24="","",SUM(月次工数計画!$G$29:$AD$29))</f>
        <v/>
      </c>
      <c r="AG24" s="30" t="str">
        <f aca="false">IF($A24="","",SUMIFS(工数明細!$G$3:$G$302,工数明細!$B$3:$B$302,$A24))</f>
        <v/>
      </c>
      <c r="AH24" s="31" t="str">
        <f aca="false">IF($AE24="","",$AE24-N($AG24))</f>
        <v/>
      </c>
      <c r="AI24" s="25" t="str">
        <f aca="false">IF(N($AE24)=0,"",$AG24/$AE24)</f>
        <v/>
      </c>
      <c r="AJ24" s="20" t="str">
        <f aca="false">IF(N($AE24)=0,"",IF($AG24&gt;$AE24,"超過",IF($AG24&gt;=$AE24*0.9,"注意","適正")))</f>
        <v/>
      </c>
      <c r="AK24" s="34"/>
    </row>
    <row r="25" customFormat="false" ht="18" hidden="false" customHeight="true" outlineLevel="0" collapsed="false">
      <c r="A25" s="33"/>
      <c r="B25" s="34"/>
      <c r="C25" s="34"/>
      <c r="D25" s="34"/>
      <c r="E25" s="34"/>
      <c r="F25" s="35"/>
      <c r="G25" s="34"/>
      <c r="H25" s="34"/>
      <c r="I25" s="36"/>
      <c r="J25" s="37"/>
      <c r="K25" s="37"/>
      <c r="L25" s="37"/>
      <c r="M25" s="37"/>
      <c r="N25" s="19" t="str">
        <f aca="false">IF($J25="","",YEAR($J25)-IF(MONTH($J25)&lt;マスタ!$B$4,1,0))</f>
        <v/>
      </c>
      <c r="O25" s="20" t="str">
        <f aca="false">IF($J25="","","Q"&amp;(INT(MOD(MONTH($J25)-マスタ!$B$4+12,12)/3)+1))</f>
        <v/>
      </c>
      <c r="P25" s="21" t="str">
        <f aca="true">IF($L25="","",IF($M25&lt;&gt;"",$M25-$L25,IF(TODAY()&gt;$L25,TODAY()-$L25,0)))</f>
        <v/>
      </c>
      <c r="Q25" s="38"/>
      <c r="R25" s="23" t="str">
        <f aca="false">IF($Q25="","",$Q25*N($F25))</f>
        <v/>
      </c>
      <c r="S25" s="38"/>
      <c r="T25" s="24" t="str">
        <f aca="false">IF($A25="","",SUMIFS(発注・納品!$H$3:$H$202,発注・納品!$B$3:$B$202,$A25))</f>
        <v/>
      </c>
      <c r="U25" s="23" t="str">
        <f aca="false">IF($Q25="","",N($S25)+N($T25))</f>
        <v/>
      </c>
      <c r="V25" s="23" t="str">
        <f aca="false">IF($Q25="","",$Q25-N($U25))</f>
        <v/>
      </c>
      <c r="W25" s="25" t="str">
        <f aca="false">IF(N($Q25)=0,"",$V25/$Q25)</f>
        <v/>
      </c>
      <c r="X25" s="26" t="str">
        <f aca="false">IF($A25="","",COUNTIFS(発注・納品!$B$3:$B$202,$A25))</f>
        <v/>
      </c>
      <c r="Y25" s="26" t="str">
        <f aca="false">IF($A25="","",COUNTIFS(発注・納品!$B$3:$B$202,$A25,発注・納品!$M$3:$M$202,""))</f>
        <v/>
      </c>
      <c r="Z25" s="27" t="str">
        <f aca="false">IF(N($X25)=0,"",IF(_xlfn.MAXIFS(発注・納品!$M$3:$M$202,発注・納品!$B$3:$B$202,$A25)=0,"",_xlfn.MAXIFS(発注・納品!$M$3:$M$202,発注・納品!$B$3:$B$202,$A25)))</f>
        <v/>
      </c>
      <c r="AA25" s="28" t="str">
        <f aca="false">IF($A25="","",IF(N($X25)=0,"機器なし",IF(N($Y25)&gt;0,"入荷待ち",IF(COUNTIFS(発注・納品!$B$3:$B$202,$A25,発注・納品!$N$3:$N$202,"")&gt;0,"受入待ち","受入完了"))))</f>
        <v/>
      </c>
      <c r="AB25" s="26" t="str">
        <f aca="false">IF($A25="","",COUNTIFS(現地作業!$A$3:$A$202,$A25,現地作業!$L$3:$L$202,"予定"))</f>
        <v/>
      </c>
      <c r="AC25" s="26" t="str">
        <f aca="false">IF($A25="","",COUNTIFS(現地作業!$A$3:$A$202,$A25,現地作業!$L$3:$L$202,"完了"))</f>
        <v/>
      </c>
      <c r="AD25" s="27" t="str">
        <f aca="true">IF(N($AB25)=0,"",IF(_xlfn.MINIFS(現地作業!$C$3:$C$202,現地作業!$A$3:$A$202,$A25,現地作業!$L$3:$L$202,"予定",現地作業!$C$3:$C$202,"&gt;="&amp;TODAY())=0,"",_xlfn.MINIFS(現地作業!$C$3:$C$202,現地作業!$A$3:$A$202,$A25,現地作業!$L$3:$L$202,"予定",現地作業!$C$3:$C$202,"&gt;="&amp;TODAY())))</f>
        <v/>
      </c>
      <c r="AE25" s="39"/>
      <c r="AF25" s="30" t="str">
        <f aca="false">IF($A25="","",SUM(月次工数計画!$G$30:$AD$30))</f>
        <v/>
      </c>
      <c r="AG25" s="30" t="str">
        <f aca="false">IF($A25="","",SUMIFS(工数明細!$G$3:$G$302,工数明細!$B$3:$B$302,$A25))</f>
        <v/>
      </c>
      <c r="AH25" s="31" t="str">
        <f aca="false">IF($AE25="","",$AE25-N($AG25))</f>
        <v/>
      </c>
      <c r="AI25" s="25" t="str">
        <f aca="false">IF(N($AE25)=0,"",$AG25/$AE25)</f>
        <v/>
      </c>
      <c r="AJ25" s="20" t="str">
        <f aca="false">IF(N($AE25)=0,"",IF($AG25&gt;$AE25,"超過",IF($AG25&gt;=$AE25*0.9,"注意","適正")))</f>
        <v/>
      </c>
      <c r="AK25" s="34"/>
    </row>
    <row r="26" customFormat="false" ht="18" hidden="false" customHeight="true" outlineLevel="0" collapsed="false">
      <c r="A26" s="33"/>
      <c r="B26" s="34"/>
      <c r="C26" s="34"/>
      <c r="D26" s="34"/>
      <c r="E26" s="34"/>
      <c r="F26" s="35"/>
      <c r="G26" s="34"/>
      <c r="H26" s="34"/>
      <c r="I26" s="36"/>
      <c r="J26" s="37"/>
      <c r="K26" s="37"/>
      <c r="L26" s="37"/>
      <c r="M26" s="37"/>
      <c r="N26" s="19" t="str">
        <f aca="false">IF($J26="","",YEAR($J26)-IF(MONTH($J26)&lt;マスタ!$B$4,1,0))</f>
        <v/>
      </c>
      <c r="O26" s="20" t="str">
        <f aca="false">IF($J26="","","Q"&amp;(INT(MOD(MONTH($J26)-マスタ!$B$4+12,12)/3)+1))</f>
        <v/>
      </c>
      <c r="P26" s="21" t="str">
        <f aca="true">IF($L26="","",IF($M26&lt;&gt;"",$M26-$L26,IF(TODAY()&gt;$L26,TODAY()-$L26,0)))</f>
        <v/>
      </c>
      <c r="Q26" s="38"/>
      <c r="R26" s="23" t="str">
        <f aca="false">IF($Q26="","",$Q26*N($F26))</f>
        <v/>
      </c>
      <c r="S26" s="38"/>
      <c r="T26" s="24" t="str">
        <f aca="false">IF($A26="","",SUMIFS(発注・納品!$H$3:$H$202,発注・納品!$B$3:$B$202,$A26))</f>
        <v/>
      </c>
      <c r="U26" s="23" t="str">
        <f aca="false">IF($Q26="","",N($S26)+N($T26))</f>
        <v/>
      </c>
      <c r="V26" s="23" t="str">
        <f aca="false">IF($Q26="","",$Q26-N($U26))</f>
        <v/>
      </c>
      <c r="W26" s="25" t="str">
        <f aca="false">IF(N($Q26)=0,"",$V26/$Q26)</f>
        <v/>
      </c>
      <c r="X26" s="26" t="str">
        <f aca="false">IF($A26="","",COUNTIFS(発注・納品!$B$3:$B$202,$A26))</f>
        <v/>
      </c>
      <c r="Y26" s="26" t="str">
        <f aca="false">IF($A26="","",COUNTIFS(発注・納品!$B$3:$B$202,$A26,発注・納品!$M$3:$M$202,""))</f>
        <v/>
      </c>
      <c r="Z26" s="27" t="str">
        <f aca="false">IF(N($X26)=0,"",IF(_xlfn.MAXIFS(発注・納品!$M$3:$M$202,発注・納品!$B$3:$B$202,$A26)=0,"",_xlfn.MAXIFS(発注・納品!$M$3:$M$202,発注・納品!$B$3:$B$202,$A26)))</f>
        <v/>
      </c>
      <c r="AA26" s="28" t="str">
        <f aca="false">IF($A26="","",IF(N($X26)=0,"機器なし",IF(N($Y26)&gt;0,"入荷待ち",IF(COUNTIFS(発注・納品!$B$3:$B$202,$A26,発注・納品!$N$3:$N$202,"")&gt;0,"受入待ち","受入完了"))))</f>
        <v/>
      </c>
      <c r="AB26" s="26" t="str">
        <f aca="false">IF($A26="","",COUNTIFS(現地作業!$A$3:$A$202,$A26,現地作業!$L$3:$L$202,"予定"))</f>
        <v/>
      </c>
      <c r="AC26" s="26" t="str">
        <f aca="false">IF($A26="","",COUNTIFS(現地作業!$A$3:$A$202,$A26,現地作業!$L$3:$L$202,"完了"))</f>
        <v/>
      </c>
      <c r="AD26" s="27" t="str">
        <f aca="true">IF(N($AB26)=0,"",IF(_xlfn.MINIFS(現地作業!$C$3:$C$202,現地作業!$A$3:$A$202,$A26,現地作業!$L$3:$L$202,"予定",現地作業!$C$3:$C$202,"&gt;="&amp;TODAY())=0,"",_xlfn.MINIFS(現地作業!$C$3:$C$202,現地作業!$A$3:$A$202,$A26,現地作業!$L$3:$L$202,"予定",現地作業!$C$3:$C$202,"&gt;="&amp;TODAY())))</f>
        <v/>
      </c>
      <c r="AE26" s="39"/>
      <c r="AF26" s="30" t="str">
        <f aca="false">IF($A26="","",SUM(月次工数計画!$G$31:$AD$31))</f>
        <v/>
      </c>
      <c r="AG26" s="30" t="str">
        <f aca="false">IF($A26="","",SUMIFS(工数明細!$G$3:$G$302,工数明細!$B$3:$B$302,$A26))</f>
        <v/>
      </c>
      <c r="AH26" s="31" t="str">
        <f aca="false">IF($AE26="","",$AE26-N($AG26))</f>
        <v/>
      </c>
      <c r="AI26" s="25" t="str">
        <f aca="false">IF(N($AE26)=0,"",$AG26/$AE26)</f>
        <v/>
      </c>
      <c r="AJ26" s="20" t="str">
        <f aca="false">IF(N($AE26)=0,"",IF($AG26&gt;$AE26,"超過",IF($AG26&gt;=$AE26*0.9,"注意","適正")))</f>
        <v/>
      </c>
      <c r="AK26" s="34"/>
    </row>
    <row r="27" customFormat="false" ht="18" hidden="false" customHeight="true" outlineLevel="0" collapsed="false">
      <c r="A27" s="33"/>
      <c r="B27" s="34"/>
      <c r="C27" s="34"/>
      <c r="D27" s="34"/>
      <c r="E27" s="34"/>
      <c r="F27" s="35"/>
      <c r="G27" s="34"/>
      <c r="H27" s="34"/>
      <c r="I27" s="36"/>
      <c r="J27" s="37"/>
      <c r="K27" s="37"/>
      <c r="L27" s="37"/>
      <c r="M27" s="37"/>
      <c r="N27" s="19" t="str">
        <f aca="false">IF($J27="","",YEAR($J27)-IF(MONTH($J27)&lt;マスタ!$B$4,1,0))</f>
        <v/>
      </c>
      <c r="O27" s="20" t="str">
        <f aca="false">IF($J27="","","Q"&amp;(INT(MOD(MONTH($J27)-マスタ!$B$4+12,12)/3)+1))</f>
        <v/>
      </c>
      <c r="P27" s="21" t="str">
        <f aca="true">IF($L27="","",IF($M27&lt;&gt;"",$M27-$L27,IF(TODAY()&gt;$L27,TODAY()-$L27,0)))</f>
        <v/>
      </c>
      <c r="Q27" s="38"/>
      <c r="R27" s="23" t="str">
        <f aca="false">IF($Q27="","",$Q27*N($F27))</f>
        <v/>
      </c>
      <c r="S27" s="38"/>
      <c r="T27" s="24" t="str">
        <f aca="false">IF($A27="","",SUMIFS(発注・納品!$H$3:$H$202,発注・納品!$B$3:$B$202,$A27))</f>
        <v/>
      </c>
      <c r="U27" s="23" t="str">
        <f aca="false">IF($Q27="","",N($S27)+N($T27))</f>
        <v/>
      </c>
      <c r="V27" s="23" t="str">
        <f aca="false">IF($Q27="","",$Q27-N($U27))</f>
        <v/>
      </c>
      <c r="W27" s="25" t="str">
        <f aca="false">IF(N($Q27)=0,"",$V27/$Q27)</f>
        <v/>
      </c>
      <c r="X27" s="26" t="str">
        <f aca="false">IF($A27="","",COUNTIFS(発注・納品!$B$3:$B$202,$A27))</f>
        <v/>
      </c>
      <c r="Y27" s="26" t="str">
        <f aca="false">IF($A27="","",COUNTIFS(発注・納品!$B$3:$B$202,$A27,発注・納品!$M$3:$M$202,""))</f>
        <v/>
      </c>
      <c r="Z27" s="27" t="str">
        <f aca="false">IF(N($X27)=0,"",IF(_xlfn.MAXIFS(発注・納品!$M$3:$M$202,発注・納品!$B$3:$B$202,$A27)=0,"",_xlfn.MAXIFS(発注・納品!$M$3:$M$202,発注・納品!$B$3:$B$202,$A27)))</f>
        <v/>
      </c>
      <c r="AA27" s="28" t="str">
        <f aca="false">IF($A27="","",IF(N($X27)=0,"機器なし",IF(N($Y27)&gt;0,"入荷待ち",IF(COUNTIFS(発注・納品!$B$3:$B$202,$A27,発注・納品!$N$3:$N$202,"")&gt;0,"受入待ち","受入完了"))))</f>
        <v/>
      </c>
      <c r="AB27" s="26" t="str">
        <f aca="false">IF($A27="","",COUNTIFS(現地作業!$A$3:$A$202,$A27,現地作業!$L$3:$L$202,"予定"))</f>
        <v/>
      </c>
      <c r="AC27" s="26" t="str">
        <f aca="false">IF($A27="","",COUNTIFS(現地作業!$A$3:$A$202,$A27,現地作業!$L$3:$L$202,"完了"))</f>
        <v/>
      </c>
      <c r="AD27" s="27" t="str">
        <f aca="true">IF(N($AB27)=0,"",IF(_xlfn.MINIFS(現地作業!$C$3:$C$202,現地作業!$A$3:$A$202,$A27,現地作業!$L$3:$L$202,"予定",現地作業!$C$3:$C$202,"&gt;="&amp;TODAY())=0,"",_xlfn.MINIFS(現地作業!$C$3:$C$202,現地作業!$A$3:$A$202,$A27,現地作業!$L$3:$L$202,"予定",現地作業!$C$3:$C$202,"&gt;="&amp;TODAY())))</f>
        <v/>
      </c>
      <c r="AE27" s="39"/>
      <c r="AF27" s="30" t="str">
        <f aca="false">IF($A27="","",SUM(月次工数計画!$G$32:$AD$32))</f>
        <v/>
      </c>
      <c r="AG27" s="30" t="str">
        <f aca="false">IF($A27="","",SUMIFS(工数明細!$G$3:$G$302,工数明細!$B$3:$B$302,$A27))</f>
        <v/>
      </c>
      <c r="AH27" s="31" t="str">
        <f aca="false">IF($AE27="","",$AE27-N($AG27))</f>
        <v/>
      </c>
      <c r="AI27" s="25" t="str">
        <f aca="false">IF(N($AE27)=0,"",$AG27/$AE27)</f>
        <v/>
      </c>
      <c r="AJ27" s="20" t="str">
        <f aca="false">IF(N($AE27)=0,"",IF($AG27&gt;$AE27,"超過",IF($AG27&gt;=$AE27*0.9,"注意","適正")))</f>
        <v/>
      </c>
      <c r="AK27" s="34"/>
    </row>
    <row r="28" customFormat="false" ht="18" hidden="false" customHeight="true" outlineLevel="0" collapsed="false">
      <c r="A28" s="33"/>
      <c r="B28" s="34"/>
      <c r="C28" s="34"/>
      <c r="D28" s="34"/>
      <c r="E28" s="34"/>
      <c r="F28" s="35"/>
      <c r="G28" s="34"/>
      <c r="H28" s="34"/>
      <c r="I28" s="36"/>
      <c r="J28" s="37"/>
      <c r="K28" s="37"/>
      <c r="L28" s="37"/>
      <c r="M28" s="37"/>
      <c r="N28" s="19" t="str">
        <f aca="false">IF($J28="","",YEAR($J28)-IF(MONTH($J28)&lt;マスタ!$B$4,1,0))</f>
        <v/>
      </c>
      <c r="O28" s="20" t="str">
        <f aca="false">IF($J28="","","Q"&amp;(INT(MOD(MONTH($J28)-マスタ!$B$4+12,12)/3)+1))</f>
        <v/>
      </c>
      <c r="P28" s="21" t="str">
        <f aca="true">IF($L28="","",IF($M28&lt;&gt;"",$M28-$L28,IF(TODAY()&gt;$L28,TODAY()-$L28,0)))</f>
        <v/>
      </c>
      <c r="Q28" s="38"/>
      <c r="R28" s="23" t="str">
        <f aca="false">IF($Q28="","",$Q28*N($F28))</f>
        <v/>
      </c>
      <c r="S28" s="38"/>
      <c r="T28" s="24" t="str">
        <f aca="false">IF($A28="","",SUMIFS(発注・納品!$H$3:$H$202,発注・納品!$B$3:$B$202,$A28))</f>
        <v/>
      </c>
      <c r="U28" s="23" t="str">
        <f aca="false">IF($Q28="","",N($S28)+N($T28))</f>
        <v/>
      </c>
      <c r="V28" s="23" t="str">
        <f aca="false">IF($Q28="","",$Q28-N($U28))</f>
        <v/>
      </c>
      <c r="W28" s="25" t="str">
        <f aca="false">IF(N($Q28)=0,"",$V28/$Q28)</f>
        <v/>
      </c>
      <c r="X28" s="26" t="str">
        <f aca="false">IF($A28="","",COUNTIFS(発注・納品!$B$3:$B$202,$A28))</f>
        <v/>
      </c>
      <c r="Y28" s="26" t="str">
        <f aca="false">IF($A28="","",COUNTIFS(発注・納品!$B$3:$B$202,$A28,発注・納品!$M$3:$M$202,""))</f>
        <v/>
      </c>
      <c r="Z28" s="27" t="str">
        <f aca="false">IF(N($X28)=0,"",IF(_xlfn.MAXIFS(発注・納品!$M$3:$M$202,発注・納品!$B$3:$B$202,$A28)=0,"",_xlfn.MAXIFS(発注・納品!$M$3:$M$202,発注・納品!$B$3:$B$202,$A28)))</f>
        <v/>
      </c>
      <c r="AA28" s="28" t="str">
        <f aca="false">IF($A28="","",IF(N($X28)=0,"機器なし",IF(N($Y28)&gt;0,"入荷待ち",IF(COUNTIFS(発注・納品!$B$3:$B$202,$A28,発注・納品!$N$3:$N$202,"")&gt;0,"受入待ち","受入完了"))))</f>
        <v/>
      </c>
      <c r="AB28" s="26" t="str">
        <f aca="false">IF($A28="","",COUNTIFS(現地作業!$A$3:$A$202,$A28,現地作業!$L$3:$L$202,"予定"))</f>
        <v/>
      </c>
      <c r="AC28" s="26" t="str">
        <f aca="false">IF($A28="","",COUNTIFS(現地作業!$A$3:$A$202,$A28,現地作業!$L$3:$L$202,"完了"))</f>
        <v/>
      </c>
      <c r="AD28" s="27" t="str">
        <f aca="true">IF(N($AB28)=0,"",IF(_xlfn.MINIFS(現地作業!$C$3:$C$202,現地作業!$A$3:$A$202,$A28,現地作業!$L$3:$L$202,"予定",現地作業!$C$3:$C$202,"&gt;="&amp;TODAY())=0,"",_xlfn.MINIFS(現地作業!$C$3:$C$202,現地作業!$A$3:$A$202,$A28,現地作業!$L$3:$L$202,"予定",現地作業!$C$3:$C$202,"&gt;="&amp;TODAY())))</f>
        <v/>
      </c>
      <c r="AE28" s="39"/>
      <c r="AF28" s="30" t="str">
        <f aca="false">IF($A28="","",SUM(月次工数計画!$G$33:$AD$33))</f>
        <v/>
      </c>
      <c r="AG28" s="30" t="str">
        <f aca="false">IF($A28="","",SUMIFS(工数明細!$G$3:$G$302,工数明細!$B$3:$B$302,$A28))</f>
        <v/>
      </c>
      <c r="AH28" s="31" t="str">
        <f aca="false">IF($AE28="","",$AE28-N($AG28))</f>
        <v/>
      </c>
      <c r="AI28" s="25" t="str">
        <f aca="false">IF(N($AE28)=0,"",$AG28/$AE28)</f>
        <v/>
      </c>
      <c r="AJ28" s="20" t="str">
        <f aca="false">IF(N($AE28)=0,"",IF($AG28&gt;$AE28,"超過",IF($AG28&gt;=$AE28*0.9,"注意","適正")))</f>
        <v/>
      </c>
      <c r="AK28" s="34"/>
    </row>
    <row r="29" customFormat="false" ht="18" hidden="false" customHeight="true" outlineLevel="0" collapsed="false">
      <c r="A29" s="33"/>
      <c r="B29" s="34"/>
      <c r="C29" s="34"/>
      <c r="D29" s="34"/>
      <c r="E29" s="34"/>
      <c r="F29" s="35"/>
      <c r="G29" s="34"/>
      <c r="H29" s="34"/>
      <c r="I29" s="36"/>
      <c r="J29" s="37"/>
      <c r="K29" s="37"/>
      <c r="L29" s="37"/>
      <c r="M29" s="37"/>
      <c r="N29" s="19" t="str">
        <f aca="false">IF($J29="","",YEAR($J29)-IF(MONTH($J29)&lt;マスタ!$B$4,1,0))</f>
        <v/>
      </c>
      <c r="O29" s="20" t="str">
        <f aca="false">IF($J29="","","Q"&amp;(INT(MOD(MONTH($J29)-マスタ!$B$4+12,12)/3)+1))</f>
        <v/>
      </c>
      <c r="P29" s="21" t="str">
        <f aca="true">IF($L29="","",IF($M29&lt;&gt;"",$M29-$L29,IF(TODAY()&gt;$L29,TODAY()-$L29,0)))</f>
        <v/>
      </c>
      <c r="Q29" s="38"/>
      <c r="R29" s="23" t="str">
        <f aca="false">IF($Q29="","",$Q29*N($F29))</f>
        <v/>
      </c>
      <c r="S29" s="38"/>
      <c r="T29" s="24" t="str">
        <f aca="false">IF($A29="","",SUMIFS(発注・納品!$H$3:$H$202,発注・納品!$B$3:$B$202,$A29))</f>
        <v/>
      </c>
      <c r="U29" s="23" t="str">
        <f aca="false">IF($Q29="","",N($S29)+N($T29))</f>
        <v/>
      </c>
      <c r="V29" s="23" t="str">
        <f aca="false">IF($Q29="","",$Q29-N($U29))</f>
        <v/>
      </c>
      <c r="W29" s="25" t="str">
        <f aca="false">IF(N($Q29)=0,"",$V29/$Q29)</f>
        <v/>
      </c>
      <c r="X29" s="26" t="str">
        <f aca="false">IF($A29="","",COUNTIFS(発注・納品!$B$3:$B$202,$A29))</f>
        <v/>
      </c>
      <c r="Y29" s="26" t="str">
        <f aca="false">IF($A29="","",COUNTIFS(発注・納品!$B$3:$B$202,$A29,発注・納品!$M$3:$M$202,""))</f>
        <v/>
      </c>
      <c r="Z29" s="27" t="str">
        <f aca="false">IF(N($X29)=0,"",IF(_xlfn.MAXIFS(発注・納品!$M$3:$M$202,発注・納品!$B$3:$B$202,$A29)=0,"",_xlfn.MAXIFS(発注・納品!$M$3:$M$202,発注・納品!$B$3:$B$202,$A29)))</f>
        <v/>
      </c>
      <c r="AA29" s="28" t="str">
        <f aca="false">IF($A29="","",IF(N($X29)=0,"機器なし",IF(N($Y29)&gt;0,"入荷待ち",IF(COUNTIFS(発注・納品!$B$3:$B$202,$A29,発注・納品!$N$3:$N$202,"")&gt;0,"受入待ち","受入完了"))))</f>
        <v/>
      </c>
      <c r="AB29" s="26" t="str">
        <f aca="false">IF($A29="","",COUNTIFS(現地作業!$A$3:$A$202,$A29,現地作業!$L$3:$L$202,"予定"))</f>
        <v/>
      </c>
      <c r="AC29" s="26" t="str">
        <f aca="false">IF($A29="","",COUNTIFS(現地作業!$A$3:$A$202,$A29,現地作業!$L$3:$L$202,"完了"))</f>
        <v/>
      </c>
      <c r="AD29" s="27" t="str">
        <f aca="true">IF(N($AB29)=0,"",IF(_xlfn.MINIFS(現地作業!$C$3:$C$202,現地作業!$A$3:$A$202,$A29,現地作業!$L$3:$L$202,"予定",現地作業!$C$3:$C$202,"&gt;="&amp;TODAY())=0,"",_xlfn.MINIFS(現地作業!$C$3:$C$202,現地作業!$A$3:$A$202,$A29,現地作業!$L$3:$L$202,"予定",現地作業!$C$3:$C$202,"&gt;="&amp;TODAY())))</f>
        <v/>
      </c>
      <c r="AE29" s="39"/>
      <c r="AF29" s="30" t="str">
        <f aca="false">IF($A29="","",SUM(月次工数計画!$G$34:$AD$34))</f>
        <v/>
      </c>
      <c r="AG29" s="30" t="str">
        <f aca="false">IF($A29="","",SUMIFS(工数明細!$G$3:$G$302,工数明細!$B$3:$B$302,$A29))</f>
        <v/>
      </c>
      <c r="AH29" s="31" t="str">
        <f aca="false">IF($AE29="","",$AE29-N($AG29))</f>
        <v/>
      </c>
      <c r="AI29" s="25" t="str">
        <f aca="false">IF(N($AE29)=0,"",$AG29/$AE29)</f>
        <v/>
      </c>
      <c r="AJ29" s="20" t="str">
        <f aca="false">IF(N($AE29)=0,"",IF($AG29&gt;$AE29,"超過",IF($AG29&gt;=$AE29*0.9,"注意","適正")))</f>
        <v/>
      </c>
      <c r="AK29" s="34"/>
    </row>
    <row r="30" customFormat="false" ht="18" hidden="false" customHeight="true" outlineLevel="0" collapsed="false">
      <c r="A30" s="33"/>
      <c r="B30" s="34"/>
      <c r="C30" s="34"/>
      <c r="D30" s="34"/>
      <c r="E30" s="34"/>
      <c r="F30" s="35"/>
      <c r="G30" s="34"/>
      <c r="H30" s="34"/>
      <c r="I30" s="36"/>
      <c r="J30" s="37"/>
      <c r="K30" s="37"/>
      <c r="L30" s="37"/>
      <c r="M30" s="37"/>
      <c r="N30" s="19" t="str">
        <f aca="false">IF($J30="","",YEAR($J30)-IF(MONTH($J30)&lt;マスタ!$B$4,1,0))</f>
        <v/>
      </c>
      <c r="O30" s="20" t="str">
        <f aca="false">IF($J30="","","Q"&amp;(INT(MOD(MONTH($J30)-マスタ!$B$4+12,12)/3)+1))</f>
        <v/>
      </c>
      <c r="P30" s="21" t="str">
        <f aca="true">IF($L30="","",IF($M30&lt;&gt;"",$M30-$L30,IF(TODAY()&gt;$L30,TODAY()-$L30,0)))</f>
        <v/>
      </c>
      <c r="Q30" s="38"/>
      <c r="R30" s="23" t="str">
        <f aca="false">IF($Q30="","",$Q30*N($F30))</f>
        <v/>
      </c>
      <c r="S30" s="38"/>
      <c r="T30" s="24" t="str">
        <f aca="false">IF($A30="","",SUMIFS(発注・納品!$H$3:$H$202,発注・納品!$B$3:$B$202,$A30))</f>
        <v/>
      </c>
      <c r="U30" s="23" t="str">
        <f aca="false">IF($Q30="","",N($S30)+N($T30))</f>
        <v/>
      </c>
      <c r="V30" s="23" t="str">
        <f aca="false">IF($Q30="","",$Q30-N($U30))</f>
        <v/>
      </c>
      <c r="W30" s="25" t="str">
        <f aca="false">IF(N($Q30)=0,"",$V30/$Q30)</f>
        <v/>
      </c>
      <c r="X30" s="26" t="str">
        <f aca="false">IF($A30="","",COUNTIFS(発注・納品!$B$3:$B$202,$A30))</f>
        <v/>
      </c>
      <c r="Y30" s="26" t="str">
        <f aca="false">IF($A30="","",COUNTIFS(発注・納品!$B$3:$B$202,$A30,発注・納品!$M$3:$M$202,""))</f>
        <v/>
      </c>
      <c r="Z30" s="27" t="str">
        <f aca="false">IF(N($X30)=0,"",IF(_xlfn.MAXIFS(発注・納品!$M$3:$M$202,発注・納品!$B$3:$B$202,$A30)=0,"",_xlfn.MAXIFS(発注・納品!$M$3:$M$202,発注・納品!$B$3:$B$202,$A30)))</f>
        <v/>
      </c>
      <c r="AA30" s="28" t="str">
        <f aca="false">IF($A30="","",IF(N($X30)=0,"機器なし",IF(N($Y30)&gt;0,"入荷待ち",IF(COUNTIFS(発注・納品!$B$3:$B$202,$A30,発注・納品!$N$3:$N$202,"")&gt;0,"受入待ち","受入完了"))))</f>
        <v/>
      </c>
      <c r="AB30" s="26" t="str">
        <f aca="false">IF($A30="","",COUNTIFS(現地作業!$A$3:$A$202,$A30,現地作業!$L$3:$L$202,"予定"))</f>
        <v/>
      </c>
      <c r="AC30" s="26" t="str">
        <f aca="false">IF($A30="","",COUNTIFS(現地作業!$A$3:$A$202,$A30,現地作業!$L$3:$L$202,"完了"))</f>
        <v/>
      </c>
      <c r="AD30" s="27" t="str">
        <f aca="true">IF(N($AB30)=0,"",IF(_xlfn.MINIFS(現地作業!$C$3:$C$202,現地作業!$A$3:$A$202,$A30,現地作業!$L$3:$L$202,"予定",現地作業!$C$3:$C$202,"&gt;="&amp;TODAY())=0,"",_xlfn.MINIFS(現地作業!$C$3:$C$202,現地作業!$A$3:$A$202,$A30,現地作業!$L$3:$L$202,"予定",現地作業!$C$3:$C$202,"&gt;="&amp;TODAY())))</f>
        <v/>
      </c>
      <c r="AE30" s="39"/>
      <c r="AF30" s="30" t="str">
        <f aca="false">IF($A30="","",SUM(月次工数計画!$G$35:$AD$35))</f>
        <v/>
      </c>
      <c r="AG30" s="30" t="str">
        <f aca="false">IF($A30="","",SUMIFS(工数明細!$G$3:$G$302,工数明細!$B$3:$B$302,$A30))</f>
        <v/>
      </c>
      <c r="AH30" s="31" t="str">
        <f aca="false">IF($AE30="","",$AE30-N($AG30))</f>
        <v/>
      </c>
      <c r="AI30" s="25" t="str">
        <f aca="false">IF(N($AE30)=0,"",$AG30/$AE30)</f>
        <v/>
      </c>
      <c r="AJ30" s="20" t="str">
        <f aca="false">IF(N($AE30)=0,"",IF($AG30&gt;$AE30,"超過",IF($AG30&gt;=$AE30*0.9,"注意","適正")))</f>
        <v/>
      </c>
      <c r="AK30" s="34"/>
    </row>
    <row r="31" customFormat="false" ht="18" hidden="false" customHeight="true" outlineLevel="0" collapsed="false">
      <c r="A31" s="33"/>
      <c r="B31" s="34"/>
      <c r="C31" s="34"/>
      <c r="D31" s="34"/>
      <c r="E31" s="34"/>
      <c r="F31" s="35"/>
      <c r="G31" s="34"/>
      <c r="H31" s="34"/>
      <c r="I31" s="36"/>
      <c r="J31" s="37"/>
      <c r="K31" s="37"/>
      <c r="L31" s="37"/>
      <c r="M31" s="37"/>
      <c r="N31" s="19" t="str">
        <f aca="false">IF($J31="","",YEAR($J31)-IF(MONTH($J31)&lt;マスタ!$B$4,1,0))</f>
        <v/>
      </c>
      <c r="O31" s="20" t="str">
        <f aca="false">IF($J31="","","Q"&amp;(INT(MOD(MONTH($J31)-マスタ!$B$4+12,12)/3)+1))</f>
        <v/>
      </c>
      <c r="P31" s="21" t="str">
        <f aca="true">IF($L31="","",IF($M31&lt;&gt;"",$M31-$L31,IF(TODAY()&gt;$L31,TODAY()-$L31,0)))</f>
        <v/>
      </c>
      <c r="Q31" s="38"/>
      <c r="R31" s="23" t="str">
        <f aca="false">IF($Q31="","",$Q31*N($F31))</f>
        <v/>
      </c>
      <c r="S31" s="38"/>
      <c r="T31" s="24" t="str">
        <f aca="false">IF($A31="","",SUMIFS(発注・納品!$H$3:$H$202,発注・納品!$B$3:$B$202,$A31))</f>
        <v/>
      </c>
      <c r="U31" s="23" t="str">
        <f aca="false">IF($Q31="","",N($S31)+N($T31))</f>
        <v/>
      </c>
      <c r="V31" s="23" t="str">
        <f aca="false">IF($Q31="","",$Q31-N($U31))</f>
        <v/>
      </c>
      <c r="W31" s="25" t="str">
        <f aca="false">IF(N($Q31)=0,"",$V31/$Q31)</f>
        <v/>
      </c>
      <c r="X31" s="26" t="str">
        <f aca="false">IF($A31="","",COUNTIFS(発注・納品!$B$3:$B$202,$A31))</f>
        <v/>
      </c>
      <c r="Y31" s="26" t="str">
        <f aca="false">IF($A31="","",COUNTIFS(発注・納品!$B$3:$B$202,$A31,発注・納品!$M$3:$M$202,""))</f>
        <v/>
      </c>
      <c r="Z31" s="27" t="str">
        <f aca="false">IF(N($X31)=0,"",IF(_xlfn.MAXIFS(発注・納品!$M$3:$M$202,発注・納品!$B$3:$B$202,$A31)=0,"",_xlfn.MAXIFS(発注・納品!$M$3:$M$202,発注・納品!$B$3:$B$202,$A31)))</f>
        <v/>
      </c>
      <c r="AA31" s="28" t="str">
        <f aca="false">IF($A31="","",IF(N($X31)=0,"機器なし",IF(N($Y31)&gt;0,"入荷待ち",IF(COUNTIFS(発注・納品!$B$3:$B$202,$A31,発注・納品!$N$3:$N$202,"")&gt;0,"受入待ち","受入完了"))))</f>
        <v/>
      </c>
      <c r="AB31" s="26" t="str">
        <f aca="false">IF($A31="","",COUNTIFS(現地作業!$A$3:$A$202,$A31,現地作業!$L$3:$L$202,"予定"))</f>
        <v/>
      </c>
      <c r="AC31" s="26" t="str">
        <f aca="false">IF($A31="","",COUNTIFS(現地作業!$A$3:$A$202,$A31,現地作業!$L$3:$L$202,"完了"))</f>
        <v/>
      </c>
      <c r="AD31" s="27" t="str">
        <f aca="true">IF(N($AB31)=0,"",IF(_xlfn.MINIFS(現地作業!$C$3:$C$202,現地作業!$A$3:$A$202,$A31,現地作業!$L$3:$L$202,"予定",現地作業!$C$3:$C$202,"&gt;="&amp;TODAY())=0,"",_xlfn.MINIFS(現地作業!$C$3:$C$202,現地作業!$A$3:$A$202,$A31,現地作業!$L$3:$L$202,"予定",現地作業!$C$3:$C$202,"&gt;="&amp;TODAY())))</f>
        <v/>
      </c>
      <c r="AE31" s="39"/>
      <c r="AF31" s="30" t="str">
        <f aca="false">IF($A31="","",SUM(月次工数計画!$G$36:$AD$36))</f>
        <v/>
      </c>
      <c r="AG31" s="30" t="str">
        <f aca="false">IF($A31="","",SUMIFS(工数明細!$G$3:$G$302,工数明細!$B$3:$B$302,$A31))</f>
        <v/>
      </c>
      <c r="AH31" s="31" t="str">
        <f aca="false">IF($AE31="","",$AE31-N($AG31))</f>
        <v/>
      </c>
      <c r="AI31" s="25" t="str">
        <f aca="false">IF(N($AE31)=0,"",$AG31/$AE31)</f>
        <v/>
      </c>
      <c r="AJ31" s="20" t="str">
        <f aca="false">IF(N($AE31)=0,"",IF($AG31&gt;$AE31,"超過",IF($AG31&gt;=$AE31*0.9,"注意","適正")))</f>
        <v/>
      </c>
      <c r="AK31" s="34"/>
    </row>
    <row r="32" customFormat="false" ht="18" hidden="false" customHeight="true" outlineLevel="0" collapsed="false">
      <c r="A32" s="33"/>
      <c r="B32" s="34"/>
      <c r="C32" s="34"/>
      <c r="D32" s="34"/>
      <c r="E32" s="34"/>
      <c r="F32" s="35"/>
      <c r="G32" s="34"/>
      <c r="H32" s="34"/>
      <c r="I32" s="36"/>
      <c r="J32" s="37"/>
      <c r="K32" s="37"/>
      <c r="L32" s="37"/>
      <c r="M32" s="37"/>
      <c r="N32" s="19" t="str">
        <f aca="false">IF($J32="","",YEAR($J32)-IF(MONTH($J32)&lt;マスタ!$B$4,1,0))</f>
        <v/>
      </c>
      <c r="O32" s="20" t="str">
        <f aca="false">IF($J32="","","Q"&amp;(INT(MOD(MONTH($J32)-マスタ!$B$4+12,12)/3)+1))</f>
        <v/>
      </c>
      <c r="P32" s="21" t="str">
        <f aca="true">IF($L32="","",IF($M32&lt;&gt;"",$M32-$L32,IF(TODAY()&gt;$L32,TODAY()-$L32,0)))</f>
        <v/>
      </c>
      <c r="Q32" s="38"/>
      <c r="R32" s="23" t="str">
        <f aca="false">IF($Q32="","",$Q32*N($F32))</f>
        <v/>
      </c>
      <c r="S32" s="38"/>
      <c r="T32" s="24" t="str">
        <f aca="false">IF($A32="","",SUMIFS(発注・納品!$H$3:$H$202,発注・納品!$B$3:$B$202,$A32))</f>
        <v/>
      </c>
      <c r="U32" s="23" t="str">
        <f aca="false">IF($Q32="","",N($S32)+N($T32))</f>
        <v/>
      </c>
      <c r="V32" s="23" t="str">
        <f aca="false">IF($Q32="","",$Q32-N($U32))</f>
        <v/>
      </c>
      <c r="W32" s="25" t="str">
        <f aca="false">IF(N($Q32)=0,"",$V32/$Q32)</f>
        <v/>
      </c>
      <c r="X32" s="26" t="str">
        <f aca="false">IF($A32="","",COUNTIFS(発注・納品!$B$3:$B$202,$A32))</f>
        <v/>
      </c>
      <c r="Y32" s="26" t="str">
        <f aca="false">IF($A32="","",COUNTIFS(発注・納品!$B$3:$B$202,$A32,発注・納品!$M$3:$M$202,""))</f>
        <v/>
      </c>
      <c r="Z32" s="27" t="str">
        <f aca="false">IF(N($X32)=0,"",IF(_xlfn.MAXIFS(発注・納品!$M$3:$M$202,発注・納品!$B$3:$B$202,$A32)=0,"",_xlfn.MAXIFS(発注・納品!$M$3:$M$202,発注・納品!$B$3:$B$202,$A32)))</f>
        <v/>
      </c>
      <c r="AA32" s="28" t="str">
        <f aca="false">IF($A32="","",IF(N($X32)=0,"機器なし",IF(N($Y32)&gt;0,"入荷待ち",IF(COUNTIFS(発注・納品!$B$3:$B$202,$A32,発注・納品!$N$3:$N$202,"")&gt;0,"受入待ち","受入完了"))))</f>
        <v/>
      </c>
      <c r="AB32" s="26" t="str">
        <f aca="false">IF($A32="","",COUNTIFS(現地作業!$A$3:$A$202,$A32,現地作業!$L$3:$L$202,"予定"))</f>
        <v/>
      </c>
      <c r="AC32" s="26" t="str">
        <f aca="false">IF($A32="","",COUNTIFS(現地作業!$A$3:$A$202,$A32,現地作業!$L$3:$L$202,"完了"))</f>
        <v/>
      </c>
      <c r="AD32" s="27" t="str">
        <f aca="true">IF(N($AB32)=0,"",IF(_xlfn.MINIFS(現地作業!$C$3:$C$202,現地作業!$A$3:$A$202,$A32,現地作業!$L$3:$L$202,"予定",現地作業!$C$3:$C$202,"&gt;="&amp;TODAY())=0,"",_xlfn.MINIFS(現地作業!$C$3:$C$202,現地作業!$A$3:$A$202,$A32,現地作業!$L$3:$L$202,"予定",現地作業!$C$3:$C$202,"&gt;="&amp;TODAY())))</f>
        <v/>
      </c>
      <c r="AE32" s="39"/>
      <c r="AF32" s="30" t="str">
        <f aca="false">IF($A32="","",SUM(月次工数計画!$G$37:$AD$37))</f>
        <v/>
      </c>
      <c r="AG32" s="30" t="str">
        <f aca="false">IF($A32="","",SUMIFS(工数明細!$G$3:$G$302,工数明細!$B$3:$B$302,$A32))</f>
        <v/>
      </c>
      <c r="AH32" s="31" t="str">
        <f aca="false">IF($AE32="","",$AE32-N($AG32))</f>
        <v/>
      </c>
      <c r="AI32" s="25" t="str">
        <f aca="false">IF(N($AE32)=0,"",$AG32/$AE32)</f>
        <v/>
      </c>
      <c r="AJ32" s="20" t="str">
        <f aca="false">IF(N($AE32)=0,"",IF($AG32&gt;$AE32,"超過",IF($AG32&gt;=$AE32*0.9,"注意","適正")))</f>
        <v/>
      </c>
      <c r="AK32" s="34"/>
    </row>
    <row r="33" customFormat="false" ht="18" hidden="false" customHeight="true" outlineLevel="0" collapsed="false">
      <c r="A33" s="33"/>
      <c r="B33" s="34"/>
      <c r="C33" s="34"/>
      <c r="D33" s="34"/>
      <c r="E33" s="34"/>
      <c r="F33" s="35"/>
      <c r="G33" s="34"/>
      <c r="H33" s="34"/>
      <c r="I33" s="36"/>
      <c r="J33" s="37"/>
      <c r="K33" s="37"/>
      <c r="L33" s="37"/>
      <c r="M33" s="37"/>
      <c r="N33" s="19" t="str">
        <f aca="false">IF($J33="","",YEAR($J33)-IF(MONTH($J33)&lt;マスタ!$B$4,1,0))</f>
        <v/>
      </c>
      <c r="O33" s="20" t="str">
        <f aca="false">IF($J33="","","Q"&amp;(INT(MOD(MONTH($J33)-マスタ!$B$4+12,12)/3)+1))</f>
        <v/>
      </c>
      <c r="P33" s="21" t="str">
        <f aca="true">IF($L33="","",IF($M33&lt;&gt;"",$M33-$L33,IF(TODAY()&gt;$L33,TODAY()-$L33,0)))</f>
        <v/>
      </c>
      <c r="Q33" s="38"/>
      <c r="R33" s="23" t="str">
        <f aca="false">IF($Q33="","",$Q33*N($F33))</f>
        <v/>
      </c>
      <c r="S33" s="38"/>
      <c r="T33" s="24" t="str">
        <f aca="false">IF($A33="","",SUMIFS(発注・納品!$H$3:$H$202,発注・納品!$B$3:$B$202,$A33))</f>
        <v/>
      </c>
      <c r="U33" s="23" t="str">
        <f aca="false">IF($Q33="","",N($S33)+N($T33))</f>
        <v/>
      </c>
      <c r="V33" s="23" t="str">
        <f aca="false">IF($Q33="","",$Q33-N($U33))</f>
        <v/>
      </c>
      <c r="W33" s="25" t="str">
        <f aca="false">IF(N($Q33)=0,"",$V33/$Q33)</f>
        <v/>
      </c>
      <c r="X33" s="26" t="str">
        <f aca="false">IF($A33="","",COUNTIFS(発注・納品!$B$3:$B$202,$A33))</f>
        <v/>
      </c>
      <c r="Y33" s="26" t="str">
        <f aca="false">IF($A33="","",COUNTIFS(発注・納品!$B$3:$B$202,$A33,発注・納品!$M$3:$M$202,""))</f>
        <v/>
      </c>
      <c r="Z33" s="27" t="str">
        <f aca="false">IF(N($X33)=0,"",IF(_xlfn.MAXIFS(発注・納品!$M$3:$M$202,発注・納品!$B$3:$B$202,$A33)=0,"",_xlfn.MAXIFS(発注・納品!$M$3:$M$202,発注・納品!$B$3:$B$202,$A33)))</f>
        <v/>
      </c>
      <c r="AA33" s="28" t="str">
        <f aca="false">IF($A33="","",IF(N($X33)=0,"機器なし",IF(N($Y33)&gt;0,"入荷待ち",IF(COUNTIFS(発注・納品!$B$3:$B$202,$A33,発注・納品!$N$3:$N$202,"")&gt;0,"受入待ち","受入完了"))))</f>
        <v/>
      </c>
      <c r="AB33" s="26" t="str">
        <f aca="false">IF($A33="","",COUNTIFS(現地作業!$A$3:$A$202,$A33,現地作業!$L$3:$L$202,"予定"))</f>
        <v/>
      </c>
      <c r="AC33" s="26" t="str">
        <f aca="false">IF($A33="","",COUNTIFS(現地作業!$A$3:$A$202,$A33,現地作業!$L$3:$L$202,"完了"))</f>
        <v/>
      </c>
      <c r="AD33" s="27" t="str">
        <f aca="true">IF(N($AB33)=0,"",IF(_xlfn.MINIFS(現地作業!$C$3:$C$202,現地作業!$A$3:$A$202,$A33,現地作業!$L$3:$L$202,"予定",現地作業!$C$3:$C$202,"&gt;="&amp;TODAY())=0,"",_xlfn.MINIFS(現地作業!$C$3:$C$202,現地作業!$A$3:$A$202,$A33,現地作業!$L$3:$L$202,"予定",現地作業!$C$3:$C$202,"&gt;="&amp;TODAY())))</f>
        <v/>
      </c>
      <c r="AE33" s="39"/>
      <c r="AF33" s="30" t="str">
        <f aca="false">IF($A33="","",SUM(月次工数計画!$G$38:$AD$38))</f>
        <v/>
      </c>
      <c r="AG33" s="30" t="str">
        <f aca="false">IF($A33="","",SUMIFS(工数明細!$G$3:$G$302,工数明細!$B$3:$B$302,$A33))</f>
        <v/>
      </c>
      <c r="AH33" s="31" t="str">
        <f aca="false">IF($AE33="","",$AE33-N($AG33))</f>
        <v/>
      </c>
      <c r="AI33" s="25" t="str">
        <f aca="false">IF(N($AE33)=0,"",$AG33/$AE33)</f>
        <v/>
      </c>
      <c r="AJ33" s="20" t="str">
        <f aca="false">IF(N($AE33)=0,"",IF($AG33&gt;$AE33,"超過",IF($AG33&gt;=$AE33*0.9,"注意","適正")))</f>
        <v/>
      </c>
      <c r="AK33" s="34"/>
    </row>
    <row r="34" customFormat="false" ht="18" hidden="false" customHeight="true" outlineLevel="0" collapsed="false">
      <c r="A34" s="33"/>
      <c r="B34" s="34"/>
      <c r="C34" s="34"/>
      <c r="D34" s="34"/>
      <c r="E34" s="34"/>
      <c r="F34" s="35"/>
      <c r="G34" s="34"/>
      <c r="H34" s="34"/>
      <c r="I34" s="36"/>
      <c r="J34" s="37"/>
      <c r="K34" s="37"/>
      <c r="L34" s="37"/>
      <c r="M34" s="37"/>
      <c r="N34" s="19" t="str">
        <f aca="false">IF($J34="","",YEAR($J34)-IF(MONTH($J34)&lt;マスタ!$B$4,1,0))</f>
        <v/>
      </c>
      <c r="O34" s="20" t="str">
        <f aca="false">IF($J34="","","Q"&amp;(INT(MOD(MONTH($J34)-マスタ!$B$4+12,12)/3)+1))</f>
        <v/>
      </c>
      <c r="P34" s="21" t="str">
        <f aca="true">IF($L34="","",IF($M34&lt;&gt;"",$M34-$L34,IF(TODAY()&gt;$L34,TODAY()-$L34,0)))</f>
        <v/>
      </c>
      <c r="Q34" s="38"/>
      <c r="R34" s="23" t="str">
        <f aca="false">IF($Q34="","",$Q34*N($F34))</f>
        <v/>
      </c>
      <c r="S34" s="38"/>
      <c r="T34" s="24" t="str">
        <f aca="false">IF($A34="","",SUMIFS(発注・納品!$H$3:$H$202,発注・納品!$B$3:$B$202,$A34))</f>
        <v/>
      </c>
      <c r="U34" s="23" t="str">
        <f aca="false">IF($Q34="","",N($S34)+N($T34))</f>
        <v/>
      </c>
      <c r="V34" s="23" t="str">
        <f aca="false">IF($Q34="","",$Q34-N($U34))</f>
        <v/>
      </c>
      <c r="W34" s="25" t="str">
        <f aca="false">IF(N($Q34)=0,"",$V34/$Q34)</f>
        <v/>
      </c>
      <c r="X34" s="26" t="str">
        <f aca="false">IF($A34="","",COUNTIFS(発注・納品!$B$3:$B$202,$A34))</f>
        <v/>
      </c>
      <c r="Y34" s="26" t="str">
        <f aca="false">IF($A34="","",COUNTIFS(発注・納品!$B$3:$B$202,$A34,発注・納品!$M$3:$M$202,""))</f>
        <v/>
      </c>
      <c r="Z34" s="27" t="str">
        <f aca="false">IF(N($X34)=0,"",IF(_xlfn.MAXIFS(発注・納品!$M$3:$M$202,発注・納品!$B$3:$B$202,$A34)=0,"",_xlfn.MAXIFS(発注・納品!$M$3:$M$202,発注・納品!$B$3:$B$202,$A34)))</f>
        <v/>
      </c>
      <c r="AA34" s="28" t="str">
        <f aca="false">IF($A34="","",IF(N($X34)=0,"機器なし",IF(N($Y34)&gt;0,"入荷待ち",IF(COUNTIFS(発注・納品!$B$3:$B$202,$A34,発注・納品!$N$3:$N$202,"")&gt;0,"受入待ち","受入完了"))))</f>
        <v/>
      </c>
      <c r="AB34" s="26" t="str">
        <f aca="false">IF($A34="","",COUNTIFS(現地作業!$A$3:$A$202,$A34,現地作業!$L$3:$L$202,"予定"))</f>
        <v/>
      </c>
      <c r="AC34" s="26" t="str">
        <f aca="false">IF($A34="","",COUNTIFS(現地作業!$A$3:$A$202,$A34,現地作業!$L$3:$L$202,"完了"))</f>
        <v/>
      </c>
      <c r="AD34" s="27" t="str">
        <f aca="true">IF(N($AB34)=0,"",IF(_xlfn.MINIFS(現地作業!$C$3:$C$202,現地作業!$A$3:$A$202,$A34,現地作業!$L$3:$L$202,"予定",現地作業!$C$3:$C$202,"&gt;="&amp;TODAY())=0,"",_xlfn.MINIFS(現地作業!$C$3:$C$202,現地作業!$A$3:$A$202,$A34,現地作業!$L$3:$L$202,"予定",現地作業!$C$3:$C$202,"&gt;="&amp;TODAY())))</f>
        <v/>
      </c>
      <c r="AE34" s="39"/>
      <c r="AF34" s="30" t="str">
        <f aca="false">IF($A34="","",SUM(月次工数計画!$G$39:$AD$39))</f>
        <v/>
      </c>
      <c r="AG34" s="30" t="str">
        <f aca="false">IF($A34="","",SUMIFS(工数明細!$G$3:$G$302,工数明細!$B$3:$B$302,$A34))</f>
        <v/>
      </c>
      <c r="AH34" s="31" t="str">
        <f aca="false">IF($AE34="","",$AE34-N($AG34))</f>
        <v/>
      </c>
      <c r="AI34" s="25" t="str">
        <f aca="false">IF(N($AE34)=0,"",$AG34/$AE34)</f>
        <v/>
      </c>
      <c r="AJ34" s="20" t="str">
        <f aca="false">IF(N($AE34)=0,"",IF($AG34&gt;$AE34,"超過",IF($AG34&gt;=$AE34*0.9,"注意","適正")))</f>
        <v/>
      </c>
      <c r="AK34" s="34"/>
    </row>
    <row r="35" customFormat="false" ht="18" hidden="false" customHeight="true" outlineLevel="0" collapsed="false">
      <c r="A35" s="33"/>
      <c r="B35" s="34"/>
      <c r="C35" s="34"/>
      <c r="D35" s="34"/>
      <c r="E35" s="34"/>
      <c r="F35" s="35"/>
      <c r="G35" s="34"/>
      <c r="H35" s="34"/>
      <c r="I35" s="36"/>
      <c r="J35" s="37"/>
      <c r="K35" s="37"/>
      <c r="L35" s="37"/>
      <c r="M35" s="37"/>
      <c r="N35" s="19" t="str">
        <f aca="false">IF($J35="","",YEAR($J35)-IF(MONTH($J35)&lt;マスタ!$B$4,1,0))</f>
        <v/>
      </c>
      <c r="O35" s="20" t="str">
        <f aca="false">IF($J35="","","Q"&amp;(INT(MOD(MONTH($J35)-マスタ!$B$4+12,12)/3)+1))</f>
        <v/>
      </c>
      <c r="P35" s="21" t="str">
        <f aca="true">IF($L35="","",IF($M35&lt;&gt;"",$M35-$L35,IF(TODAY()&gt;$L35,TODAY()-$L35,0)))</f>
        <v/>
      </c>
      <c r="Q35" s="38"/>
      <c r="R35" s="23" t="str">
        <f aca="false">IF($Q35="","",$Q35*N($F35))</f>
        <v/>
      </c>
      <c r="S35" s="38"/>
      <c r="T35" s="24" t="str">
        <f aca="false">IF($A35="","",SUMIFS(発注・納品!$H$3:$H$202,発注・納品!$B$3:$B$202,$A35))</f>
        <v/>
      </c>
      <c r="U35" s="23" t="str">
        <f aca="false">IF($Q35="","",N($S35)+N($T35))</f>
        <v/>
      </c>
      <c r="V35" s="23" t="str">
        <f aca="false">IF($Q35="","",$Q35-N($U35))</f>
        <v/>
      </c>
      <c r="W35" s="25" t="str">
        <f aca="false">IF(N($Q35)=0,"",$V35/$Q35)</f>
        <v/>
      </c>
      <c r="X35" s="26" t="str">
        <f aca="false">IF($A35="","",COUNTIFS(発注・納品!$B$3:$B$202,$A35))</f>
        <v/>
      </c>
      <c r="Y35" s="26" t="str">
        <f aca="false">IF($A35="","",COUNTIFS(発注・納品!$B$3:$B$202,$A35,発注・納品!$M$3:$M$202,""))</f>
        <v/>
      </c>
      <c r="Z35" s="27" t="str">
        <f aca="false">IF(N($X35)=0,"",IF(_xlfn.MAXIFS(発注・納品!$M$3:$M$202,発注・納品!$B$3:$B$202,$A35)=0,"",_xlfn.MAXIFS(発注・納品!$M$3:$M$202,発注・納品!$B$3:$B$202,$A35)))</f>
        <v/>
      </c>
      <c r="AA35" s="28" t="str">
        <f aca="false">IF($A35="","",IF(N($X35)=0,"機器なし",IF(N($Y35)&gt;0,"入荷待ち",IF(COUNTIFS(発注・納品!$B$3:$B$202,$A35,発注・納品!$N$3:$N$202,"")&gt;0,"受入待ち","受入完了"))))</f>
        <v/>
      </c>
      <c r="AB35" s="26" t="str">
        <f aca="false">IF($A35="","",COUNTIFS(現地作業!$A$3:$A$202,$A35,現地作業!$L$3:$L$202,"予定"))</f>
        <v/>
      </c>
      <c r="AC35" s="26" t="str">
        <f aca="false">IF($A35="","",COUNTIFS(現地作業!$A$3:$A$202,$A35,現地作業!$L$3:$L$202,"完了"))</f>
        <v/>
      </c>
      <c r="AD35" s="27" t="str">
        <f aca="true">IF(N($AB35)=0,"",IF(_xlfn.MINIFS(現地作業!$C$3:$C$202,現地作業!$A$3:$A$202,$A35,現地作業!$L$3:$L$202,"予定",現地作業!$C$3:$C$202,"&gt;="&amp;TODAY())=0,"",_xlfn.MINIFS(現地作業!$C$3:$C$202,現地作業!$A$3:$A$202,$A35,現地作業!$L$3:$L$202,"予定",現地作業!$C$3:$C$202,"&gt;="&amp;TODAY())))</f>
        <v/>
      </c>
      <c r="AE35" s="39"/>
      <c r="AF35" s="30" t="str">
        <f aca="false">IF($A35="","",SUM(月次工数計画!$G$40:$AD$40))</f>
        <v/>
      </c>
      <c r="AG35" s="30" t="str">
        <f aca="false">IF($A35="","",SUMIFS(工数明細!$G$3:$G$302,工数明細!$B$3:$B$302,$A35))</f>
        <v/>
      </c>
      <c r="AH35" s="31" t="str">
        <f aca="false">IF($AE35="","",$AE35-N($AG35))</f>
        <v/>
      </c>
      <c r="AI35" s="25" t="str">
        <f aca="false">IF(N($AE35)=0,"",$AG35/$AE35)</f>
        <v/>
      </c>
      <c r="AJ35" s="20" t="str">
        <f aca="false">IF(N($AE35)=0,"",IF($AG35&gt;$AE35,"超過",IF($AG35&gt;=$AE35*0.9,"注意","適正")))</f>
        <v/>
      </c>
      <c r="AK35" s="34"/>
    </row>
    <row r="36" customFormat="false" ht="18" hidden="false" customHeight="true" outlineLevel="0" collapsed="false">
      <c r="A36" s="33"/>
      <c r="B36" s="34"/>
      <c r="C36" s="34"/>
      <c r="D36" s="34"/>
      <c r="E36" s="34"/>
      <c r="F36" s="35"/>
      <c r="G36" s="34"/>
      <c r="H36" s="34"/>
      <c r="I36" s="36"/>
      <c r="J36" s="37"/>
      <c r="K36" s="37"/>
      <c r="L36" s="37"/>
      <c r="M36" s="37"/>
      <c r="N36" s="19" t="str">
        <f aca="false">IF($J36="","",YEAR($J36)-IF(MONTH($J36)&lt;マスタ!$B$4,1,0))</f>
        <v/>
      </c>
      <c r="O36" s="20" t="str">
        <f aca="false">IF($J36="","","Q"&amp;(INT(MOD(MONTH($J36)-マスタ!$B$4+12,12)/3)+1))</f>
        <v/>
      </c>
      <c r="P36" s="21" t="str">
        <f aca="true">IF($L36="","",IF($M36&lt;&gt;"",$M36-$L36,IF(TODAY()&gt;$L36,TODAY()-$L36,0)))</f>
        <v/>
      </c>
      <c r="Q36" s="38"/>
      <c r="R36" s="23" t="str">
        <f aca="false">IF($Q36="","",$Q36*N($F36))</f>
        <v/>
      </c>
      <c r="S36" s="38"/>
      <c r="T36" s="24" t="str">
        <f aca="false">IF($A36="","",SUMIFS(発注・納品!$H$3:$H$202,発注・納品!$B$3:$B$202,$A36))</f>
        <v/>
      </c>
      <c r="U36" s="23" t="str">
        <f aca="false">IF($Q36="","",N($S36)+N($T36))</f>
        <v/>
      </c>
      <c r="V36" s="23" t="str">
        <f aca="false">IF($Q36="","",$Q36-N($U36))</f>
        <v/>
      </c>
      <c r="W36" s="25" t="str">
        <f aca="false">IF(N($Q36)=0,"",$V36/$Q36)</f>
        <v/>
      </c>
      <c r="X36" s="26" t="str">
        <f aca="false">IF($A36="","",COUNTIFS(発注・納品!$B$3:$B$202,$A36))</f>
        <v/>
      </c>
      <c r="Y36" s="26" t="str">
        <f aca="false">IF($A36="","",COUNTIFS(発注・納品!$B$3:$B$202,$A36,発注・納品!$M$3:$M$202,""))</f>
        <v/>
      </c>
      <c r="Z36" s="27" t="str">
        <f aca="false">IF(N($X36)=0,"",IF(_xlfn.MAXIFS(発注・納品!$M$3:$M$202,発注・納品!$B$3:$B$202,$A36)=0,"",_xlfn.MAXIFS(発注・納品!$M$3:$M$202,発注・納品!$B$3:$B$202,$A36)))</f>
        <v/>
      </c>
      <c r="AA36" s="28" t="str">
        <f aca="false">IF($A36="","",IF(N($X36)=0,"機器なし",IF(N($Y36)&gt;0,"入荷待ち",IF(COUNTIFS(発注・納品!$B$3:$B$202,$A36,発注・納品!$N$3:$N$202,"")&gt;0,"受入待ち","受入完了"))))</f>
        <v/>
      </c>
      <c r="AB36" s="26" t="str">
        <f aca="false">IF($A36="","",COUNTIFS(現地作業!$A$3:$A$202,$A36,現地作業!$L$3:$L$202,"予定"))</f>
        <v/>
      </c>
      <c r="AC36" s="26" t="str">
        <f aca="false">IF($A36="","",COUNTIFS(現地作業!$A$3:$A$202,$A36,現地作業!$L$3:$L$202,"完了"))</f>
        <v/>
      </c>
      <c r="AD36" s="27" t="str">
        <f aca="true">IF(N($AB36)=0,"",IF(_xlfn.MINIFS(現地作業!$C$3:$C$202,現地作業!$A$3:$A$202,$A36,現地作業!$L$3:$L$202,"予定",現地作業!$C$3:$C$202,"&gt;="&amp;TODAY())=0,"",_xlfn.MINIFS(現地作業!$C$3:$C$202,現地作業!$A$3:$A$202,$A36,現地作業!$L$3:$L$202,"予定",現地作業!$C$3:$C$202,"&gt;="&amp;TODAY())))</f>
        <v/>
      </c>
      <c r="AE36" s="39"/>
      <c r="AF36" s="30" t="str">
        <f aca="false">IF($A36="","",SUM(月次工数計画!$G$41:$AD$41))</f>
        <v/>
      </c>
      <c r="AG36" s="30" t="str">
        <f aca="false">IF($A36="","",SUMIFS(工数明細!$G$3:$G$302,工数明細!$B$3:$B$302,$A36))</f>
        <v/>
      </c>
      <c r="AH36" s="31" t="str">
        <f aca="false">IF($AE36="","",$AE36-N($AG36))</f>
        <v/>
      </c>
      <c r="AI36" s="25" t="str">
        <f aca="false">IF(N($AE36)=0,"",$AG36/$AE36)</f>
        <v/>
      </c>
      <c r="AJ36" s="20" t="str">
        <f aca="false">IF(N($AE36)=0,"",IF($AG36&gt;$AE36,"超過",IF($AG36&gt;=$AE36*0.9,"注意","適正")))</f>
        <v/>
      </c>
      <c r="AK36" s="34"/>
    </row>
    <row r="37" customFormat="false" ht="18" hidden="false" customHeight="true" outlineLevel="0" collapsed="false">
      <c r="A37" s="33"/>
      <c r="B37" s="34"/>
      <c r="C37" s="34"/>
      <c r="D37" s="34"/>
      <c r="E37" s="34"/>
      <c r="F37" s="35"/>
      <c r="G37" s="34"/>
      <c r="H37" s="34"/>
      <c r="I37" s="36"/>
      <c r="J37" s="37"/>
      <c r="K37" s="37"/>
      <c r="L37" s="37"/>
      <c r="M37" s="37"/>
      <c r="N37" s="19" t="str">
        <f aca="false">IF($J37="","",YEAR($J37)-IF(MONTH($J37)&lt;マスタ!$B$4,1,0))</f>
        <v/>
      </c>
      <c r="O37" s="20" t="str">
        <f aca="false">IF($J37="","","Q"&amp;(INT(MOD(MONTH($J37)-マスタ!$B$4+12,12)/3)+1))</f>
        <v/>
      </c>
      <c r="P37" s="21" t="str">
        <f aca="true">IF($L37="","",IF($M37&lt;&gt;"",$M37-$L37,IF(TODAY()&gt;$L37,TODAY()-$L37,0)))</f>
        <v/>
      </c>
      <c r="Q37" s="38"/>
      <c r="R37" s="23" t="str">
        <f aca="false">IF($Q37="","",$Q37*N($F37))</f>
        <v/>
      </c>
      <c r="S37" s="38"/>
      <c r="T37" s="24" t="str">
        <f aca="false">IF($A37="","",SUMIFS(発注・納品!$H$3:$H$202,発注・納品!$B$3:$B$202,$A37))</f>
        <v/>
      </c>
      <c r="U37" s="23" t="str">
        <f aca="false">IF($Q37="","",N($S37)+N($T37))</f>
        <v/>
      </c>
      <c r="V37" s="23" t="str">
        <f aca="false">IF($Q37="","",$Q37-N($U37))</f>
        <v/>
      </c>
      <c r="W37" s="25" t="str">
        <f aca="false">IF(N($Q37)=0,"",$V37/$Q37)</f>
        <v/>
      </c>
      <c r="X37" s="26" t="str">
        <f aca="false">IF($A37="","",COUNTIFS(発注・納品!$B$3:$B$202,$A37))</f>
        <v/>
      </c>
      <c r="Y37" s="26" t="str">
        <f aca="false">IF($A37="","",COUNTIFS(発注・納品!$B$3:$B$202,$A37,発注・納品!$M$3:$M$202,""))</f>
        <v/>
      </c>
      <c r="Z37" s="27" t="str">
        <f aca="false">IF(N($X37)=0,"",IF(_xlfn.MAXIFS(発注・納品!$M$3:$M$202,発注・納品!$B$3:$B$202,$A37)=0,"",_xlfn.MAXIFS(発注・納品!$M$3:$M$202,発注・納品!$B$3:$B$202,$A37)))</f>
        <v/>
      </c>
      <c r="AA37" s="28" t="str">
        <f aca="false">IF($A37="","",IF(N($X37)=0,"機器なし",IF(N($Y37)&gt;0,"入荷待ち",IF(COUNTIFS(発注・納品!$B$3:$B$202,$A37,発注・納品!$N$3:$N$202,"")&gt;0,"受入待ち","受入完了"))))</f>
        <v/>
      </c>
      <c r="AB37" s="26" t="str">
        <f aca="false">IF($A37="","",COUNTIFS(現地作業!$A$3:$A$202,$A37,現地作業!$L$3:$L$202,"予定"))</f>
        <v/>
      </c>
      <c r="AC37" s="26" t="str">
        <f aca="false">IF($A37="","",COUNTIFS(現地作業!$A$3:$A$202,$A37,現地作業!$L$3:$L$202,"完了"))</f>
        <v/>
      </c>
      <c r="AD37" s="27" t="str">
        <f aca="true">IF(N($AB37)=0,"",IF(_xlfn.MINIFS(現地作業!$C$3:$C$202,現地作業!$A$3:$A$202,$A37,現地作業!$L$3:$L$202,"予定",現地作業!$C$3:$C$202,"&gt;="&amp;TODAY())=0,"",_xlfn.MINIFS(現地作業!$C$3:$C$202,現地作業!$A$3:$A$202,$A37,現地作業!$L$3:$L$202,"予定",現地作業!$C$3:$C$202,"&gt;="&amp;TODAY())))</f>
        <v/>
      </c>
      <c r="AE37" s="39"/>
      <c r="AF37" s="30" t="str">
        <f aca="false">IF($A37="","",SUM(月次工数計画!$G$42:$AD$42))</f>
        <v/>
      </c>
      <c r="AG37" s="30" t="str">
        <f aca="false">IF($A37="","",SUMIFS(工数明細!$G$3:$G$302,工数明細!$B$3:$B$302,$A37))</f>
        <v/>
      </c>
      <c r="AH37" s="31" t="str">
        <f aca="false">IF($AE37="","",$AE37-N($AG37))</f>
        <v/>
      </c>
      <c r="AI37" s="25" t="str">
        <f aca="false">IF(N($AE37)=0,"",$AG37/$AE37)</f>
        <v/>
      </c>
      <c r="AJ37" s="20" t="str">
        <f aca="false">IF(N($AE37)=0,"",IF($AG37&gt;$AE37,"超過",IF($AG37&gt;=$AE37*0.9,"注意","適正")))</f>
        <v/>
      </c>
      <c r="AK37" s="34"/>
    </row>
    <row r="38" customFormat="false" ht="18" hidden="false" customHeight="true" outlineLevel="0" collapsed="false">
      <c r="A38" s="33"/>
      <c r="B38" s="34"/>
      <c r="C38" s="34"/>
      <c r="D38" s="34"/>
      <c r="E38" s="34"/>
      <c r="F38" s="35"/>
      <c r="G38" s="34"/>
      <c r="H38" s="34"/>
      <c r="I38" s="36"/>
      <c r="J38" s="37"/>
      <c r="K38" s="37"/>
      <c r="L38" s="37"/>
      <c r="M38" s="37"/>
      <c r="N38" s="19" t="str">
        <f aca="false">IF($J38="","",YEAR($J38)-IF(MONTH($J38)&lt;マスタ!$B$4,1,0))</f>
        <v/>
      </c>
      <c r="O38" s="20" t="str">
        <f aca="false">IF($J38="","","Q"&amp;(INT(MOD(MONTH($J38)-マスタ!$B$4+12,12)/3)+1))</f>
        <v/>
      </c>
      <c r="P38" s="21" t="str">
        <f aca="true">IF($L38="","",IF($M38&lt;&gt;"",$M38-$L38,IF(TODAY()&gt;$L38,TODAY()-$L38,0)))</f>
        <v/>
      </c>
      <c r="Q38" s="38"/>
      <c r="R38" s="23" t="str">
        <f aca="false">IF($Q38="","",$Q38*N($F38))</f>
        <v/>
      </c>
      <c r="S38" s="38"/>
      <c r="T38" s="24" t="str">
        <f aca="false">IF($A38="","",SUMIFS(発注・納品!$H$3:$H$202,発注・納品!$B$3:$B$202,$A38))</f>
        <v/>
      </c>
      <c r="U38" s="23" t="str">
        <f aca="false">IF($Q38="","",N($S38)+N($T38))</f>
        <v/>
      </c>
      <c r="V38" s="23" t="str">
        <f aca="false">IF($Q38="","",$Q38-N($U38))</f>
        <v/>
      </c>
      <c r="W38" s="25" t="str">
        <f aca="false">IF(N($Q38)=0,"",$V38/$Q38)</f>
        <v/>
      </c>
      <c r="X38" s="26" t="str">
        <f aca="false">IF($A38="","",COUNTIFS(発注・納品!$B$3:$B$202,$A38))</f>
        <v/>
      </c>
      <c r="Y38" s="26" t="str">
        <f aca="false">IF($A38="","",COUNTIFS(発注・納品!$B$3:$B$202,$A38,発注・納品!$M$3:$M$202,""))</f>
        <v/>
      </c>
      <c r="Z38" s="27" t="str">
        <f aca="false">IF(N($X38)=0,"",IF(_xlfn.MAXIFS(発注・納品!$M$3:$M$202,発注・納品!$B$3:$B$202,$A38)=0,"",_xlfn.MAXIFS(発注・納品!$M$3:$M$202,発注・納品!$B$3:$B$202,$A38)))</f>
        <v/>
      </c>
      <c r="AA38" s="28" t="str">
        <f aca="false">IF($A38="","",IF(N($X38)=0,"機器なし",IF(N($Y38)&gt;0,"入荷待ち",IF(COUNTIFS(発注・納品!$B$3:$B$202,$A38,発注・納品!$N$3:$N$202,"")&gt;0,"受入待ち","受入完了"))))</f>
        <v/>
      </c>
      <c r="AB38" s="26" t="str">
        <f aca="false">IF($A38="","",COUNTIFS(現地作業!$A$3:$A$202,$A38,現地作業!$L$3:$L$202,"予定"))</f>
        <v/>
      </c>
      <c r="AC38" s="26" t="str">
        <f aca="false">IF($A38="","",COUNTIFS(現地作業!$A$3:$A$202,$A38,現地作業!$L$3:$L$202,"完了"))</f>
        <v/>
      </c>
      <c r="AD38" s="27" t="str">
        <f aca="true">IF(N($AB38)=0,"",IF(_xlfn.MINIFS(現地作業!$C$3:$C$202,現地作業!$A$3:$A$202,$A38,現地作業!$L$3:$L$202,"予定",現地作業!$C$3:$C$202,"&gt;="&amp;TODAY())=0,"",_xlfn.MINIFS(現地作業!$C$3:$C$202,現地作業!$A$3:$A$202,$A38,現地作業!$L$3:$L$202,"予定",現地作業!$C$3:$C$202,"&gt;="&amp;TODAY())))</f>
        <v/>
      </c>
      <c r="AE38" s="39"/>
      <c r="AF38" s="30" t="str">
        <f aca="false">IF($A38="","",SUM(月次工数計画!$G$43:$AD$43))</f>
        <v/>
      </c>
      <c r="AG38" s="30" t="str">
        <f aca="false">IF($A38="","",SUMIFS(工数明細!$G$3:$G$302,工数明細!$B$3:$B$302,$A38))</f>
        <v/>
      </c>
      <c r="AH38" s="31" t="str">
        <f aca="false">IF($AE38="","",$AE38-N($AG38))</f>
        <v/>
      </c>
      <c r="AI38" s="25" t="str">
        <f aca="false">IF(N($AE38)=0,"",$AG38/$AE38)</f>
        <v/>
      </c>
      <c r="AJ38" s="20" t="str">
        <f aca="false">IF(N($AE38)=0,"",IF($AG38&gt;$AE38,"超過",IF($AG38&gt;=$AE38*0.9,"注意","適正")))</f>
        <v/>
      </c>
      <c r="AK38" s="34"/>
    </row>
    <row r="39" customFormat="false" ht="18" hidden="false" customHeight="true" outlineLevel="0" collapsed="false">
      <c r="A39" s="33"/>
      <c r="B39" s="34"/>
      <c r="C39" s="34"/>
      <c r="D39" s="34"/>
      <c r="E39" s="34"/>
      <c r="F39" s="35"/>
      <c r="G39" s="34"/>
      <c r="H39" s="34"/>
      <c r="I39" s="36"/>
      <c r="J39" s="37"/>
      <c r="K39" s="37"/>
      <c r="L39" s="37"/>
      <c r="M39" s="37"/>
      <c r="N39" s="19" t="str">
        <f aca="false">IF($J39="","",YEAR($J39)-IF(MONTH($J39)&lt;マスタ!$B$4,1,0))</f>
        <v/>
      </c>
      <c r="O39" s="20" t="str">
        <f aca="false">IF($J39="","","Q"&amp;(INT(MOD(MONTH($J39)-マスタ!$B$4+12,12)/3)+1))</f>
        <v/>
      </c>
      <c r="P39" s="21" t="str">
        <f aca="true">IF($L39="","",IF($M39&lt;&gt;"",$M39-$L39,IF(TODAY()&gt;$L39,TODAY()-$L39,0)))</f>
        <v/>
      </c>
      <c r="Q39" s="38"/>
      <c r="R39" s="23" t="str">
        <f aca="false">IF($Q39="","",$Q39*N($F39))</f>
        <v/>
      </c>
      <c r="S39" s="38"/>
      <c r="T39" s="24" t="str">
        <f aca="false">IF($A39="","",SUMIFS(発注・納品!$H$3:$H$202,発注・納品!$B$3:$B$202,$A39))</f>
        <v/>
      </c>
      <c r="U39" s="23" t="str">
        <f aca="false">IF($Q39="","",N($S39)+N($T39))</f>
        <v/>
      </c>
      <c r="V39" s="23" t="str">
        <f aca="false">IF($Q39="","",$Q39-N($U39))</f>
        <v/>
      </c>
      <c r="W39" s="25" t="str">
        <f aca="false">IF(N($Q39)=0,"",$V39/$Q39)</f>
        <v/>
      </c>
      <c r="X39" s="26" t="str">
        <f aca="false">IF($A39="","",COUNTIFS(発注・納品!$B$3:$B$202,$A39))</f>
        <v/>
      </c>
      <c r="Y39" s="26" t="str">
        <f aca="false">IF($A39="","",COUNTIFS(発注・納品!$B$3:$B$202,$A39,発注・納品!$M$3:$M$202,""))</f>
        <v/>
      </c>
      <c r="Z39" s="27" t="str">
        <f aca="false">IF(N($X39)=0,"",IF(_xlfn.MAXIFS(発注・納品!$M$3:$M$202,発注・納品!$B$3:$B$202,$A39)=0,"",_xlfn.MAXIFS(発注・納品!$M$3:$M$202,発注・納品!$B$3:$B$202,$A39)))</f>
        <v/>
      </c>
      <c r="AA39" s="28" t="str">
        <f aca="false">IF($A39="","",IF(N($X39)=0,"機器なし",IF(N($Y39)&gt;0,"入荷待ち",IF(COUNTIFS(発注・納品!$B$3:$B$202,$A39,発注・納品!$N$3:$N$202,"")&gt;0,"受入待ち","受入完了"))))</f>
        <v/>
      </c>
      <c r="AB39" s="26" t="str">
        <f aca="false">IF($A39="","",COUNTIFS(現地作業!$A$3:$A$202,$A39,現地作業!$L$3:$L$202,"予定"))</f>
        <v/>
      </c>
      <c r="AC39" s="26" t="str">
        <f aca="false">IF($A39="","",COUNTIFS(現地作業!$A$3:$A$202,$A39,現地作業!$L$3:$L$202,"完了"))</f>
        <v/>
      </c>
      <c r="AD39" s="27" t="str">
        <f aca="true">IF(N($AB39)=0,"",IF(_xlfn.MINIFS(現地作業!$C$3:$C$202,現地作業!$A$3:$A$202,$A39,現地作業!$L$3:$L$202,"予定",現地作業!$C$3:$C$202,"&gt;="&amp;TODAY())=0,"",_xlfn.MINIFS(現地作業!$C$3:$C$202,現地作業!$A$3:$A$202,$A39,現地作業!$L$3:$L$202,"予定",現地作業!$C$3:$C$202,"&gt;="&amp;TODAY())))</f>
        <v/>
      </c>
      <c r="AE39" s="39"/>
      <c r="AF39" s="30" t="str">
        <f aca="false">IF($A39="","",SUM(月次工数計画!$G$44:$AD$44))</f>
        <v/>
      </c>
      <c r="AG39" s="30" t="str">
        <f aca="false">IF($A39="","",SUMIFS(工数明細!$G$3:$G$302,工数明細!$B$3:$B$302,$A39))</f>
        <v/>
      </c>
      <c r="AH39" s="31" t="str">
        <f aca="false">IF($AE39="","",$AE39-N($AG39))</f>
        <v/>
      </c>
      <c r="AI39" s="25" t="str">
        <f aca="false">IF(N($AE39)=0,"",$AG39/$AE39)</f>
        <v/>
      </c>
      <c r="AJ39" s="20" t="str">
        <f aca="false">IF(N($AE39)=0,"",IF($AG39&gt;$AE39,"超過",IF($AG39&gt;=$AE39*0.9,"注意","適正")))</f>
        <v/>
      </c>
      <c r="AK39" s="34"/>
    </row>
    <row r="40" customFormat="false" ht="18" hidden="false" customHeight="true" outlineLevel="0" collapsed="false">
      <c r="A40" s="33"/>
      <c r="B40" s="34"/>
      <c r="C40" s="34"/>
      <c r="D40" s="34"/>
      <c r="E40" s="34"/>
      <c r="F40" s="35"/>
      <c r="G40" s="34"/>
      <c r="H40" s="34"/>
      <c r="I40" s="36"/>
      <c r="J40" s="37"/>
      <c r="K40" s="37"/>
      <c r="L40" s="37"/>
      <c r="M40" s="37"/>
      <c r="N40" s="19" t="str">
        <f aca="false">IF($J40="","",YEAR($J40)-IF(MONTH($J40)&lt;マスタ!$B$4,1,0))</f>
        <v/>
      </c>
      <c r="O40" s="20" t="str">
        <f aca="false">IF($J40="","","Q"&amp;(INT(MOD(MONTH($J40)-マスタ!$B$4+12,12)/3)+1))</f>
        <v/>
      </c>
      <c r="P40" s="21" t="str">
        <f aca="true">IF($L40="","",IF($M40&lt;&gt;"",$M40-$L40,IF(TODAY()&gt;$L40,TODAY()-$L40,0)))</f>
        <v/>
      </c>
      <c r="Q40" s="38"/>
      <c r="R40" s="23" t="str">
        <f aca="false">IF($Q40="","",$Q40*N($F40))</f>
        <v/>
      </c>
      <c r="S40" s="38"/>
      <c r="T40" s="24" t="str">
        <f aca="false">IF($A40="","",SUMIFS(発注・納品!$H$3:$H$202,発注・納品!$B$3:$B$202,$A40))</f>
        <v/>
      </c>
      <c r="U40" s="23" t="str">
        <f aca="false">IF($Q40="","",N($S40)+N($T40))</f>
        <v/>
      </c>
      <c r="V40" s="23" t="str">
        <f aca="false">IF($Q40="","",$Q40-N($U40))</f>
        <v/>
      </c>
      <c r="W40" s="25" t="str">
        <f aca="false">IF(N($Q40)=0,"",$V40/$Q40)</f>
        <v/>
      </c>
      <c r="X40" s="26" t="str">
        <f aca="false">IF($A40="","",COUNTIFS(発注・納品!$B$3:$B$202,$A40))</f>
        <v/>
      </c>
      <c r="Y40" s="26" t="str">
        <f aca="false">IF($A40="","",COUNTIFS(発注・納品!$B$3:$B$202,$A40,発注・納品!$M$3:$M$202,""))</f>
        <v/>
      </c>
      <c r="Z40" s="27" t="str">
        <f aca="false">IF(N($X40)=0,"",IF(_xlfn.MAXIFS(発注・納品!$M$3:$M$202,発注・納品!$B$3:$B$202,$A40)=0,"",_xlfn.MAXIFS(発注・納品!$M$3:$M$202,発注・納品!$B$3:$B$202,$A40)))</f>
        <v/>
      </c>
      <c r="AA40" s="28" t="str">
        <f aca="false">IF($A40="","",IF(N($X40)=0,"機器なし",IF(N($Y40)&gt;0,"入荷待ち",IF(COUNTIFS(発注・納品!$B$3:$B$202,$A40,発注・納品!$N$3:$N$202,"")&gt;0,"受入待ち","受入完了"))))</f>
        <v/>
      </c>
      <c r="AB40" s="26" t="str">
        <f aca="false">IF($A40="","",COUNTIFS(現地作業!$A$3:$A$202,$A40,現地作業!$L$3:$L$202,"予定"))</f>
        <v/>
      </c>
      <c r="AC40" s="26" t="str">
        <f aca="false">IF($A40="","",COUNTIFS(現地作業!$A$3:$A$202,$A40,現地作業!$L$3:$L$202,"完了"))</f>
        <v/>
      </c>
      <c r="AD40" s="27" t="str">
        <f aca="true">IF(N($AB40)=0,"",IF(_xlfn.MINIFS(現地作業!$C$3:$C$202,現地作業!$A$3:$A$202,$A40,現地作業!$L$3:$L$202,"予定",現地作業!$C$3:$C$202,"&gt;="&amp;TODAY())=0,"",_xlfn.MINIFS(現地作業!$C$3:$C$202,現地作業!$A$3:$A$202,$A40,現地作業!$L$3:$L$202,"予定",現地作業!$C$3:$C$202,"&gt;="&amp;TODAY())))</f>
        <v/>
      </c>
      <c r="AE40" s="39"/>
      <c r="AF40" s="30" t="str">
        <f aca="false">IF($A40="","",SUM(月次工数計画!$G$45:$AD$45))</f>
        <v/>
      </c>
      <c r="AG40" s="30" t="str">
        <f aca="false">IF($A40="","",SUMIFS(工数明細!$G$3:$G$302,工数明細!$B$3:$B$302,$A40))</f>
        <v/>
      </c>
      <c r="AH40" s="31" t="str">
        <f aca="false">IF($AE40="","",$AE40-N($AG40))</f>
        <v/>
      </c>
      <c r="AI40" s="25" t="str">
        <f aca="false">IF(N($AE40)=0,"",$AG40/$AE40)</f>
        <v/>
      </c>
      <c r="AJ40" s="20" t="str">
        <f aca="false">IF(N($AE40)=0,"",IF($AG40&gt;$AE40,"超過",IF($AG40&gt;=$AE40*0.9,"注意","適正")))</f>
        <v/>
      </c>
      <c r="AK40" s="34"/>
    </row>
    <row r="41" customFormat="false" ht="18" hidden="false" customHeight="true" outlineLevel="0" collapsed="false">
      <c r="A41" s="33"/>
      <c r="B41" s="34"/>
      <c r="C41" s="34"/>
      <c r="D41" s="34"/>
      <c r="E41" s="34"/>
      <c r="F41" s="35"/>
      <c r="G41" s="34"/>
      <c r="H41" s="34"/>
      <c r="I41" s="36"/>
      <c r="J41" s="37"/>
      <c r="K41" s="37"/>
      <c r="L41" s="37"/>
      <c r="M41" s="37"/>
      <c r="N41" s="19" t="str">
        <f aca="false">IF($J41="","",YEAR($J41)-IF(MONTH($J41)&lt;マスタ!$B$4,1,0))</f>
        <v/>
      </c>
      <c r="O41" s="20" t="str">
        <f aca="false">IF($J41="","","Q"&amp;(INT(MOD(MONTH($J41)-マスタ!$B$4+12,12)/3)+1))</f>
        <v/>
      </c>
      <c r="P41" s="21" t="str">
        <f aca="true">IF($L41="","",IF($M41&lt;&gt;"",$M41-$L41,IF(TODAY()&gt;$L41,TODAY()-$L41,0)))</f>
        <v/>
      </c>
      <c r="Q41" s="38"/>
      <c r="R41" s="23" t="str">
        <f aca="false">IF($Q41="","",$Q41*N($F41))</f>
        <v/>
      </c>
      <c r="S41" s="38"/>
      <c r="T41" s="24" t="str">
        <f aca="false">IF($A41="","",SUMIFS(発注・納品!$H$3:$H$202,発注・納品!$B$3:$B$202,$A41))</f>
        <v/>
      </c>
      <c r="U41" s="23" t="str">
        <f aca="false">IF($Q41="","",N($S41)+N($T41))</f>
        <v/>
      </c>
      <c r="V41" s="23" t="str">
        <f aca="false">IF($Q41="","",$Q41-N($U41))</f>
        <v/>
      </c>
      <c r="W41" s="25" t="str">
        <f aca="false">IF(N($Q41)=0,"",$V41/$Q41)</f>
        <v/>
      </c>
      <c r="X41" s="26" t="str">
        <f aca="false">IF($A41="","",COUNTIFS(発注・納品!$B$3:$B$202,$A41))</f>
        <v/>
      </c>
      <c r="Y41" s="26" t="str">
        <f aca="false">IF($A41="","",COUNTIFS(発注・納品!$B$3:$B$202,$A41,発注・納品!$M$3:$M$202,""))</f>
        <v/>
      </c>
      <c r="Z41" s="27" t="str">
        <f aca="false">IF(N($X41)=0,"",IF(_xlfn.MAXIFS(発注・納品!$M$3:$M$202,発注・納品!$B$3:$B$202,$A41)=0,"",_xlfn.MAXIFS(発注・納品!$M$3:$M$202,発注・納品!$B$3:$B$202,$A41)))</f>
        <v/>
      </c>
      <c r="AA41" s="28" t="str">
        <f aca="false">IF($A41="","",IF(N($X41)=0,"機器なし",IF(N($Y41)&gt;0,"入荷待ち",IF(COUNTIFS(発注・納品!$B$3:$B$202,$A41,発注・納品!$N$3:$N$202,"")&gt;0,"受入待ち","受入完了"))))</f>
        <v/>
      </c>
      <c r="AB41" s="26" t="str">
        <f aca="false">IF($A41="","",COUNTIFS(現地作業!$A$3:$A$202,$A41,現地作業!$L$3:$L$202,"予定"))</f>
        <v/>
      </c>
      <c r="AC41" s="26" t="str">
        <f aca="false">IF($A41="","",COUNTIFS(現地作業!$A$3:$A$202,$A41,現地作業!$L$3:$L$202,"完了"))</f>
        <v/>
      </c>
      <c r="AD41" s="27" t="str">
        <f aca="true">IF(N($AB41)=0,"",IF(_xlfn.MINIFS(現地作業!$C$3:$C$202,現地作業!$A$3:$A$202,$A41,現地作業!$L$3:$L$202,"予定",現地作業!$C$3:$C$202,"&gt;="&amp;TODAY())=0,"",_xlfn.MINIFS(現地作業!$C$3:$C$202,現地作業!$A$3:$A$202,$A41,現地作業!$L$3:$L$202,"予定",現地作業!$C$3:$C$202,"&gt;="&amp;TODAY())))</f>
        <v/>
      </c>
      <c r="AE41" s="39"/>
      <c r="AF41" s="30" t="str">
        <f aca="false">IF($A41="","",SUM(月次工数計画!$G$46:$AD$46))</f>
        <v/>
      </c>
      <c r="AG41" s="30" t="str">
        <f aca="false">IF($A41="","",SUMIFS(工数明細!$G$3:$G$302,工数明細!$B$3:$B$302,$A41))</f>
        <v/>
      </c>
      <c r="AH41" s="31" t="str">
        <f aca="false">IF($AE41="","",$AE41-N($AG41))</f>
        <v/>
      </c>
      <c r="AI41" s="25" t="str">
        <f aca="false">IF(N($AE41)=0,"",$AG41/$AE41)</f>
        <v/>
      </c>
      <c r="AJ41" s="20" t="str">
        <f aca="false">IF(N($AE41)=0,"",IF($AG41&gt;$AE41,"超過",IF($AG41&gt;=$AE41*0.9,"注意","適正")))</f>
        <v/>
      </c>
      <c r="AK41" s="34"/>
    </row>
    <row r="42" customFormat="false" ht="18" hidden="false" customHeight="true" outlineLevel="0" collapsed="false">
      <c r="A42" s="33"/>
      <c r="B42" s="34"/>
      <c r="C42" s="34"/>
      <c r="D42" s="34"/>
      <c r="E42" s="34"/>
      <c r="F42" s="35"/>
      <c r="G42" s="34"/>
      <c r="H42" s="34"/>
      <c r="I42" s="36"/>
      <c r="J42" s="37"/>
      <c r="K42" s="37"/>
      <c r="L42" s="37"/>
      <c r="M42" s="37"/>
      <c r="N42" s="19" t="str">
        <f aca="false">IF($J42="","",YEAR($J42)-IF(MONTH($J42)&lt;マスタ!$B$4,1,0))</f>
        <v/>
      </c>
      <c r="O42" s="20" t="str">
        <f aca="false">IF($J42="","","Q"&amp;(INT(MOD(MONTH($J42)-マスタ!$B$4+12,12)/3)+1))</f>
        <v/>
      </c>
      <c r="P42" s="21" t="str">
        <f aca="true">IF($L42="","",IF($M42&lt;&gt;"",$M42-$L42,IF(TODAY()&gt;$L42,TODAY()-$L42,0)))</f>
        <v/>
      </c>
      <c r="Q42" s="38"/>
      <c r="R42" s="23" t="str">
        <f aca="false">IF($Q42="","",$Q42*N($F42))</f>
        <v/>
      </c>
      <c r="S42" s="38"/>
      <c r="T42" s="24" t="str">
        <f aca="false">IF($A42="","",SUMIFS(発注・納品!$H$3:$H$202,発注・納品!$B$3:$B$202,$A42))</f>
        <v/>
      </c>
      <c r="U42" s="23" t="str">
        <f aca="false">IF($Q42="","",N($S42)+N($T42))</f>
        <v/>
      </c>
      <c r="V42" s="23" t="str">
        <f aca="false">IF($Q42="","",$Q42-N($U42))</f>
        <v/>
      </c>
      <c r="W42" s="25" t="str">
        <f aca="false">IF(N($Q42)=0,"",$V42/$Q42)</f>
        <v/>
      </c>
      <c r="X42" s="26" t="str">
        <f aca="false">IF($A42="","",COUNTIFS(発注・納品!$B$3:$B$202,$A42))</f>
        <v/>
      </c>
      <c r="Y42" s="26" t="str">
        <f aca="false">IF($A42="","",COUNTIFS(発注・納品!$B$3:$B$202,$A42,発注・納品!$M$3:$M$202,""))</f>
        <v/>
      </c>
      <c r="Z42" s="27" t="str">
        <f aca="false">IF(N($X42)=0,"",IF(_xlfn.MAXIFS(発注・納品!$M$3:$M$202,発注・納品!$B$3:$B$202,$A42)=0,"",_xlfn.MAXIFS(発注・納品!$M$3:$M$202,発注・納品!$B$3:$B$202,$A42)))</f>
        <v/>
      </c>
      <c r="AA42" s="28" t="str">
        <f aca="false">IF($A42="","",IF(N($X42)=0,"機器なし",IF(N($Y42)&gt;0,"入荷待ち",IF(COUNTIFS(発注・納品!$B$3:$B$202,$A42,発注・納品!$N$3:$N$202,"")&gt;0,"受入待ち","受入完了"))))</f>
        <v/>
      </c>
      <c r="AB42" s="26" t="str">
        <f aca="false">IF($A42="","",COUNTIFS(現地作業!$A$3:$A$202,$A42,現地作業!$L$3:$L$202,"予定"))</f>
        <v/>
      </c>
      <c r="AC42" s="26" t="str">
        <f aca="false">IF($A42="","",COUNTIFS(現地作業!$A$3:$A$202,$A42,現地作業!$L$3:$L$202,"完了"))</f>
        <v/>
      </c>
      <c r="AD42" s="27" t="str">
        <f aca="true">IF(N($AB42)=0,"",IF(_xlfn.MINIFS(現地作業!$C$3:$C$202,現地作業!$A$3:$A$202,$A42,現地作業!$L$3:$L$202,"予定",現地作業!$C$3:$C$202,"&gt;="&amp;TODAY())=0,"",_xlfn.MINIFS(現地作業!$C$3:$C$202,現地作業!$A$3:$A$202,$A42,現地作業!$L$3:$L$202,"予定",現地作業!$C$3:$C$202,"&gt;="&amp;TODAY())))</f>
        <v/>
      </c>
      <c r="AE42" s="39"/>
      <c r="AF42" s="30" t="str">
        <f aca="false">IF($A42="","",SUM(月次工数計画!$G$47:$AD$47))</f>
        <v/>
      </c>
      <c r="AG42" s="30" t="str">
        <f aca="false">IF($A42="","",SUMIFS(工数明細!$G$3:$G$302,工数明細!$B$3:$B$302,$A42))</f>
        <v/>
      </c>
      <c r="AH42" s="31" t="str">
        <f aca="false">IF($AE42="","",$AE42-N($AG42))</f>
        <v/>
      </c>
      <c r="AI42" s="25" t="str">
        <f aca="false">IF(N($AE42)=0,"",$AG42/$AE42)</f>
        <v/>
      </c>
      <c r="AJ42" s="20" t="str">
        <f aca="false">IF(N($AE42)=0,"",IF($AG42&gt;$AE42,"超過",IF($AG42&gt;=$AE42*0.9,"注意","適正")))</f>
        <v/>
      </c>
      <c r="AK42" s="34"/>
    </row>
    <row r="43" customFormat="false" ht="18" hidden="false" customHeight="true" outlineLevel="0" collapsed="false">
      <c r="A43" s="33"/>
      <c r="B43" s="34"/>
      <c r="C43" s="34"/>
      <c r="D43" s="34"/>
      <c r="E43" s="34"/>
      <c r="F43" s="35"/>
      <c r="G43" s="34"/>
      <c r="H43" s="34"/>
      <c r="I43" s="36"/>
      <c r="J43" s="37"/>
      <c r="K43" s="37"/>
      <c r="L43" s="37"/>
      <c r="M43" s="37"/>
      <c r="N43" s="19" t="str">
        <f aca="false">IF($J43="","",YEAR($J43)-IF(MONTH($J43)&lt;マスタ!$B$4,1,0))</f>
        <v/>
      </c>
      <c r="O43" s="20" t="str">
        <f aca="false">IF($J43="","","Q"&amp;(INT(MOD(MONTH($J43)-マスタ!$B$4+12,12)/3)+1))</f>
        <v/>
      </c>
      <c r="P43" s="21" t="str">
        <f aca="true">IF($L43="","",IF($M43&lt;&gt;"",$M43-$L43,IF(TODAY()&gt;$L43,TODAY()-$L43,0)))</f>
        <v/>
      </c>
      <c r="Q43" s="38"/>
      <c r="R43" s="23" t="str">
        <f aca="false">IF($Q43="","",$Q43*N($F43))</f>
        <v/>
      </c>
      <c r="S43" s="38"/>
      <c r="T43" s="24" t="str">
        <f aca="false">IF($A43="","",SUMIFS(発注・納品!$H$3:$H$202,発注・納品!$B$3:$B$202,$A43))</f>
        <v/>
      </c>
      <c r="U43" s="23" t="str">
        <f aca="false">IF($Q43="","",N($S43)+N($T43))</f>
        <v/>
      </c>
      <c r="V43" s="23" t="str">
        <f aca="false">IF($Q43="","",$Q43-N($U43))</f>
        <v/>
      </c>
      <c r="W43" s="25" t="str">
        <f aca="false">IF(N($Q43)=0,"",$V43/$Q43)</f>
        <v/>
      </c>
      <c r="X43" s="26" t="str">
        <f aca="false">IF($A43="","",COUNTIFS(発注・納品!$B$3:$B$202,$A43))</f>
        <v/>
      </c>
      <c r="Y43" s="26" t="str">
        <f aca="false">IF($A43="","",COUNTIFS(発注・納品!$B$3:$B$202,$A43,発注・納品!$M$3:$M$202,""))</f>
        <v/>
      </c>
      <c r="Z43" s="27" t="str">
        <f aca="false">IF(N($X43)=0,"",IF(_xlfn.MAXIFS(発注・納品!$M$3:$M$202,発注・納品!$B$3:$B$202,$A43)=0,"",_xlfn.MAXIFS(発注・納品!$M$3:$M$202,発注・納品!$B$3:$B$202,$A43)))</f>
        <v/>
      </c>
      <c r="AA43" s="28" t="str">
        <f aca="false">IF($A43="","",IF(N($X43)=0,"機器なし",IF(N($Y43)&gt;0,"入荷待ち",IF(COUNTIFS(発注・納品!$B$3:$B$202,$A43,発注・納品!$N$3:$N$202,"")&gt;0,"受入待ち","受入完了"))))</f>
        <v/>
      </c>
      <c r="AB43" s="26" t="str">
        <f aca="false">IF($A43="","",COUNTIFS(現地作業!$A$3:$A$202,$A43,現地作業!$L$3:$L$202,"予定"))</f>
        <v/>
      </c>
      <c r="AC43" s="26" t="str">
        <f aca="false">IF($A43="","",COUNTIFS(現地作業!$A$3:$A$202,$A43,現地作業!$L$3:$L$202,"完了"))</f>
        <v/>
      </c>
      <c r="AD43" s="27" t="str">
        <f aca="true">IF(N($AB43)=0,"",IF(_xlfn.MINIFS(現地作業!$C$3:$C$202,現地作業!$A$3:$A$202,$A43,現地作業!$L$3:$L$202,"予定",現地作業!$C$3:$C$202,"&gt;="&amp;TODAY())=0,"",_xlfn.MINIFS(現地作業!$C$3:$C$202,現地作業!$A$3:$A$202,$A43,現地作業!$L$3:$L$202,"予定",現地作業!$C$3:$C$202,"&gt;="&amp;TODAY())))</f>
        <v/>
      </c>
      <c r="AE43" s="39"/>
      <c r="AF43" s="30" t="str">
        <f aca="false">IF($A43="","",SUM(月次工数計画!$G$48:$AD$48))</f>
        <v/>
      </c>
      <c r="AG43" s="30" t="str">
        <f aca="false">IF($A43="","",SUMIFS(工数明細!$G$3:$G$302,工数明細!$B$3:$B$302,$A43))</f>
        <v/>
      </c>
      <c r="AH43" s="31" t="str">
        <f aca="false">IF($AE43="","",$AE43-N($AG43))</f>
        <v/>
      </c>
      <c r="AI43" s="25" t="str">
        <f aca="false">IF(N($AE43)=0,"",$AG43/$AE43)</f>
        <v/>
      </c>
      <c r="AJ43" s="20" t="str">
        <f aca="false">IF(N($AE43)=0,"",IF($AG43&gt;$AE43,"超過",IF($AG43&gt;=$AE43*0.9,"注意","適正")))</f>
        <v/>
      </c>
      <c r="AK43" s="34"/>
    </row>
    <row r="44" customFormat="false" ht="18" hidden="false" customHeight="true" outlineLevel="0" collapsed="false">
      <c r="A44" s="33"/>
      <c r="B44" s="34"/>
      <c r="C44" s="34"/>
      <c r="D44" s="34"/>
      <c r="E44" s="34"/>
      <c r="F44" s="35"/>
      <c r="G44" s="34"/>
      <c r="H44" s="34"/>
      <c r="I44" s="36"/>
      <c r="J44" s="37"/>
      <c r="K44" s="37"/>
      <c r="L44" s="37"/>
      <c r="M44" s="37"/>
      <c r="N44" s="19" t="str">
        <f aca="false">IF($J44="","",YEAR($J44)-IF(MONTH($J44)&lt;マスタ!$B$4,1,0))</f>
        <v/>
      </c>
      <c r="O44" s="20" t="str">
        <f aca="false">IF($J44="","","Q"&amp;(INT(MOD(MONTH($J44)-マスタ!$B$4+12,12)/3)+1))</f>
        <v/>
      </c>
      <c r="P44" s="21" t="str">
        <f aca="true">IF($L44="","",IF($M44&lt;&gt;"",$M44-$L44,IF(TODAY()&gt;$L44,TODAY()-$L44,0)))</f>
        <v/>
      </c>
      <c r="Q44" s="38"/>
      <c r="R44" s="23" t="str">
        <f aca="false">IF($Q44="","",$Q44*N($F44))</f>
        <v/>
      </c>
      <c r="S44" s="38"/>
      <c r="T44" s="24" t="str">
        <f aca="false">IF($A44="","",SUMIFS(発注・納品!$H$3:$H$202,発注・納品!$B$3:$B$202,$A44))</f>
        <v/>
      </c>
      <c r="U44" s="23" t="str">
        <f aca="false">IF($Q44="","",N($S44)+N($T44))</f>
        <v/>
      </c>
      <c r="V44" s="23" t="str">
        <f aca="false">IF($Q44="","",$Q44-N($U44))</f>
        <v/>
      </c>
      <c r="W44" s="25" t="str">
        <f aca="false">IF(N($Q44)=0,"",$V44/$Q44)</f>
        <v/>
      </c>
      <c r="X44" s="26" t="str">
        <f aca="false">IF($A44="","",COUNTIFS(発注・納品!$B$3:$B$202,$A44))</f>
        <v/>
      </c>
      <c r="Y44" s="26" t="str">
        <f aca="false">IF($A44="","",COUNTIFS(発注・納品!$B$3:$B$202,$A44,発注・納品!$M$3:$M$202,""))</f>
        <v/>
      </c>
      <c r="Z44" s="27" t="str">
        <f aca="false">IF(N($X44)=0,"",IF(_xlfn.MAXIFS(発注・納品!$M$3:$M$202,発注・納品!$B$3:$B$202,$A44)=0,"",_xlfn.MAXIFS(発注・納品!$M$3:$M$202,発注・納品!$B$3:$B$202,$A44)))</f>
        <v/>
      </c>
      <c r="AA44" s="28" t="str">
        <f aca="false">IF($A44="","",IF(N($X44)=0,"機器なし",IF(N($Y44)&gt;0,"入荷待ち",IF(COUNTIFS(発注・納品!$B$3:$B$202,$A44,発注・納品!$N$3:$N$202,"")&gt;0,"受入待ち","受入完了"))))</f>
        <v/>
      </c>
      <c r="AB44" s="26" t="str">
        <f aca="false">IF($A44="","",COUNTIFS(現地作業!$A$3:$A$202,$A44,現地作業!$L$3:$L$202,"予定"))</f>
        <v/>
      </c>
      <c r="AC44" s="26" t="str">
        <f aca="false">IF($A44="","",COUNTIFS(現地作業!$A$3:$A$202,$A44,現地作業!$L$3:$L$202,"完了"))</f>
        <v/>
      </c>
      <c r="AD44" s="27" t="str">
        <f aca="true">IF(N($AB44)=0,"",IF(_xlfn.MINIFS(現地作業!$C$3:$C$202,現地作業!$A$3:$A$202,$A44,現地作業!$L$3:$L$202,"予定",現地作業!$C$3:$C$202,"&gt;="&amp;TODAY())=0,"",_xlfn.MINIFS(現地作業!$C$3:$C$202,現地作業!$A$3:$A$202,$A44,現地作業!$L$3:$L$202,"予定",現地作業!$C$3:$C$202,"&gt;="&amp;TODAY())))</f>
        <v/>
      </c>
      <c r="AE44" s="39"/>
      <c r="AF44" s="30" t="str">
        <f aca="false">IF($A44="","",SUM(月次工数計画!$G$49:$AD$49))</f>
        <v/>
      </c>
      <c r="AG44" s="30" t="str">
        <f aca="false">IF($A44="","",SUMIFS(工数明細!$G$3:$G$302,工数明細!$B$3:$B$302,$A44))</f>
        <v/>
      </c>
      <c r="AH44" s="31" t="str">
        <f aca="false">IF($AE44="","",$AE44-N($AG44))</f>
        <v/>
      </c>
      <c r="AI44" s="25" t="str">
        <f aca="false">IF(N($AE44)=0,"",$AG44/$AE44)</f>
        <v/>
      </c>
      <c r="AJ44" s="20" t="str">
        <f aca="false">IF(N($AE44)=0,"",IF($AG44&gt;$AE44,"超過",IF($AG44&gt;=$AE44*0.9,"注意","適正")))</f>
        <v/>
      </c>
      <c r="AK44" s="34"/>
    </row>
    <row r="45" customFormat="false" ht="18" hidden="false" customHeight="true" outlineLevel="0" collapsed="false">
      <c r="A45" s="33"/>
      <c r="B45" s="34"/>
      <c r="C45" s="34"/>
      <c r="D45" s="34"/>
      <c r="E45" s="34"/>
      <c r="F45" s="35"/>
      <c r="G45" s="34"/>
      <c r="H45" s="34"/>
      <c r="I45" s="36"/>
      <c r="J45" s="37"/>
      <c r="K45" s="37"/>
      <c r="L45" s="37"/>
      <c r="M45" s="37"/>
      <c r="N45" s="19" t="str">
        <f aca="false">IF($J45="","",YEAR($J45)-IF(MONTH($J45)&lt;マスタ!$B$4,1,0))</f>
        <v/>
      </c>
      <c r="O45" s="20" t="str">
        <f aca="false">IF($J45="","","Q"&amp;(INT(MOD(MONTH($J45)-マスタ!$B$4+12,12)/3)+1))</f>
        <v/>
      </c>
      <c r="P45" s="21" t="str">
        <f aca="true">IF($L45="","",IF($M45&lt;&gt;"",$M45-$L45,IF(TODAY()&gt;$L45,TODAY()-$L45,0)))</f>
        <v/>
      </c>
      <c r="Q45" s="38"/>
      <c r="R45" s="23" t="str">
        <f aca="false">IF($Q45="","",$Q45*N($F45))</f>
        <v/>
      </c>
      <c r="S45" s="38"/>
      <c r="T45" s="24" t="str">
        <f aca="false">IF($A45="","",SUMIFS(発注・納品!$H$3:$H$202,発注・納品!$B$3:$B$202,$A45))</f>
        <v/>
      </c>
      <c r="U45" s="23" t="str">
        <f aca="false">IF($Q45="","",N($S45)+N($T45))</f>
        <v/>
      </c>
      <c r="V45" s="23" t="str">
        <f aca="false">IF($Q45="","",$Q45-N($U45))</f>
        <v/>
      </c>
      <c r="W45" s="25" t="str">
        <f aca="false">IF(N($Q45)=0,"",$V45/$Q45)</f>
        <v/>
      </c>
      <c r="X45" s="26" t="str">
        <f aca="false">IF($A45="","",COUNTIFS(発注・納品!$B$3:$B$202,$A45))</f>
        <v/>
      </c>
      <c r="Y45" s="26" t="str">
        <f aca="false">IF($A45="","",COUNTIFS(発注・納品!$B$3:$B$202,$A45,発注・納品!$M$3:$M$202,""))</f>
        <v/>
      </c>
      <c r="Z45" s="27" t="str">
        <f aca="false">IF(N($X45)=0,"",IF(_xlfn.MAXIFS(発注・納品!$M$3:$M$202,発注・納品!$B$3:$B$202,$A45)=0,"",_xlfn.MAXIFS(発注・納品!$M$3:$M$202,発注・納品!$B$3:$B$202,$A45)))</f>
        <v/>
      </c>
      <c r="AA45" s="28" t="str">
        <f aca="false">IF($A45="","",IF(N($X45)=0,"機器なし",IF(N($Y45)&gt;0,"入荷待ち",IF(COUNTIFS(発注・納品!$B$3:$B$202,$A45,発注・納品!$N$3:$N$202,"")&gt;0,"受入待ち","受入完了"))))</f>
        <v/>
      </c>
      <c r="AB45" s="26" t="str">
        <f aca="false">IF($A45="","",COUNTIFS(現地作業!$A$3:$A$202,$A45,現地作業!$L$3:$L$202,"予定"))</f>
        <v/>
      </c>
      <c r="AC45" s="26" t="str">
        <f aca="false">IF($A45="","",COUNTIFS(現地作業!$A$3:$A$202,$A45,現地作業!$L$3:$L$202,"完了"))</f>
        <v/>
      </c>
      <c r="AD45" s="27" t="str">
        <f aca="true">IF(N($AB45)=0,"",IF(_xlfn.MINIFS(現地作業!$C$3:$C$202,現地作業!$A$3:$A$202,$A45,現地作業!$L$3:$L$202,"予定",現地作業!$C$3:$C$202,"&gt;="&amp;TODAY())=0,"",_xlfn.MINIFS(現地作業!$C$3:$C$202,現地作業!$A$3:$A$202,$A45,現地作業!$L$3:$L$202,"予定",現地作業!$C$3:$C$202,"&gt;="&amp;TODAY())))</f>
        <v/>
      </c>
      <c r="AE45" s="39"/>
      <c r="AF45" s="30" t="str">
        <f aca="false">IF($A45="","",SUM(月次工数計画!$G$50:$AD$50))</f>
        <v/>
      </c>
      <c r="AG45" s="30" t="str">
        <f aca="false">IF($A45="","",SUMIFS(工数明細!$G$3:$G$302,工数明細!$B$3:$B$302,$A45))</f>
        <v/>
      </c>
      <c r="AH45" s="31" t="str">
        <f aca="false">IF($AE45="","",$AE45-N($AG45))</f>
        <v/>
      </c>
      <c r="AI45" s="25" t="str">
        <f aca="false">IF(N($AE45)=0,"",$AG45/$AE45)</f>
        <v/>
      </c>
      <c r="AJ45" s="20" t="str">
        <f aca="false">IF(N($AE45)=0,"",IF($AG45&gt;$AE45,"超過",IF($AG45&gt;=$AE45*0.9,"注意","適正")))</f>
        <v/>
      </c>
      <c r="AK45" s="34"/>
    </row>
    <row r="46" customFormat="false" ht="18" hidden="false" customHeight="true" outlineLevel="0" collapsed="false">
      <c r="A46" s="33"/>
      <c r="B46" s="34"/>
      <c r="C46" s="34"/>
      <c r="D46" s="34"/>
      <c r="E46" s="34"/>
      <c r="F46" s="35"/>
      <c r="G46" s="34"/>
      <c r="H46" s="34"/>
      <c r="I46" s="36"/>
      <c r="J46" s="37"/>
      <c r="K46" s="37"/>
      <c r="L46" s="37"/>
      <c r="M46" s="37"/>
      <c r="N46" s="19" t="str">
        <f aca="false">IF($J46="","",YEAR($J46)-IF(MONTH($J46)&lt;マスタ!$B$4,1,0))</f>
        <v/>
      </c>
      <c r="O46" s="20" t="str">
        <f aca="false">IF($J46="","","Q"&amp;(INT(MOD(MONTH($J46)-マスタ!$B$4+12,12)/3)+1))</f>
        <v/>
      </c>
      <c r="P46" s="21" t="str">
        <f aca="true">IF($L46="","",IF($M46&lt;&gt;"",$M46-$L46,IF(TODAY()&gt;$L46,TODAY()-$L46,0)))</f>
        <v/>
      </c>
      <c r="Q46" s="38"/>
      <c r="R46" s="23" t="str">
        <f aca="false">IF($Q46="","",$Q46*N($F46))</f>
        <v/>
      </c>
      <c r="S46" s="38"/>
      <c r="T46" s="24" t="str">
        <f aca="false">IF($A46="","",SUMIFS(発注・納品!$H$3:$H$202,発注・納品!$B$3:$B$202,$A46))</f>
        <v/>
      </c>
      <c r="U46" s="23" t="str">
        <f aca="false">IF($Q46="","",N($S46)+N($T46))</f>
        <v/>
      </c>
      <c r="V46" s="23" t="str">
        <f aca="false">IF($Q46="","",$Q46-N($U46))</f>
        <v/>
      </c>
      <c r="W46" s="25" t="str">
        <f aca="false">IF(N($Q46)=0,"",$V46/$Q46)</f>
        <v/>
      </c>
      <c r="X46" s="26" t="str">
        <f aca="false">IF($A46="","",COUNTIFS(発注・納品!$B$3:$B$202,$A46))</f>
        <v/>
      </c>
      <c r="Y46" s="26" t="str">
        <f aca="false">IF($A46="","",COUNTIFS(発注・納品!$B$3:$B$202,$A46,発注・納品!$M$3:$M$202,""))</f>
        <v/>
      </c>
      <c r="Z46" s="27" t="str">
        <f aca="false">IF(N($X46)=0,"",IF(_xlfn.MAXIFS(発注・納品!$M$3:$M$202,発注・納品!$B$3:$B$202,$A46)=0,"",_xlfn.MAXIFS(発注・納品!$M$3:$M$202,発注・納品!$B$3:$B$202,$A46)))</f>
        <v/>
      </c>
      <c r="AA46" s="28" t="str">
        <f aca="false">IF($A46="","",IF(N($X46)=0,"機器なし",IF(N($Y46)&gt;0,"入荷待ち",IF(COUNTIFS(発注・納品!$B$3:$B$202,$A46,発注・納品!$N$3:$N$202,"")&gt;0,"受入待ち","受入完了"))))</f>
        <v/>
      </c>
      <c r="AB46" s="26" t="str">
        <f aca="false">IF($A46="","",COUNTIFS(現地作業!$A$3:$A$202,$A46,現地作業!$L$3:$L$202,"予定"))</f>
        <v/>
      </c>
      <c r="AC46" s="26" t="str">
        <f aca="false">IF($A46="","",COUNTIFS(現地作業!$A$3:$A$202,$A46,現地作業!$L$3:$L$202,"完了"))</f>
        <v/>
      </c>
      <c r="AD46" s="27" t="str">
        <f aca="true">IF(N($AB46)=0,"",IF(_xlfn.MINIFS(現地作業!$C$3:$C$202,現地作業!$A$3:$A$202,$A46,現地作業!$L$3:$L$202,"予定",現地作業!$C$3:$C$202,"&gt;="&amp;TODAY())=0,"",_xlfn.MINIFS(現地作業!$C$3:$C$202,現地作業!$A$3:$A$202,$A46,現地作業!$L$3:$L$202,"予定",現地作業!$C$3:$C$202,"&gt;="&amp;TODAY())))</f>
        <v/>
      </c>
      <c r="AE46" s="39"/>
      <c r="AF46" s="30" t="str">
        <f aca="false">IF($A46="","",SUM(月次工数計画!$G$51:$AD$51))</f>
        <v/>
      </c>
      <c r="AG46" s="30" t="str">
        <f aca="false">IF($A46="","",SUMIFS(工数明細!$G$3:$G$302,工数明細!$B$3:$B$302,$A46))</f>
        <v/>
      </c>
      <c r="AH46" s="31" t="str">
        <f aca="false">IF($AE46="","",$AE46-N($AG46))</f>
        <v/>
      </c>
      <c r="AI46" s="25" t="str">
        <f aca="false">IF(N($AE46)=0,"",$AG46/$AE46)</f>
        <v/>
      </c>
      <c r="AJ46" s="20" t="str">
        <f aca="false">IF(N($AE46)=0,"",IF($AG46&gt;$AE46,"超過",IF($AG46&gt;=$AE46*0.9,"注意","適正")))</f>
        <v/>
      </c>
      <c r="AK46" s="34"/>
    </row>
    <row r="47" customFormat="false" ht="18" hidden="false" customHeight="true" outlineLevel="0" collapsed="false">
      <c r="A47" s="33"/>
      <c r="B47" s="34"/>
      <c r="C47" s="34"/>
      <c r="D47" s="34"/>
      <c r="E47" s="34"/>
      <c r="F47" s="35"/>
      <c r="G47" s="34"/>
      <c r="H47" s="34"/>
      <c r="I47" s="36"/>
      <c r="J47" s="37"/>
      <c r="K47" s="37"/>
      <c r="L47" s="37"/>
      <c r="M47" s="37"/>
      <c r="N47" s="19" t="str">
        <f aca="false">IF($J47="","",YEAR($J47)-IF(MONTH($J47)&lt;マスタ!$B$4,1,0))</f>
        <v/>
      </c>
      <c r="O47" s="20" t="str">
        <f aca="false">IF($J47="","","Q"&amp;(INT(MOD(MONTH($J47)-マスタ!$B$4+12,12)/3)+1))</f>
        <v/>
      </c>
      <c r="P47" s="21" t="str">
        <f aca="true">IF($L47="","",IF($M47&lt;&gt;"",$M47-$L47,IF(TODAY()&gt;$L47,TODAY()-$L47,0)))</f>
        <v/>
      </c>
      <c r="Q47" s="38"/>
      <c r="R47" s="23" t="str">
        <f aca="false">IF($Q47="","",$Q47*N($F47))</f>
        <v/>
      </c>
      <c r="S47" s="38"/>
      <c r="T47" s="24" t="str">
        <f aca="false">IF($A47="","",SUMIFS(発注・納品!$H$3:$H$202,発注・納品!$B$3:$B$202,$A47))</f>
        <v/>
      </c>
      <c r="U47" s="23" t="str">
        <f aca="false">IF($Q47="","",N($S47)+N($T47))</f>
        <v/>
      </c>
      <c r="V47" s="23" t="str">
        <f aca="false">IF($Q47="","",$Q47-N($U47))</f>
        <v/>
      </c>
      <c r="W47" s="25" t="str">
        <f aca="false">IF(N($Q47)=0,"",$V47/$Q47)</f>
        <v/>
      </c>
      <c r="X47" s="26" t="str">
        <f aca="false">IF($A47="","",COUNTIFS(発注・納品!$B$3:$B$202,$A47))</f>
        <v/>
      </c>
      <c r="Y47" s="26" t="str">
        <f aca="false">IF($A47="","",COUNTIFS(発注・納品!$B$3:$B$202,$A47,発注・納品!$M$3:$M$202,""))</f>
        <v/>
      </c>
      <c r="Z47" s="27" t="str">
        <f aca="false">IF(N($X47)=0,"",IF(_xlfn.MAXIFS(発注・納品!$M$3:$M$202,発注・納品!$B$3:$B$202,$A47)=0,"",_xlfn.MAXIFS(発注・納品!$M$3:$M$202,発注・納品!$B$3:$B$202,$A47)))</f>
        <v/>
      </c>
      <c r="AA47" s="28" t="str">
        <f aca="false">IF($A47="","",IF(N($X47)=0,"機器なし",IF(N($Y47)&gt;0,"入荷待ち",IF(COUNTIFS(発注・納品!$B$3:$B$202,$A47,発注・納品!$N$3:$N$202,"")&gt;0,"受入待ち","受入完了"))))</f>
        <v/>
      </c>
      <c r="AB47" s="26" t="str">
        <f aca="false">IF($A47="","",COUNTIFS(現地作業!$A$3:$A$202,$A47,現地作業!$L$3:$L$202,"予定"))</f>
        <v/>
      </c>
      <c r="AC47" s="26" t="str">
        <f aca="false">IF($A47="","",COUNTIFS(現地作業!$A$3:$A$202,$A47,現地作業!$L$3:$L$202,"完了"))</f>
        <v/>
      </c>
      <c r="AD47" s="27" t="str">
        <f aca="true">IF(N($AB47)=0,"",IF(_xlfn.MINIFS(現地作業!$C$3:$C$202,現地作業!$A$3:$A$202,$A47,現地作業!$L$3:$L$202,"予定",現地作業!$C$3:$C$202,"&gt;="&amp;TODAY())=0,"",_xlfn.MINIFS(現地作業!$C$3:$C$202,現地作業!$A$3:$A$202,$A47,現地作業!$L$3:$L$202,"予定",現地作業!$C$3:$C$202,"&gt;="&amp;TODAY())))</f>
        <v/>
      </c>
      <c r="AE47" s="39"/>
      <c r="AF47" s="30" t="str">
        <f aca="false">IF($A47="","",SUM(月次工数計画!$G$52:$AD$52))</f>
        <v/>
      </c>
      <c r="AG47" s="30" t="str">
        <f aca="false">IF($A47="","",SUMIFS(工数明細!$G$3:$G$302,工数明細!$B$3:$B$302,$A47))</f>
        <v/>
      </c>
      <c r="AH47" s="31" t="str">
        <f aca="false">IF($AE47="","",$AE47-N($AG47))</f>
        <v/>
      </c>
      <c r="AI47" s="25" t="str">
        <f aca="false">IF(N($AE47)=0,"",$AG47/$AE47)</f>
        <v/>
      </c>
      <c r="AJ47" s="20" t="str">
        <f aca="false">IF(N($AE47)=0,"",IF($AG47&gt;$AE47,"超過",IF($AG47&gt;=$AE47*0.9,"注意","適正")))</f>
        <v/>
      </c>
      <c r="AK47" s="34"/>
    </row>
    <row r="48" customFormat="false" ht="18" hidden="false" customHeight="true" outlineLevel="0" collapsed="false">
      <c r="A48" s="33"/>
      <c r="B48" s="34"/>
      <c r="C48" s="34"/>
      <c r="D48" s="34"/>
      <c r="E48" s="34"/>
      <c r="F48" s="35"/>
      <c r="G48" s="34"/>
      <c r="H48" s="34"/>
      <c r="I48" s="36"/>
      <c r="J48" s="37"/>
      <c r="K48" s="37"/>
      <c r="L48" s="37"/>
      <c r="M48" s="37"/>
      <c r="N48" s="19" t="str">
        <f aca="false">IF($J48="","",YEAR($J48)-IF(MONTH($J48)&lt;マスタ!$B$4,1,0))</f>
        <v/>
      </c>
      <c r="O48" s="20" t="str">
        <f aca="false">IF($J48="","","Q"&amp;(INT(MOD(MONTH($J48)-マスタ!$B$4+12,12)/3)+1))</f>
        <v/>
      </c>
      <c r="P48" s="21" t="str">
        <f aca="true">IF($L48="","",IF($M48&lt;&gt;"",$M48-$L48,IF(TODAY()&gt;$L48,TODAY()-$L48,0)))</f>
        <v/>
      </c>
      <c r="Q48" s="38"/>
      <c r="R48" s="23" t="str">
        <f aca="false">IF($Q48="","",$Q48*N($F48))</f>
        <v/>
      </c>
      <c r="S48" s="38"/>
      <c r="T48" s="24" t="str">
        <f aca="false">IF($A48="","",SUMIFS(発注・納品!$H$3:$H$202,発注・納品!$B$3:$B$202,$A48))</f>
        <v/>
      </c>
      <c r="U48" s="23" t="str">
        <f aca="false">IF($Q48="","",N($S48)+N($T48))</f>
        <v/>
      </c>
      <c r="V48" s="23" t="str">
        <f aca="false">IF($Q48="","",$Q48-N($U48))</f>
        <v/>
      </c>
      <c r="W48" s="25" t="str">
        <f aca="false">IF(N($Q48)=0,"",$V48/$Q48)</f>
        <v/>
      </c>
      <c r="X48" s="26" t="str">
        <f aca="false">IF($A48="","",COUNTIFS(発注・納品!$B$3:$B$202,$A48))</f>
        <v/>
      </c>
      <c r="Y48" s="26" t="str">
        <f aca="false">IF($A48="","",COUNTIFS(発注・納品!$B$3:$B$202,$A48,発注・納品!$M$3:$M$202,""))</f>
        <v/>
      </c>
      <c r="Z48" s="27" t="str">
        <f aca="false">IF(N($X48)=0,"",IF(_xlfn.MAXIFS(発注・納品!$M$3:$M$202,発注・納品!$B$3:$B$202,$A48)=0,"",_xlfn.MAXIFS(発注・納品!$M$3:$M$202,発注・納品!$B$3:$B$202,$A48)))</f>
        <v/>
      </c>
      <c r="AA48" s="28" t="str">
        <f aca="false">IF($A48="","",IF(N($X48)=0,"機器なし",IF(N($Y48)&gt;0,"入荷待ち",IF(COUNTIFS(発注・納品!$B$3:$B$202,$A48,発注・納品!$N$3:$N$202,"")&gt;0,"受入待ち","受入完了"))))</f>
        <v/>
      </c>
      <c r="AB48" s="26" t="str">
        <f aca="false">IF($A48="","",COUNTIFS(現地作業!$A$3:$A$202,$A48,現地作業!$L$3:$L$202,"予定"))</f>
        <v/>
      </c>
      <c r="AC48" s="26" t="str">
        <f aca="false">IF($A48="","",COUNTIFS(現地作業!$A$3:$A$202,$A48,現地作業!$L$3:$L$202,"完了"))</f>
        <v/>
      </c>
      <c r="AD48" s="27" t="str">
        <f aca="true">IF(N($AB48)=0,"",IF(_xlfn.MINIFS(現地作業!$C$3:$C$202,現地作業!$A$3:$A$202,$A48,現地作業!$L$3:$L$202,"予定",現地作業!$C$3:$C$202,"&gt;="&amp;TODAY())=0,"",_xlfn.MINIFS(現地作業!$C$3:$C$202,現地作業!$A$3:$A$202,$A48,現地作業!$L$3:$L$202,"予定",現地作業!$C$3:$C$202,"&gt;="&amp;TODAY())))</f>
        <v/>
      </c>
      <c r="AE48" s="39"/>
      <c r="AF48" s="30" t="str">
        <f aca="false">IF($A48="","",SUM(月次工数計画!$G$53:$AD$53))</f>
        <v/>
      </c>
      <c r="AG48" s="30" t="str">
        <f aca="false">IF($A48="","",SUMIFS(工数明細!$G$3:$G$302,工数明細!$B$3:$B$302,$A48))</f>
        <v/>
      </c>
      <c r="AH48" s="31" t="str">
        <f aca="false">IF($AE48="","",$AE48-N($AG48))</f>
        <v/>
      </c>
      <c r="AI48" s="25" t="str">
        <f aca="false">IF(N($AE48)=0,"",$AG48/$AE48)</f>
        <v/>
      </c>
      <c r="AJ48" s="20" t="str">
        <f aca="false">IF(N($AE48)=0,"",IF($AG48&gt;$AE48,"超過",IF($AG48&gt;=$AE48*0.9,"注意","適正")))</f>
        <v/>
      </c>
      <c r="AK48" s="34"/>
    </row>
    <row r="49" customFormat="false" ht="18" hidden="false" customHeight="true" outlineLevel="0" collapsed="false">
      <c r="A49" s="33"/>
      <c r="B49" s="34"/>
      <c r="C49" s="34"/>
      <c r="D49" s="34"/>
      <c r="E49" s="34"/>
      <c r="F49" s="35"/>
      <c r="G49" s="34"/>
      <c r="H49" s="34"/>
      <c r="I49" s="36"/>
      <c r="J49" s="37"/>
      <c r="K49" s="37"/>
      <c r="L49" s="37"/>
      <c r="M49" s="37"/>
      <c r="N49" s="19" t="str">
        <f aca="false">IF($J49="","",YEAR($J49)-IF(MONTH($J49)&lt;マスタ!$B$4,1,0))</f>
        <v/>
      </c>
      <c r="O49" s="20" t="str">
        <f aca="false">IF($J49="","","Q"&amp;(INT(MOD(MONTH($J49)-マスタ!$B$4+12,12)/3)+1))</f>
        <v/>
      </c>
      <c r="P49" s="21" t="str">
        <f aca="true">IF($L49="","",IF($M49&lt;&gt;"",$M49-$L49,IF(TODAY()&gt;$L49,TODAY()-$L49,0)))</f>
        <v/>
      </c>
      <c r="Q49" s="38"/>
      <c r="R49" s="23" t="str">
        <f aca="false">IF($Q49="","",$Q49*N($F49))</f>
        <v/>
      </c>
      <c r="S49" s="38"/>
      <c r="T49" s="24" t="str">
        <f aca="false">IF($A49="","",SUMIFS(発注・納品!$H$3:$H$202,発注・納品!$B$3:$B$202,$A49))</f>
        <v/>
      </c>
      <c r="U49" s="23" t="str">
        <f aca="false">IF($Q49="","",N($S49)+N($T49))</f>
        <v/>
      </c>
      <c r="V49" s="23" t="str">
        <f aca="false">IF($Q49="","",$Q49-N($U49))</f>
        <v/>
      </c>
      <c r="W49" s="25" t="str">
        <f aca="false">IF(N($Q49)=0,"",$V49/$Q49)</f>
        <v/>
      </c>
      <c r="X49" s="26" t="str">
        <f aca="false">IF($A49="","",COUNTIFS(発注・納品!$B$3:$B$202,$A49))</f>
        <v/>
      </c>
      <c r="Y49" s="26" t="str">
        <f aca="false">IF($A49="","",COUNTIFS(発注・納品!$B$3:$B$202,$A49,発注・納品!$M$3:$M$202,""))</f>
        <v/>
      </c>
      <c r="Z49" s="27" t="str">
        <f aca="false">IF(N($X49)=0,"",IF(_xlfn.MAXIFS(発注・納品!$M$3:$M$202,発注・納品!$B$3:$B$202,$A49)=0,"",_xlfn.MAXIFS(発注・納品!$M$3:$M$202,発注・納品!$B$3:$B$202,$A49)))</f>
        <v/>
      </c>
      <c r="AA49" s="28" t="str">
        <f aca="false">IF($A49="","",IF(N($X49)=0,"機器なし",IF(N($Y49)&gt;0,"入荷待ち",IF(COUNTIFS(発注・納品!$B$3:$B$202,$A49,発注・納品!$N$3:$N$202,"")&gt;0,"受入待ち","受入完了"))))</f>
        <v/>
      </c>
      <c r="AB49" s="26" t="str">
        <f aca="false">IF($A49="","",COUNTIFS(現地作業!$A$3:$A$202,$A49,現地作業!$L$3:$L$202,"予定"))</f>
        <v/>
      </c>
      <c r="AC49" s="26" t="str">
        <f aca="false">IF($A49="","",COUNTIFS(現地作業!$A$3:$A$202,$A49,現地作業!$L$3:$L$202,"完了"))</f>
        <v/>
      </c>
      <c r="AD49" s="27" t="str">
        <f aca="true">IF(N($AB49)=0,"",IF(_xlfn.MINIFS(現地作業!$C$3:$C$202,現地作業!$A$3:$A$202,$A49,現地作業!$L$3:$L$202,"予定",現地作業!$C$3:$C$202,"&gt;="&amp;TODAY())=0,"",_xlfn.MINIFS(現地作業!$C$3:$C$202,現地作業!$A$3:$A$202,$A49,現地作業!$L$3:$L$202,"予定",現地作業!$C$3:$C$202,"&gt;="&amp;TODAY())))</f>
        <v/>
      </c>
      <c r="AE49" s="39"/>
      <c r="AF49" s="30" t="str">
        <f aca="false">IF($A49="","",SUM(月次工数計画!$G$54:$AD$54))</f>
        <v/>
      </c>
      <c r="AG49" s="30" t="str">
        <f aca="false">IF($A49="","",SUMIFS(工数明細!$G$3:$G$302,工数明細!$B$3:$B$302,$A49))</f>
        <v/>
      </c>
      <c r="AH49" s="31" t="str">
        <f aca="false">IF($AE49="","",$AE49-N($AG49))</f>
        <v/>
      </c>
      <c r="AI49" s="25" t="str">
        <f aca="false">IF(N($AE49)=0,"",$AG49/$AE49)</f>
        <v/>
      </c>
      <c r="AJ49" s="20" t="str">
        <f aca="false">IF(N($AE49)=0,"",IF($AG49&gt;$AE49,"超過",IF($AG49&gt;=$AE49*0.9,"注意","適正")))</f>
        <v/>
      </c>
      <c r="AK49" s="34"/>
    </row>
    <row r="50" customFormat="false" ht="18" hidden="false" customHeight="true" outlineLevel="0" collapsed="false">
      <c r="A50" s="33"/>
      <c r="B50" s="34"/>
      <c r="C50" s="34"/>
      <c r="D50" s="34"/>
      <c r="E50" s="34"/>
      <c r="F50" s="35"/>
      <c r="G50" s="34"/>
      <c r="H50" s="34"/>
      <c r="I50" s="36"/>
      <c r="J50" s="37"/>
      <c r="K50" s="37"/>
      <c r="L50" s="37"/>
      <c r="M50" s="37"/>
      <c r="N50" s="19" t="str">
        <f aca="false">IF($J50="","",YEAR($J50)-IF(MONTH($J50)&lt;マスタ!$B$4,1,0))</f>
        <v/>
      </c>
      <c r="O50" s="20" t="str">
        <f aca="false">IF($J50="","","Q"&amp;(INT(MOD(MONTH($J50)-マスタ!$B$4+12,12)/3)+1))</f>
        <v/>
      </c>
      <c r="P50" s="21" t="str">
        <f aca="true">IF($L50="","",IF($M50&lt;&gt;"",$M50-$L50,IF(TODAY()&gt;$L50,TODAY()-$L50,0)))</f>
        <v/>
      </c>
      <c r="Q50" s="38"/>
      <c r="R50" s="23" t="str">
        <f aca="false">IF($Q50="","",$Q50*N($F50))</f>
        <v/>
      </c>
      <c r="S50" s="38"/>
      <c r="T50" s="24" t="str">
        <f aca="false">IF($A50="","",SUMIFS(発注・納品!$H$3:$H$202,発注・納品!$B$3:$B$202,$A50))</f>
        <v/>
      </c>
      <c r="U50" s="23" t="str">
        <f aca="false">IF($Q50="","",N($S50)+N($T50))</f>
        <v/>
      </c>
      <c r="V50" s="23" t="str">
        <f aca="false">IF($Q50="","",$Q50-N($U50))</f>
        <v/>
      </c>
      <c r="W50" s="25" t="str">
        <f aca="false">IF(N($Q50)=0,"",$V50/$Q50)</f>
        <v/>
      </c>
      <c r="X50" s="26" t="str">
        <f aca="false">IF($A50="","",COUNTIFS(発注・納品!$B$3:$B$202,$A50))</f>
        <v/>
      </c>
      <c r="Y50" s="26" t="str">
        <f aca="false">IF($A50="","",COUNTIFS(発注・納品!$B$3:$B$202,$A50,発注・納品!$M$3:$M$202,""))</f>
        <v/>
      </c>
      <c r="Z50" s="27" t="str">
        <f aca="false">IF(N($X50)=0,"",IF(_xlfn.MAXIFS(発注・納品!$M$3:$M$202,発注・納品!$B$3:$B$202,$A50)=0,"",_xlfn.MAXIFS(発注・納品!$M$3:$M$202,発注・納品!$B$3:$B$202,$A50)))</f>
        <v/>
      </c>
      <c r="AA50" s="28" t="str">
        <f aca="false">IF($A50="","",IF(N($X50)=0,"機器なし",IF(N($Y50)&gt;0,"入荷待ち",IF(COUNTIFS(発注・納品!$B$3:$B$202,$A50,発注・納品!$N$3:$N$202,"")&gt;0,"受入待ち","受入完了"))))</f>
        <v/>
      </c>
      <c r="AB50" s="26" t="str">
        <f aca="false">IF($A50="","",COUNTIFS(現地作業!$A$3:$A$202,$A50,現地作業!$L$3:$L$202,"予定"))</f>
        <v/>
      </c>
      <c r="AC50" s="26" t="str">
        <f aca="false">IF($A50="","",COUNTIFS(現地作業!$A$3:$A$202,$A50,現地作業!$L$3:$L$202,"完了"))</f>
        <v/>
      </c>
      <c r="AD50" s="27" t="str">
        <f aca="true">IF(N($AB50)=0,"",IF(_xlfn.MINIFS(現地作業!$C$3:$C$202,現地作業!$A$3:$A$202,$A50,現地作業!$L$3:$L$202,"予定",現地作業!$C$3:$C$202,"&gt;="&amp;TODAY())=0,"",_xlfn.MINIFS(現地作業!$C$3:$C$202,現地作業!$A$3:$A$202,$A50,現地作業!$L$3:$L$202,"予定",現地作業!$C$3:$C$202,"&gt;="&amp;TODAY())))</f>
        <v/>
      </c>
      <c r="AE50" s="39"/>
      <c r="AF50" s="30" t="str">
        <f aca="false">IF($A50="","",SUM(月次工数計画!$G$55:$AD$55))</f>
        <v/>
      </c>
      <c r="AG50" s="30" t="str">
        <f aca="false">IF($A50="","",SUMIFS(工数明細!$G$3:$G$302,工数明細!$B$3:$B$302,$A50))</f>
        <v/>
      </c>
      <c r="AH50" s="31" t="str">
        <f aca="false">IF($AE50="","",$AE50-N($AG50))</f>
        <v/>
      </c>
      <c r="AI50" s="25" t="str">
        <f aca="false">IF(N($AE50)=0,"",$AG50/$AE50)</f>
        <v/>
      </c>
      <c r="AJ50" s="20" t="str">
        <f aca="false">IF(N($AE50)=0,"",IF($AG50&gt;$AE50,"超過",IF($AG50&gt;=$AE50*0.9,"注意","適正")))</f>
        <v/>
      </c>
      <c r="AK50" s="34"/>
    </row>
    <row r="51" customFormat="false" ht="18" hidden="false" customHeight="true" outlineLevel="0" collapsed="false">
      <c r="A51" s="33"/>
      <c r="B51" s="34"/>
      <c r="C51" s="34"/>
      <c r="D51" s="34"/>
      <c r="E51" s="34"/>
      <c r="F51" s="35"/>
      <c r="G51" s="34"/>
      <c r="H51" s="34"/>
      <c r="I51" s="36"/>
      <c r="J51" s="37"/>
      <c r="K51" s="37"/>
      <c r="L51" s="37"/>
      <c r="M51" s="37"/>
      <c r="N51" s="19" t="str">
        <f aca="false">IF($J51="","",YEAR($J51)-IF(MONTH($J51)&lt;マスタ!$B$4,1,0))</f>
        <v/>
      </c>
      <c r="O51" s="20" t="str">
        <f aca="false">IF($J51="","","Q"&amp;(INT(MOD(MONTH($J51)-マスタ!$B$4+12,12)/3)+1))</f>
        <v/>
      </c>
      <c r="P51" s="21" t="str">
        <f aca="true">IF($L51="","",IF($M51&lt;&gt;"",$M51-$L51,IF(TODAY()&gt;$L51,TODAY()-$L51,0)))</f>
        <v/>
      </c>
      <c r="Q51" s="38"/>
      <c r="R51" s="23" t="str">
        <f aca="false">IF($Q51="","",$Q51*N($F51))</f>
        <v/>
      </c>
      <c r="S51" s="38"/>
      <c r="T51" s="24" t="str">
        <f aca="false">IF($A51="","",SUMIFS(発注・納品!$H$3:$H$202,発注・納品!$B$3:$B$202,$A51))</f>
        <v/>
      </c>
      <c r="U51" s="23" t="str">
        <f aca="false">IF($Q51="","",N($S51)+N($T51))</f>
        <v/>
      </c>
      <c r="V51" s="23" t="str">
        <f aca="false">IF($Q51="","",$Q51-N($U51))</f>
        <v/>
      </c>
      <c r="W51" s="25" t="str">
        <f aca="false">IF(N($Q51)=0,"",$V51/$Q51)</f>
        <v/>
      </c>
      <c r="X51" s="26" t="str">
        <f aca="false">IF($A51="","",COUNTIFS(発注・納品!$B$3:$B$202,$A51))</f>
        <v/>
      </c>
      <c r="Y51" s="26" t="str">
        <f aca="false">IF($A51="","",COUNTIFS(発注・納品!$B$3:$B$202,$A51,発注・納品!$M$3:$M$202,""))</f>
        <v/>
      </c>
      <c r="Z51" s="27" t="str">
        <f aca="false">IF(N($X51)=0,"",IF(_xlfn.MAXIFS(発注・納品!$M$3:$M$202,発注・納品!$B$3:$B$202,$A51)=0,"",_xlfn.MAXIFS(発注・納品!$M$3:$M$202,発注・納品!$B$3:$B$202,$A51)))</f>
        <v/>
      </c>
      <c r="AA51" s="28" t="str">
        <f aca="false">IF($A51="","",IF(N($X51)=0,"機器なし",IF(N($Y51)&gt;0,"入荷待ち",IF(COUNTIFS(発注・納品!$B$3:$B$202,$A51,発注・納品!$N$3:$N$202,"")&gt;0,"受入待ち","受入完了"))))</f>
        <v/>
      </c>
      <c r="AB51" s="26" t="str">
        <f aca="false">IF($A51="","",COUNTIFS(現地作業!$A$3:$A$202,$A51,現地作業!$L$3:$L$202,"予定"))</f>
        <v/>
      </c>
      <c r="AC51" s="26" t="str">
        <f aca="false">IF($A51="","",COUNTIFS(現地作業!$A$3:$A$202,$A51,現地作業!$L$3:$L$202,"完了"))</f>
        <v/>
      </c>
      <c r="AD51" s="27" t="str">
        <f aca="true">IF(N($AB51)=0,"",IF(_xlfn.MINIFS(現地作業!$C$3:$C$202,現地作業!$A$3:$A$202,$A51,現地作業!$L$3:$L$202,"予定",現地作業!$C$3:$C$202,"&gt;="&amp;TODAY())=0,"",_xlfn.MINIFS(現地作業!$C$3:$C$202,現地作業!$A$3:$A$202,$A51,現地作業!$L$3:$L$202,"予定",現地作業!$C$3:$C$202,"&gt;="&amp;TODAY())))</f>
        <v/>
      </c>
      <c r="AE51" s="39"/>
      <c r="AF51" s="30" t="str">
        <f aca="false">IF($A51="","",SUM(月次工数計画!$G$56:$AD$56))</f>
        <v/>
      </c>
      <c r="AG51" s="30" t="str">
        <f aca="false">IF($A51="","",SUMIFS(工数明細!$G$3:$G$302,工数明細!$B$3:$B$302,$A51))</f>
        <v/>
      </c>
      <c r="AH51" s="31" t="str">
        <f aca="false">IF($AE51="","",$AE51-N($AG51))</f>
        <v/>
      </c>
      <c r="AI51" s="25" t="str">
        <f aca="false">IF(N($AE51)=0,"",$AG51/$AE51)</f>
        <v/>
      </c>
      <c r="AJ51" s="20" t="str">
        <f aca="false">IF(N($AE51)=0,"",IF($AG51&gt;$AE51,"超過",IF($AG51&gt;=$AE51*0.9,"注意","適正")))</f>
        <v/>
      </c>
      <c r="AK51" s="34"/>
    </row>
    <row r="52" customFormat="false" ht="18" hidden="false" customHeight="true" outlineLevel="0" collapsed="false">
      <c r="A52" s="33"/>
      <c r="B52" s="34"/>
      <c r="C52" s="34"/>
      <c r="D52" s="34"/>
      <c r="E52" s="34"/>
      <c r="F52" s="35"/>
      <c r="G52" s="34"/>
      <c r="H52" s="34"/>
      <c r="I52" s="36"/>
      <c r="J52" s="37"/>
      <c r="K52" s="37"/>
      <c r="L52" s="37"/>
      <c r="M52" s="37"/>
      <c r="N52" s="19" t="str">
        <f aca="false">IF($J52="","",YEAR($J52)-IF(MONTH($J52)&lt;マスタ!$B$4,1,0))</f>
        <v/>
      </c>
      <c r="O52" s="20" t="str">
        <f aca="false">IF($J52="","","Q"&amp;(INT(MOD(MONTH($J52)-マスタ!$B$4+12,12)/3)+1))</f>
        <v/>
      </c>
      <c r="P52" s="21" t="str">
        <f aca="true">IF($L52="","",IF($M52&lt;&gt;"",$M52-$L52,IF(TODAY()&gt;$L52,TODAY()-$L52,0)))</f>
        <v/>
      </c>
      <c r="Q52" s="38"/>
      <c r="R52" s="23" t="str">
        <f aca="false">IF($Q52="","",$Q52*N($F52))</f>
        <v/>
      </c>
      <c r="S52" s="38"/>
      <c r="T52" s="24" t="str">
        <f aca="false">IF($A52="","",SUMIFS(発注・納品!$H$3:$H$202,発注・納品!$B$3:$B$202,$A52))</f>
        <v/>
      </c>
      <c r="U52" s="23" t="str">
        <f aca="false">IF($Q52="","",N($S52)+N($T52))</f>
        <v/>
      </c>
      <c r="V52" s="23" t="str">
        <f aca="false">IF($Q52="","",$Q52-N($U52))</f>
        <v/>
      </c>
      <c r="W52" s="25" t="str">
        <f aca="false">IF(N($Q52)=0,"",$V52/$Q52)</f>
        <v/>
      </c>
      <c r="X52" s="26" t="str">
        <f aca="false">IF($A52="","",COUNTIFS(発注・納品!$B$3:$B$202,$A52))</f>
        <v/>
      </c>
      <c r="Y52" s="26" t="str">
        <f aca="false">IF($A52="","",COUNTIFS(発注・納品!$B$3:$B$202,$A52,発注・納品!$M$3:$M$202,""))</f>
        <v/>
      </c>
      <c r="Z52" s="27" t="str">
        <f aca="false">IF(N($X52)=0,"",IF(_xlfn.MAXIFS(発注・納品!$M$3:$M$202,発注・納品!$B$3:$B$202,$A52)=0,"",_xlfn.MAXIFS(発注・納品!$M$3:$M$202,発注・納品!$B$3:$B$202,$A52)))</f>
        <v/>
      </c>
      <c r="AA52" s="28" t="str">
        <f aca="false">IF($A52="","",IF(N($X52)=0,"機器なし",IF(N($Y52)&gt;0,"入荷待ち",IF(COUNTIFS(発注・納品!$B$3:$B$202,$A52,発注・納品!$N$3:$N$202,"")&gt;0,"受入待ち","受入完了"))))</f>
        <v/>
      </c>
      <c r="AB52" s="26" t="str">
        <f aca="false">IF($A52="","",COUNTIFS(現地作業!$A$3:$A$202,$A52,現地作業!$L$3:$L$202,"予定"))</f>
        <v/>
      </c>
      <c r="AC52" s="26" t="str">
        <f aca="false">IF($A52="","",COUNTIFS(現地作業!$A$3:$A$202,$A52,現地作業!$L$3:$L$202,"完了"))</f>
        <v/>
      </c>
      <c r="AD52" s="27" t="str">
        <f aca="true">IF(N($AB52)=0,"",IF(_xlfn.MINIFS(現地作業!$C$3:$C$202,現地作業!$A$3:$A$202,$A52,現地作業!$L$3:$L$202,"予定",現地作業!$C$3:$C$202,"&gt;="&amp;TODAY())=0,"",_xlfn.MINIFS(現地作業!$C$3:$C$202,現地作業!$A$3:$A$202,$A52,現地作業!$L$3:$L$202,"予定",現地作業!$C$3:$C$202,"&gt;="&amp;TODAY())))</f>
        <v/>
      </c>
      <c r="AE52" s="39"/>
      <c r="AF52" s="30" t="str">
        <f aca="false">IF($A52="","",SUM(月次工数計画!$G$57:$AD$57))</f>
        <v/>
      </c>
      <c r="AG52" s="30" t="str">
        <f aca="false">IF($A52="","",SUMIFS(工数明細!$G$3:$G$302,工数明細!$B$3:$B$302,$A52))</f>
        <v/>
      </c>
      <c r="AH52" s="31" t="str">
        <f aca="false">IF($AE52="","",$AE52-N($AG52))</f>
        <v/>
      </c>
      <c r="AI52" s="25" t="str">
        <f aca="false">IF(N($AE52)=0,"",$AG52/$AE52)</f>
        <v/>
      </c>
      <c r="AJ52" s="20" t="str">
        <f aca="false">IF(N($AE52)=0,"",IF($AG52&gt;$AE52,"超過",IF($AG52&gt;=$AE52*0.9,"注意","適正")))</f>
        <v/>
      </c>
      <c r="AK52" s="34"/>
    </row>
    <row r="53" customFormat="false" ht="18" hidden="false" customHeight="true" outlineLevel="0" collapsed="false">
      <c r="A53" s="33"/>
      <c r="B53" s="34"/>
      <c r="C53" s="34"/>
      <c r="D53" s="34"/>
      <c r="E53" s="34"/>
      <c r="F53" s="35"/>
      <c r="G53" s="34"/>
      <c r="H53" s="34"/>
      <c r="I53" s="36"/>
      <c r="J53" s="37"/>
      <c r="K53" s="37"/>
      <c r="L53" s="37"/>
      <c r="M53" s="37"/>
      <c r="N53" s="19" t="str">
        <f aca="false">IF($J53="","",YEAR($J53)-IF(MONTH($J53)&lt;マスタ!$B$4,1,0))</f>
        <v/>
      </c>
      <c r="O53" s="20" t="str">
        <f aca="false">IF($J53="","","Q"&amp;(INT(MOD(MONTH($J53)-マスタ!$B$4+12,12)/3)+1))</f>
        <v/>
      </c>
      <c r="P53" s="21" t="str">
        <f aca="true">IF($L53="","",IF($M53&lt;&gt;"",$M53-$L53,IF(TODAY()&gt;$L53,TODAY()-$L53,0)))</f>
        <v/>
      </c>
      <c r="Q53" s="38"/>
      <c r="R53" s="23" t="str">
        <f aca="false">IF($Q53="","",$Q53*N($F53))</f>
        <v/>
      </c>
      <c r="S53" s="38"/>
      <c r="T53" s="24" t="str">
        <f aca="false">IF($A53="","",SUMIFS(発注・納品!$H$3:$H$202,発注・納品!$B$3:$B$202,$A53))</f>
        <v/>
      </c>
      <c r="U53" s="23" t="str">
        <f aca="false">IF($Q53="","",N($S53)+N($T53))</f>
        <v/>
      </c>
      <c r="V53" s="23" t="str">
        <f aca="false">IF($Q53="","",$Q53-N($U53))</f>
        <v/>
      </c>
      <c r="W53" s="25" t="str">
        <f aca="false">IF(N($Q53)=0,"",$V53/$Q53)</f>
        <v/>
      </c>
      <c r="X53" s="26" t="str">
        <f aca="false">IF($A53="","",COUNTIFS(発注・納品!$B$3:$B$202,$A53))</f>
        <v/>
      </c>
      <c r="Y53" s="26" t="str">
        <f aca="false">IF($A53="","",COUNTIFS(発注・納品!$B$3:$B$202,$A53,発注・納品!$M$3:$M$202,""))</f>
        <v/>
      </c>
      <c r="Z53" s="27" t="str">
        <f aca="false">IF(N($X53)=0,"",IF(_xlfn.MAXIFS(発注・納品!$M$3:$M$202,発注・納品!$B$3:$B$202,$A53)=0,"",_xlfn.MAXIFS(発注・納品!$M$3:$M$202,発注・納品!$B$3:$B$202,$A53)))</f>
        <v/>
      </c>
      <c r="AA53" s="28" t="str">
        <f aca="false">IF($A53="","",IF(N($X53)=0,"機器なし",IF(N($Y53)&gt;0,"入荷待ち",IF(COUNTIFS(発注・納品!$B$3:$B$202,$A53,発注・納品!$N$3:$N$202,"")&gt;0,"受入待ち","受入完了"))))</f>
        <v/>
      </c>
      <c r="AB53" s="26" t="str">
        <f aca="false">IF($A53="","",COUNTIFS(現地作業!$A$3:$A$202,$A53,現地作業!$L$3:$L$202,"予定"))</f>
        <v/>
      </c>
      <c r="AC53" s="26" t="str">
        <f aca="false">IF($A53="","",COUNTIFS(現地作業!$A$3:$A$202,$A53,現地作業!$L$3:$L$202,"完了"))</f>
        <v/>
      </c>
      <c r="AD53" s="27" t="str">
        <f aca="true">IF(N($AB53)=0,"",IF(_xlfn.MINIFS(現地作業!$C$3:$C$202,現地作業!$A$3:$A$202,$A53,現地作業!$L$3:$L$202,"予定",現地作業!$C$3:$C$202,"&gt;="&amp;TODAY())=0,"",_xlfn.MINIFS(現地作業!$C$3:$C$202,現地作業!$A$3:$A$202,$A53,現地作業!$L$3:$L$202,"予定",現地作業!$C$3:$C$202,"&gt;="&amp;TODAY())))</f>
        <v/>
      </c>
      <c r="AE53" s="39"/>
      <c r="AF53" s="30" t="str">
        <f aca="false">IF($A53="","",SUM(月次工数計画!$G$58:$AD$58))</f>
        <v/>
      </c>
      <c r="AG53" s="30" t="str">
        <f aca="false">IF($A53="","",SUMIFS(工数明細!$G$3:$G$302,工数明細!$B$3:$B$302,$A53))</f>
        <v/>
      </c>
      <c r="AH53" s="31" t="str">
        <f aca="false">IF($AE53="","",$AE53-N($AG53))</f>
        <v/>
      </c>
      <c r="AI53" s="25" t="str">
        <f aca="false">IF(N($AE53)=0,"",$AG53/$AE53)</f>
        <v/>
      </c>
      <c r="AJ53" s="20" t="str">
        <f aca="false">IF(N($AE53)=0,"",IF($AG53&gt;$AE53,"超過",IF($AG53&gt;=$AE53*0.9,"注意","適正")))</f>
        <v/>
      </c>
      <c r="AK53" s="34"/>
    </row>
    <row r="54" customFormat="false" ht="18" hidden="false" customHeight="true" outlineLevel="0" collapsed="false">
      <c r="A54" s="33"/>
      <c r="B54" s="34"/>
      <c r="C54" s="34"/>
      <c r="D54" s="34"/>
      <c r="E54" s="34"/>
      <c r="F54" s="35"/>
      <c r="G54" s="34"/>
      <c r="H54" s="34"/>
      <c r="I54" s="36"/>
      <c r="J54" s="37"/>
      <c r="K54" s="37"/>
      <c r="L54" s="37"/>
      <c r="M54" s="37"/>
      <c r="N54" s="19" t="str">
        <f aca="false">IF($J54="","",YEAR($J54)-IF(MONTH($J54)&lt;マスタ!$B$4,1,0))</f>
        <v/>
      </c>
      <c r="O54" s="20" t="str">
        <f aca="false">IF($J54="","","Q"&amp;(INT(MOD(MONTH($J54)-マスタ!$B$4+12,12)/3)+1))</f>
        <v/>
      </c>
      <c r="P54" s="21" t="str">
        <f aca="true">IF($L54="","",IF($M54&lt;&gt;"",$M54-$L54,IF(TODAY()&gt;$L54,TODAY()-$L54,0)))</f>
        <v/>
      </c>
      <c r="Q54" s="38"/>
      <c r="R54" s="23" t="str">
        <f aca="false">IF($Q54="","",$Q54*N($F54))</f>
        <v/>
      </c>
      <c r="S54" s="38"/>
      <c r="T54" s="24" t="str">
        <f aca="false">IF($A54="","",SUMIFS(発注・納品!$H$3:$H$202,発注・納品!$B$3:$B$202,$A54))</f>
        <v/>
      </c>
      <c r="U54" s="23" t="str">
        <f aca="false">IF($Q54="","",N($S54)+N($T54))</f>
        <v/>
      </c>
      <c r="V54" s="23" t="str">
        <f aca="false">IF($Q54="","",$Q54-N($U54))</f>
        <v/>
      </c>
      <c r="W54" s="25" t="str">
        <f aca="false">IF(N($Q54)=0,"",$V54/$Q54)</f>
        <v/>
      </c>
      <c r="X54" s="26" t="str">
        <f aca="false">IF($A54="","",COUNTIFS(発注・納品!$B$3:$B$202,$A54))</f>
        <v/>
      </c>
      <c r="Y54" s="26" t="str">
        <f aca="false">IF($A54="","",COUNTIFS(発注・納品!$B$3:$B$202,$A54,発注・納品!$M$3:$M$202,""))</f>
        <v/>
      </c>
      <c r="Z54" s="27" t="str">
        <f aca="false">IF(N($X54)=0,"",IF(_xlfn.MAXIFS(発注・納品!$M$3:$M$202,発注・納品!$B$3:$B$202,$A54)=0,"",_xlfn.MAXIFS(発注・納品!$M$3:$M$202,発注・納品!$B$3:$B$202,$A54)))</f>
        <v/>
      </c>
      <c r="AA54" s="28" t="str">
        <f aca="false">IF($A54="","",IF(N($X54)=0,"機器なし",IF(N($Y54)&gt;0,"入荷待ち",IF(COUNTIFS(発注・納品!$B$3:$B$202,$A54,発注・納品!$N$3:$N$202,"")&gt;0,"受入待ち","受入完了"))))</f>
        <v/>
      </c>
      <c r="AB54" s="26" t="str">
        <f aca="false">IF($A54="","",COUNTIFS(現地作業!$A$3:$A$202,$A54,現地作業!$L$3:$L$202,"予定"))</f>
        <v/>
      </c>
      <c r="AC54" s="26" t="str">
        <f aca="false">IF($A54="","",COUNTIFS(現地作業!$A$3:$A$202,$A54,現地作業!$L$3:$L$202,"完了"))</f>
        <v/>
      </c>
      <c r="AD54" s="27" t="str">
        <f aca="true">IF(N($AB54)=0,"",IF(_xlfn.MINIFS(現地作業!$C$3:$C$202,現地作業!$A$3:$A$202,$A54,現地作業!$L$3:$L$202,"予定",現地作業!$C$3:$C$202,"&gt;="&amp;TODAY())=0,"",_xlfn.MINIFS(現地作業!$C$3:$C$202,現地作業!$A$3:$A$202,$A54,現地作業!$L$3:$L$202,"予定",現地作業!$C$3:$C$202,"&gt;="&amp;TODAY())))</f>
        <v/>
      </c>
      <c r="AE54" s="39"/>
      <c r="AF54" s="30" t="str">
        <f aca="false">IF($A54="","",SUM(月次工数計画!$G$59:$AD$59))</f>
        <v/>
      </c>
      <c r="AG54" s="30" t="str">
        <f aca="false">IF($A54="","",SUMIFS(工数明細!$G$3:$G$302,工数明細!$B$3:$B$302,$A54))</f>
        <v/>
      </c>
      <c r="AH54" s="31" t="str">
        <f aca="false">IF($AE54="","",$AE54-N($AG54))</f>
        <v/>
      </c>
      <c r="AI54" s="25" t="str">
        <f aca="false">IF(N($AE54)=0,"",$AG54/$AE54)</f>
        <v/>
      </c>
      <c r="AJ54" s="20" t="str">
        <f aca="false">IF(N($AE54)=0,"",IF($AG54&gt;$AE54,"超過",IF($AG54&gt;=$AE54*0.9,"注意","適正")))</f>
        <v/>
      </c>
      <c r="AK54" s="34"/>
    </row>
    <row r="55" customFormat="false" ht="18" hidden="false" customHeight="true" outlineLevel="0" collapsed="false">
      <c r="A55" s="33"/>
      <c r="B55" s="34"/>
      <c r="C55" s="34"/>
      <c r="D55" s="34"/>
      <c r="E55" s="34"/>
      <c r="F55" s="35"/>
      <c r="G55" s="34"/>
      <c r="H55" s="34"/>
      <c r="I55" s="36"/>
      <c r="J55" s="37"/>
      <c r="K55" s="37"/>
      <c r="L55" s="37"/>
      <c r="M55" s="37"/>
      <c r="N55" s="19" t="str">
        <f aca="false">IF($J55="","",YEAR($J55)-IF(MONTH($J55)&lt;マスタ!$B$4,1,0))</f>
        <v/>
      </c>
      <c r="O55" s="20" t="str">
        <f aca="false">IF($J55="","","Q"&amp;(INT(MOD(MONTH($J55)-マスタ!$B$4+12,12)/3)+1))</f>
        <v/>
      </c>
      <c r="P55" s="21" t="str">
        <f aca="true">IF($L55="","",IF($M55&lt;&gt;"",$M55-$L55,IF(TODAY()&gt;$L55,TODAY()-$L55,0)))</f>
        <v/>
      </c>
      <c r="Q55" s="38"/>
      <c r="R55" s="23" t="str">
        <f aca="false">IF($Q55="","",$Q55*N($F55))</f>
        <v/>
      </c>
      <c r="S55" s="38"/>
      <c r="T55" s="24" t="str">
        <f aca="false">IF($A55="","",SUMIFS(発注・納品!$H$3:$H$202,発注・納品!$B$3:$B$202,$A55))</f>
        <v/>
      </c>
      <c r="U55" s="23" t="str">
        <f aca="false">IF($Q55="","",N($S55)+N($T55))</f>
        <v/>
      </c>
      <c r="V55" s="23" t="str">
        <f aca="false">IF($Q55="","",$Q55-N($U55))</f>
        <v/>
      </c>
      <c r="W55" s="25" t="str">
        <f aca="false">IF(N($Q55)=0,"",$V55/$Q55)</f>
        <v/>
      </c>
      <c r="X55" s="26" t="str">
        <f aca="false">IF($A55="","",COUNTIFS(発注・納品!$B$3:$B$202,$A55))</f>
        <v/>
      </c>
      <c r="Y55" s="26" t="str">
        <f aca="false">IF($A55="","",COUNTIFS(発注・納品!$B$3:$B$202,$A55,発注・納品!$M$3:$M$202,""))</f>
        <v/>
      </c>
      <c r="Z55" s="27" t="str">
        <f aca="false">IF(N($X55)=0,"",IF(_xlfn.MAXIFS(発注・納品!$M$3:$M$202,発注・納品!$B$3:$B$202,$A55)=0,"",_xlfn.MAXIFS(発注・納品!$M$3:$M$202,発注・納品!$B$3:$B$202,$A55)))</f>
        <v/>
      </c>
      <c r="AA55" s="28" t="str">
        <f aca="false">IF($A55="","",IF(N($X55)=0,"機器なし",IF(N($Y55)&gt;0,"入荷待ち",IF(COUNTIFS(発注・納品!$B$3:$B$202,$A55,発注・納品!$N$3:$N$202,"")&gt;0,"受入待ち","受入完了"))))</f>
        <v/>
      </c>
      <c r="AB55" s="26" t="str">
        <f aca="false">IF($A55="","",COUNTIFS(現地作業!$A$3:$A$202,$A55,現地作業!$L$3:$L$202,"予定"))</f>
        <v/>
      </c>
      <c r="AC55" s="26" t="str">
        <f aca="false">IF($A55="","",COUNTIFS(現地作業!$A$3:$A$202,$A55,現地作業!$L$3:$L$202,"完了"))</f>
        <v/>
      </c>
      <c r="AD55" s="27" t="str">
        <f aca="true">IF(N($AB55)=0,"",IF(_xlfn.MINIFS(現地作業!$C$3:$C$202,現地作業!$A$3:$A$202,$A55,現地作業!$L$3:$L$202,"予定",現地作業!$C$3:$C$202,"&gt;="&amp;TODAY())=0,"",_xlfn.MINIFS(現地作業!$C$3:$C$202,現地作業!$A$3:$A$202,$A55,現地作業!$L$3:$L$202,"予定",現地作業!$C$3:$C$202,"&gt;="&amp;TODAY())))</f>
        <v/>
      </c>
      <c r="AE55" s="39"/>
      <c r="AF55" s="30" t="str">
        <f aca="false">IF($A55="","",SUM(月次工数計画!$G$60:$AD$60))</f>
        <v/>
      </c>
      <c r="AG55" s="30" t="str">
        <f aca="false">IF($A55="","",SUMIFS(工数明細!$G$3:$G$302,工数明細!$B$3:$B$302,$A55))</f>
        <v/>
      </c>
      <c r="AH55" s="31" t="str">
        <f aca="false">IF($AE55="","",$AE55-N($AG55))</f>
        <v/>
      </c>
      <c r="AI55" s="25" t="str">
        <f aca="false">IF(N($AE55)=0,"",$AG55/$AE55)</f>
        <v/>
      </c>
      <c r="AJ55" s="20" t="str">
        <f aca="false">IF(N($AE55)=0,"",IF($AG55&gt;$AE55,"超過",IF($AG55&gt;=$AE55*0.9,"注意","適正")))</f>
        <v/>
      </c>
      <c r="AK55" s="34"/>
    </row>
    <row r="56" customFormat="false" ht="18" hidden="false" customHeight="true" outlineLevel="0" collapsed="false">
      <c r="A56" s="33"/>
      <c r="B56" s="34"/>
      <c r="C56" s="34"/>
      <c r="D56" s="34"/>
      <c r="E56" s="34"/>
      <c r="F56" s="35"/>
      <c r="G56" s="34"/>
      <c r="H56" s="34"/>
      <c r="I56" s="36"/>
      <c r="J56" s="37"/>
      <c r="K56" s="37"/>
      <c r="L56" s="37"/>
      <c r="M56" s="37"/>
      <c r="N56" s="19" t="str">
        <f aca="false">IF($J56="","",YEAR($J56)-IF(MONTH($J56)&lt;マスタ!$B$4,1,0))</f>
        <v/>
      </c>
      <c r="O56" s="20" t="str">
        <f aca="false">IF($J56="","","Q"&amp;(INT(MOD(MONTH($J56)-マスタ!$B$4+12,12)/3)+1))</f>
        <v/>
      </c>
      <c r="P56" s="21" t="str">
        <f aca="true">IF($L56="","",IF($M56&lt;&gt;"",$M56-$L56,IF(TODAY()&gt;$L56,TODAY()-$L56,0)))</f>
        <v/>
      </c>
      <c r="Q56" s="38"/>
      <c r="R56" s="23" t="str">
        <f aca="false">IF($Q56="","",$Q56*N($F56))</f>
        <v/>
      </c>
      <c r="S56" s="38"/>
      <c r="T56" s="24" t="str">
        <f aca="false">IF($A56="","",SUMIFS(発注・納品!$H$3:$H$202,発注・納品!$B$3:$B$202,$A56))</f>
        <v/>
      </c>
      <c r="U56" s="23" t="str">
        <f aca="false">IF($Q56="","",N($S56)+N($T56))</f>
        <v/>
      </c>
      <c r="V56" s="23" t="str">
        <f aca="false">IF($Q56="","",$Q56-N($U56))</f>
        <v/>
      </c>
      <c r="W56" s="25" t="str">
        <f aca="false">IF(N($Q56)=0,"",$V56/$Q56)</f>
        <v/>
      </c>
      <c r="X56" s="26" t="str">
        <f aca="false">IF($A56="","",COUNTIFS(発注・納品!$B$3:$B$202,$A56))</f>
        <v/>
      </c>
      <c r="Y56" s="26" t="str">
        <f aca="false">IF($A56="","",COUNTIFS(発注・納品!$B$3:$B$202,$A56,発注・納品!$M$3:$M$202,""))</f>
        <v/>
      </c>
      <c r="Z56" s="27" t="str">
        <f aca="false">IF(N($X56)=0,"",IF(_xlfn.MAXIFS(発注・納品!$M$3:$M$202,発注・納品!$B$3:$B$202,$A56)=0,"",_xlfn.MAXIFS(発注・納品!$M$3:$M$202,発注・納品!$B$3:$B$202,$A56)))</f>
        <v/>
      </c>
      <c r="AA56" s="28" t="str">
        <f aca="false">IF($A56="","",IF(N($X56)=0,"機器なし",IF(N($Y56)&gt;0,"入荷待ち",IF(COUNTIFS(発注・納品!$B$3:$B$202,$A56,発注・納品!$N$3:$N$202,"")&gt;0,"受入待ち","受入完了"))))</f>
        <v/>
      </c>
      <c r="AB56" s="26" t="str">
        <f aca="false">IF($A56="","",COUNTIFS(現地作業!$A$3:$A$202,$A56,現地作業!$L$3:$L$202,"予定"))</f>
        <v/>
      </c>
      <c r="AC56" s="26" t="str">
        <f aca="false">IF($A56="","",COUNTIFS(現地作業!$A$3:$A$202,$A56,現地作業!$L$3:$L$202,"完了"))</f>
        <v/>
      </c>
      <c r="AD56" s="27" t="str">
        <f aca="true">IF(N($AB56)=0,"",IF(_xlfn.MINIFS(現地作業!$C$3:$C$202,現地作業!$A$3:$A$202,$A56,現地作業!$L$3:$L$202,"予定",現地作業!$C$3:$C$202,"&gt;="&amp;TODAY())=0,"",_xlfn.MINIFS(現地作業!$C$3:$C$202,現地作業!$A$3:$A$202,$A56,現地作業!$L$3:$L$202,"予定",現地作業!$C$3:$C$202,"&gt;="&amp;TODAY())))</f>
        <v/>
      </c>
      <c r="AE56" s="39"/>
      <c r="AF56" s="30" t="str">
        <f aca="false">IF($A56="","",SUM(月次工数計画!$G$61:$AD$61))</f>
        <v/>
      </c>
      <c r="AG56" s="30" t="str">
        <f aca="false">IF($A56="","",SUMIFS(工数明細!$G$3:$G$302,工数明細!$B$3:$B$302,$A56))</f>
        <v/>
      </c>
      <c r="AH56" s="31" t="str">
        <f aca="false">IF($AE56="","",$AE56-N($AG56))</f>
        <v/>
      </c>
      <c r="AI56" s="25" t="str">
        <f aca="false">IF(N($AE56)=0,"",$AG56/$AE56)</f>
        <v/>
      </c>
      <c r="AJ56" s="20" t="str">
        <f aca="false">IF(N($AE56)=0,"",IF($AG56&gt;$AE56,"超過",IF($AG56&gt;=$AE56*0.9,"注意","適正")))</f>
        <v/>
      </c>
      <c r="AK56" s="34"/>
    </row>
    <row r="57" customFormat="false" ht="18" hidden="false" customHeight="true" outlineLevel="0" collapsed="false">
      <c r="A57" s="33"/>
      <c r="B57" s="34"/>
      <c r="C57" s="34"/>
      <c r="D57" s="34"/>
      <c r="E57" s="34"/>
      <c r="F57" s="35"/>
      <c r="G57" s="34"/>
      <c r="H57" s="34"/>
      <c r="I57" s="36"/>
      <c r="J57" s="37"/>
      <c r="K57" s="37"/>
      <c r="L57" s="37"/>
      <c r="M57" s="37"/>
      <c r="N57" s="19" t="str">
        <f aca="false">IF($J57="","",YEAR($J57)-IF(MONTH($J57)&lt;マスタ!$B$4,1,0))</f>
        <v/>
      </c>
      <c r="O57" s="20" t="str">
        <f aca="false">IF($J57="","","Q"&amp;(INT(MOD(MONTH($J57)-マスタ!$B$4+12,12)/3)+1))</f>
        <v/>
      </c>
      <c r="P57" s="21" t="str">
        <f aca="true">IF($L57="","",IF($M57&lt;&gt;"",$M57-$L57,IF(TODAY()&gt;$L57,TODAY()-$L57,0)))</f>
        <v/>
      </c>
      <c r="Q57" s="38"/>
      <c r="R57" s="23" t="str">
        <f aca="false">IF($Q57="","",$Q57*N($F57))</f>
        <v/>
      </c>
      <c r="S57" s="38"/>
      <c r="T57" s="24" t="str">
        <f aca="false">IF($A57="","",SUMIFS(発注・納品!$H$3:$H$202,発注・納品!$B$3:$B$202,$A57))</f>
        <v/>
      </c>
      <c r="U57" s="23" t="str">
        <f aca="false">IF($Q57="","",N($S57)+N($T57))</f>
        <v/>
      </c>
      <c r="V57" s="23" t="str">
        <f aca="false">IF($Q57="","",$Q57-N($U57))</f>
        <v/>
      </c>
      <c r="W57" s="25" t="str">
        <f aca="false">IF(N($Q57)=0,"",$V57/$Q57)</f>
        <v/>
      </c>
      <c r="X57" s="26" t="str">
        <f aca="false">IF($A57="","",COUNTIFS(発注・納品!$B$3:$B$202,$A57))</f>
        <v/>
      </c>
      <c r="Y57" s="26" t="str">
        <f aca="false">IF($A57="","",COUNTIFS(発注・納品!$B$3:$B$202,$A57,発注・納品!$M$3:$M$202,""))</f>
        <v/>
      </c>
      <c r="Z57" s="27" t="str">
        <f aca="false">IF(N($X57)=0,"",IF(_xlfn.MAXIFS(発注・納品!$M$3:$M$202,発注・納品!$B$3:$B$202,$A57)=0,"",_xlfn.MAXIFS(発注・納品!$M$3:$M$202,発注・納品!$B$3:$B$202,$A57)))</f>
        <v/>
      </c>
      <c r="AA57" s="28" t="str">
        <f aca="false">IF($A57="","",IF(N($X57)=0,"機器なし",IF(N($Y57)&gt;0,"入荷待ち",IF(COUNTIFS(発注・納品!$B$3:$B$202,$A57,発注・納品!$N$3:$N$202,"")&gt;0,"受入待ち","受入完了"))))</f>
        <v/>
      </c>
      <c r="AB57" s="26" t="str">
        <f aca="false">IF($A57="","",COUNTIFS(現地作業!$A$3:$A$202,$A57,現地作業!$L$3:$L$202,"予定"))</f>
        <v/>
      </c>
      <c r="AC57" s="26" t="str">
        <f aca="false">IF($A57="","",COUNTIFS(現地作業!$A$3:$A$202,$A57,現地作業!$L$3:$L$202,"完了"))</f>
        <v/>
      </c>
      <c r="AD57" s="27" t="str">
        <f aca="true">IF(N($AB57)=0,"",IF(_xlfn.MINIFS(現地作業!$C$3:$C$202,現地作業!$A$3:$A$202,$A57,現地作業!$L$3:$L$202,"予定",現地作業!$C$3:$C$202,"&gt;="&amp;TODAY())=0,"",_xlfn.MINIFS(現地作業!$C$3:$C$202,現地作業!$A$3:$A$202,$A57,現地作業!$L$3:$L$202,"予定",現地作業!$C$3:$C$202,"&gt;="&amp;TODAY())))</f>
        <v/>
      </c>
      <c r="AE57" s="39"/>
      <c r="AF57" s="30" t="str">
        <f aca="false">IF($A57="","",SUM(月次工数計画!$G$62:$AD$62))</f>
        <v/>
      </c>
      <c r="AG57" s="30" t="str">
        <f aca="false">IF($A57="","",SUMIFS(工数明細!$G$3:$G$302,工数明細!$B$3:$B$302,$A57))</f>
        <v/>
      </c>
      <c r="AH57" s="31" t="str">
        <f aca="false">IF($AE57="","",$AE57-N($AG57))</f>
        <v/>
      </c>
      <c r="AI57" s="25" t="str">
        <f aca="false">IF(N($AE57)=0,"",$AG57/$AE57)</f>
        <v/>
      </c>
      <c r="AJ57" s="20" t="str">
        <f aca="false">IF(N($AE57)=0,"",IF($AG57&gt;$AE57,"超過",IF($AG57&gt;=$AE57*0.9,"注意","適正")))</f>
        <v/>
      </c>
      <c r="AK57" s="34"/>
    </row>
    <row r="58" customFormat="false" ht="18" hidden="false" customHeight="true" outlineLevel="0" collapsed="false">
      <c r="A58" s="33"/>
      <c r="B58" s="34"/>
      <c r="C58" s="34"/>
      <c r="D58" s="34"/>
      <c r="E58" s="34"/>
      <c r="F58" s="35"/>
      <c r="G58" s="34"/>
      <c r="H58" s="34"/>
      <c r="I58" s="36"/>
      <c r="J58" s="37"/>
      <c r="K58" s="37"/>
      <c r="L58" s="37"/>
      <c r="M58" s="37"/>
      <c r="N58" s="19" t="str">
        <f aca="false">IF($J58="","",YEAR($J58)-IF(MONTH($J58)&lt;マスタ!$B$4,1,0))</f>
        <v/>
      </c>
      <c r="O58" s="20" t="str">
        <f aca="false">IF($J58="","","Q"&amp;(INT(MOD(MONTH($J58)-マスタ!$B$4+12,12)/3)+1))</f>
        <v/>
      </c>
      <c r="P58" s="21" t="str">
        <f aca="true">IF($L58="","",IF($M58&lt;&gt;"",$M58-$L58,IF(TODAY()&gt;$L58,TODAY()-$L58,0)))</f>
        <v/>
      </c>
      <c r="Q58" s="38"/>
      <c r="R58" s="23" t="str">
        <f aca="false">IF($Q58="","",$Q58*N($F58))</f>
        <v/>
      </c>
      <c r="S58" s="38"/>
      <c r="T58" s="24" t="str">
        <f aca="false">IF($A58="","",SUMIFS(発注・納品!$H$3:$H$202,発注・納品!$B$3:$B$202,$A58))</f>
        <v/>
      </c>
      <c r="U58" s="23" t="str">
        <f aca="false">IF($Q58="","",N($S58)+N($T58))</f>
        <v/>
      </c>
      <c r="V58" s="23" t="str">
        <f aca="false">IF($Q58="","",$Q58-N($U58))</f>
        <v/>
      </c>
      <c r="W58" s="25" t="str">
        <f aca="false">IF(N($Q58)=0,"",$V58/$Q58)</f>
        <v/>
      </c>
      <c r="X58" s="26" t="str">
        <f aca="false">IF($A58="","",COUNTIFS(発注・納品!$B$3:$B$202,$A58))</f>
        <v/>
      </c>
      <c r="Y58" s="26" t="str">
        <f aca="false">IF($A58="","",COUNTIFS(発注・納品!$B$3:$B$202,$A58,発注・納品!$M$3:$M$202,""))</f>
        <v/>
      </c>
      <c r="Z58" s="27" t="str">
        <f aca="false">IF(N($X58)=0,"",IF(_xlfn.MAXIFS(発注・納品!$M$3:$M$202,発注・納品!$B$3:$B$202,$A58)=0,"",_xlfn.MAXIFS(発注・納品!$M$3:$M$202,発注・納品!$B$3:$B$202,$A58)))</f>
        <v/>
      </c>
      <c r="AA58" s="28" t="str">
        <f aca="false">IF($A58="","",IF(N($X58)=0,"機器なし",IF(N($Y58)&gt;0,"入荷待ち",IF(COUNTIFS(発注・納品!$B$3:$B$202,$A58,発注・納品!$N$3:$N$202,"")&gt;0,"受入待ち","受入完了"))))</f>
        <v/>
      </c>
      <c r="AB58" s="26" t="str">
        <f aca="false">IF($A58="","",COUNTIFS(現地作業!$A$3:$A$202,$A58,現地作業!$L$3:$L$202,"予定"))</f>
        <v/>
      </c>
      <c r="AC58" s="26" t="str">
        <f aca="false">IF($A58="","",COUNTIFS(現地作業!$A$3:$A$202,$A58,現地作業!$L$3:$L$202,"完了"))</f>
        <v/>
      </c>
      <c r="AD58" s="27" t="str">
        <f aca="true">IF(N($AB58)=0,"",IF(_xlfn.MINIFS(現地作業!$C$3:$C$202,現地作業!$A$3:$A$202,$A58,現地作業!$L$3:$L$202,"予定",現地作業!$C$3:$C$202,"&gt;="&amp;TODAY())=0,"",_xlfn.MINIFS(現地作業!$C$3:$C$202,現地作業!$A$3:$A$202,$A58,現地作業!$L$3:$L$202,"予定",現地作業!$C$3:$C$202,"&gt;="&amp;TODAY())))</f>
        <v/>
      </c>
      <c r="AE58" s="39"/>
      <c r="AF58" s="30" t="str">
        <f aca="false">IF($A58="","",SUM(月次工数計画!$G$63:$AD$63))</f>
        <v/>
      </c>
      <c r="AG58" s="30" t="str">
        <f aca="false">IF($A58="","",SUMIFS(工数明細!$G$3:$G$302,工数明細!$B$3:$B$302,$A58))</f>
        <v/>
      </c>
      <c r="AH58" s="31" t="str">
        <f aca="false">IF($AE58="","",$AE58-N($AG58))</f>
        <v/>
      </c>
      <c r="AI58" s="25" t="str">
        <f aca="false">IF(N($AE58)=0,"",$AG58/$AE58)</f>
        <v/>
      </c>
      <c r="AJ58" s="20" t="str">
        <f aca="false">IF(N($AE58)=0,"",IF($AG58&gt;$AE58,"超過",IF($AG58&gt;=$AE58*0.9,"注意","適正")))</f>
        <v/>
      </c>
      <c r="AK58" s="34"/>
    </row>
    <row r="59" customFormat="false" ht="18" hidden="false" customHeight="true" outlineLevel="0" collapsed="false">
      <c r="A59" s="33"/>
      <c r="B59" s="34"/>
      <c r="C59" s="34"/>
      <c r="D59" s="34"/>
      <c r="E59" s="34"/>
      <c r="F59" s="35"/>
      <c r="G59" s="34"/>
      <c r="H59" s="34"/>
      <c r="I59" s="36"/>
      <c r="J59" s="37"/>
      <c r="K59" s="37"/>
      <c r="L59" s="37"/>
      <c r="M59" s="37"/>
      <c r="N59" s="19" t="str">
        <f aca="false">IF($J59="","",YEAR($J59)-IF(MONTH($J59)&lt;マスタ!$B$4,1,0))</f>
        <v/>
      </c>
      <c r="O59" s="20" t="str">
        <f aca="false">IF($J59="","","Q"&amp;(INT(MOD(MONTH($J59)-マスタ!$B$4+12,12)/3)+1))</f>
        <v/>
      </c>
      <c r="P59" s="21" t="str">
        <f aca="true">IF($L59="","",IF($M59&lt;&gt;"",$M59-$L59,IF(TODAY()&gt;$L59,TODAY()-$L59,0)))</f>
        <v/>
      </c>
      <c r="Q59" s="38"/>
      <c r="R59" s="23" t="str">
        <f aca="false">IF($Q59="","",$Q59*N($F59))</f>
        <v/>
      </c>
      <c r="S59" s="38"/>
      <c r="T59" s="24" t="str">
        <f aca="false">IF($A59="","",SUMIFS(発注・納品!$H$3:$H$202,発注・納品!$B$3:$B$202,$A59))</f>
        <v/>
      </c>
      <c r="U59" s="23" t="str">
        <f aca="false">IF($Q59="","",N($S59)+N($T59))</f>
        <v/>
      </c>
      <c r="V59" s="23" t="str">
        <f aca="false">IF($Q59="","",$Q59-N($U59))</f>
        <v/>
      </c>
      <c r="W59" s="25" t="str">
        <f aca="false">IF(N($Q59)=0,"",$V59/$Q59)</f>
        <v/>
      </c>
      <c r="X59" s="26" t="str">
        <f aca="false">IF($A59="","",COUNTIFS(発注・納品!$B$3:$B$202,$A59))</f>
        <v/>
      </c>
      <c r="Y59" s="26" t="str">
        <f aca="false">IF($A59="","",COUNTIFS(発注・納品!$B$3:$B$202,$A59,発注・納品!$M$3:$M$202,""))</f>
        <v/>
      </c>
      <c r="Z59" s="27" t="str">
        <f aca="false">IF(N($X59)=0,"",IF(_xlfn.MAXIFS(発注・納品!$M$3:$M$202,発注・納品!$B$3:$B$202,$A59)=0,"",_xlfn.MAXIFS(発注・納品!$M$3:$M$202,発注・納品!$B$3:$B$202,$A59)))</f>
        <v/>
      </c>
      <c r="AA59" s="28" t="str">
        <f aca="false">IF($A59="","",IF(N($X59)=0,"機器なし",IF(N($Y59)&gt;0,"入荷待ち",IF(COUNTIFS(発注・納品!$B$3:$B$202,$A59,発注・納品!$N$3:$N$202,"")&gt;0,"受入待ち","受入完了"))))</f>
        <v/>
      </c>
      <c r="AB59" s="26" t="str">
        <f aca="false">IF($A59="","",COUNTIFS(現地作業!$A$3:$A$202,$A59,現地作業!$L$3:$L$202,"予定"))</f>
        <v/>
      </c>
      <c r="AC59" s="26" t="str">
        <f aca="false">IF($A59="","",COUNTIFS(現地作業!$A$3:$A$202,$A59,現地作業!$L$3:$L$202,"完了"))</f>
        <v/>
      </c>
      <c r="AD59" s="27" t="str">
        <f aca="true">IF(N($AB59)=0,"",IF(_xlfn.MINIFS(現地作業!$C$3:$C$202,現地作業!$A$3:$A$202,$A59,現地作業!$L$3:$L$202,"予定",現地作業!$C$3:$C$202,"&gt;="&amp;TODAY())=0,"",_xlfn.MINIFS(現地作業!$C$3:$C$202,現地作業!$A$3:$A$202,$A59,現地作業!$L$3:$L$202,"予定",現地作業!$C$3:$C$202,"&gt;="&amp;TODAY())))</f>
        <v/>
      </c>
      <c r="AE59" s="39"/>
      <c r="AF59" s="30" t="str">
        <f aca="false">IF($A59="","",SUM(月次工数計画!$G$64:$AD$64))</f>
        <v/>
      </c>
      <c r="AG59" s="30" t="str">
        <f aca="false">IF($A59="","",SUMIFS(工数明細!$G$3:$G$302,工数明細!$B$3:$B$302,$A59))</f>
        <v/>
      </c>
      <c r="AH59" s="31" t="str">
        <f aca="false">IF($AE59="","",$AE59-N($AG59))</f>
        <v/>
      </c>
      <c r="AI59" s="25" t="str">
        <f aca="false">IF(N($AE59)=0,"",$AG59/$AE59)</f>
        <v/>
      </c>
      <c r="AJ59" s="20" t="str">
        <f aca="false">IF(N($AE59)=0,"",IF($AG59&gt;$AE59,"超過",IF($AG59&gt;=$AE59*0.9,"注意","適正")))</f>
        <v/>
      </c>
      <c r="AK59" s="34"/>
    </row>
    <row r="60" customFormat="false" ht="18" hidden="false" customHeight="true" outlineLevel="0" collapsed="false">
      <c r="A60" s="33"/>
      <c r="B60" s="34"/>
      <c r="C60" s="34"/>
      <c r="D60" s="34"/>
      <c r="E60" s="34"/>
      <c r="F60" s="35"/>
      <c r="G60" s="34"/>
      <c r="H60" s="34"/>
      <c r="I60" s="36"/>
      <c r="J60" s="37"/>
      <c r="K60" s="37"/>
      <c r="L60" s="37"/>
      <c r="M60" s="37"/>
      <c r="N60" s="19" t="str">
        <f aca="false">IF($J60="","",YEAR($J60)-IF(MONTH($J60)&lt;マスタ!$B$4,1,0))</f>
        <v/>
      </c>
      <c r="O60" s="20" t="str">
        <f aca="false">IF($J60="","","Q"&amp;(INT(MOD(MONTH($J60)-マスタ!$B$4+12,12)/3)+1))</f>
        <v/>
      </c>
      <c r="P60" s="21" t="str">
        <f aca="true">IF($L60="","",IF($M60&lt;&gt;"",$M60-$L60,IF(TODAY()&gt;$L60,TODAY()-$L60,0)))</f>
        <v/>
      </c>
      <c r="Q60" s="38"/>
      <c r="R60" s="23" t="str">
        <f aca="false">IF($Q60="","",$Q60*N($F60))</f>
        <v/>
      </c>
      <c r="S60" s="38"/>
      <c r="T60" s="24" t="str">
        <f aca="false">IF($A60="","",SUMIFS(発注・納品!$H$3:$H$202,発注・納品!$B$3:$B$202,$A60))</f>
        <v/>
      </c>
      <c r="U60" s="23" t="str">
        <f aca="false">IF($Q60="","",N($S60)+N($T60))</f>
        <v/>
      </c>
      <c r="V60" s="23" t="str">
        <f aca="false">IF($Q60="","",$Q60-N($U60))</f>
        <v/>
      </c>
      <c r="W60" s="25" t="str">
        <f aca="false">IF(N($Q60)=0,"",$V60/$Q60)</f>
        <v/>
      </c>
      <c r="X60" s="26" t="str">
        <f aca="false">IF($A60="","",COUNTIFS(発注・納品!$B$3:$B$202,$A60))</f>
        <v/>
      </c>
      <c r="Y60" s="26" t="str">
        <f aca="false">IF($A60="","",COUNTIFS(発注・納品!$B$3:$B$202,$A60,発注・納品!$M$3:$M$202,""))</f>
        <v/>
      </c>
      <c r="Z60" s="27" t="str">
        <f aca="false">IF(N($X60)=0,"",IF(_xlfn.MAXIFS(発注・納品!$M$3:$M$202,発注・納品!$B$3:$B$202,$A60)=0,"",_xlfn.MAXIFS(発注・納品!$M$3:$M$202,発注・納品!$B$3:$B$202,$A60)))</f>
        <v/>
      </c>
      <c r="AA60" s="28" t="str">
        <f aca="false">IF($A60="","",IF(N($X60)=0,"機器なし",IF(N($Y60)&gt;0,"入荷待ち",IF(COUNTIFS(発注・納品!$B$3:$B$202,$A60,発注・納品!$N$3:$N$202,"")&gt;0,"受入待ち","受入完了"))))</f>
        <v/>
      </c>
      <c r="AB60" s="26" t="str">
        <f aca="false">IF($A60="","",COUNTIFS(現地作業!$A$3:$A$202,$A60,現地作業!$L$3:$L$202,"予定"))</f>
        <v/>
      </c>
      <c r="AC60" s="26" t="str">
        <f aca="false">IF($A60="","",COUNTIFS(現地作業!$A$3:$A$202,$A60,現地作業!$L$3:$L$202,"完了"))</f>
        <v/>
      </c>
      <c r="AD60" s="27" t="str">
        <f aca="true">IF(N($AB60)=0,"",IF(_xlfn.MINIFS(現地作業!$C$3:$C$202,現地作業!$A$3:$A$202,$A60,現地作業!$L$3:$L$202,"予定",現地作業!$C$3:$C$202,"&gt;="&amp;TODAY())=0,"",_xlfn.MINIFS(現地作業!$C$3:$C$202,現地作業!$A$3:$A$202,$A60,現地作業!$L$3:$L$202,"予定",現地作業!$C$3:$C$202,"&gt;="&amp;TODAY())))</f>
        <v/>
      </c>
      <c r="AE60" s="39"/>
      <c r="AF60" s="30" t="str">
        <f aca="false">IF($A60="","",SUM(月次工数計画!$G$65:$AD$65))</f>
        <v/>
      </c>
      <c r="AG60" s="30" t="str">
        <f aca="false">IF($A60="","",SUMIFS(工数明細!$G$3:$G$302,工数明細!$B$3:$B$302,$A60))</f>
        <v/>
      </c>
      <c r="AH60" s="31" t="str">
        <f aca="false">IF($AE60="","",$AE60-N($AG60))</f>
        <v/>
      </c>
      <c r="AI60" s="25" t="str">
        <f aca="false">IF(N($AE60)=0,"",$AG60/$AE60)</f>
        <v/>
      </c>
      <c r="AJ60" s="20" t="str">
        <f aca="false">IF(N($AE60)=0,"",IF($AG60&gt;$AE60,"超過",IF($AG60&gt;=$AE60*0.9,"注意","適正")))</f>
        <v/>
      </c>
      <c r="AK60" s="34"/>
    </row>
    <row r="61" customFormat="false" ht="18" hidden="false" customHeight="true" outlineLevel="0" collapsed="false">
      <c r="A61" s="33"/>
      <c r="B61" s="34"/>
      <c r="C61" s="34"/>
      <c r="D61" s="34"/>
      <c r="E61" s="34"/>
      <c r="F61" s="35"/>
      <c r="G61" s="34"/>
      <c r="H61" s="34"/>
      <c r="I61" s="36"/>
      <c r="J61" s="37"/>
      <c r="K61" s="37"/>
      <c r="L61" s="37"/>
      <c r="M61" s="37"/>
      <c r="N61" s="19" t="str">
        <f aca="false">IF($J61="","",YEAR($J61)-IF(MONTH($J61)&lt;マスタ!$B$4,1,0))</f>
        <v/>
      </c>
      <c r="O61" s="20" t="str">
        <f aca="false">IF($J61="","","Q"&amp;(INT(MOD(MONTH($J61)-マスタ!$B$4+12,12)/3)+1))</f>
        <v/>
      </c>
      <c r="P61" s="21" t="str">
        <f aca="true">IF($L61="","",IF($M61&lt;&gt;"",$M61-$L61,IF(TODAY()&gt;$L61,TODAY()-$L61,0)))</f>
        <v/>
      </c>
      <c r="Q61" s="38"/>
      <c r="R61" s="23" t="str">
        <f aca="false">IF($Q61="","",$Q61*N($F61))</f>
        <v/>
      </c>
      <c r="S61" s="38"/>
      <c r="T61" s="24" t="str">
        <f aca="false">IF($A61="","",SUMIFS(発注・納品!$H$3:$H$202,発注・納品!$B$3:$B$202,$A61))</f>
        <v/>
      </c>
      <c r="U61" s="23" t="str">
        <f aca="false">IF($Q61="","",N($S61)+N($T61))</f>
        <v/>
      </c>
      <c r="V61" s="23" t="str">
        <f aca="false">IF($Q61="","",$Q61-N($U61))</f>
        <v/>
      </c>
      <c r="W61" s="25" t="str">
        <f aca="false">IF(N($Q61)=0,"",$V61/$Q61)</f>
        <v/>
      </c>
      <c r="X61" s="26" t="str">
        <f aca="false">IF($A61="","",COUNTIFS(発注・納品!$B$3:$B$202,$A61))</f>
        <v/>
      </c>
      <c r="Y61" s="26" t="str">
        <f aca="false">IF($A61="","",COUNTIFS(発注・納品!$B$3:$B$202,$A61,発注・納品!$M$3:$M$202,""))</f>
        <v/>
      </c>
      <c r="Z61" s="27" t="str">
        <f aca="false">IF(N($X61)=0,"",IF(_xlfn.MAXIFS(発注・納品!$M$3:$M$202,発注・納品!$B$3:$B$202,$A61)=0,"",_xlfn.MAXIFS(発注・納品!$M$3:$M$202,発注・納品!$B$3:$B$202,$A61)))</f>
        <v/>
      </c>
      <c r="AA61" s="28" t="str">
        <f aca="false">IF($A61="","",IF(N($X61)=0,"機器なし",IF(N($Y61)&gt;0,"入荷待ち",IF(COUNTIFS(発注・納品!$B$3:$B$202,$A61,発注・納品!$N$3:$N$202,"")&gt;0,"受入待ち","受入完了"))))</f>
        <v/>
      </c>
      <c r="AB61" s="26" t="str">
        <f aca="false">IF($A61="","",COUNTIFS(現地作業!$A$3:$A$202,$A61,現地作業!$L$3:$L$202,"予定"))</f>
        <v/>
      </c>
      <c r="AC61" s="26" t="str">
        <f aca="false">IF($A61="","",COUNTIFS(現地作業!$A$3:$A$202,$A61,現地作業!$L$3:$L$202,"完了"))</f>
        <v/>
      </c>
      <c r="AD61" s="27" t="str">
        <f aca="true">IF(N($AB61)=0,"",IF(_xlfn.MINIFS(現地作業!$C$3:$C$202,現地作業!$A$3:$A$202,$A61,現地作業!$L$3:$L$202,"予定",現地作業!$C$3:$C$202,"&gt;="&amp;TODAY())=0,"",_xlfn.MINIFS(現地作業!$C$3:$C$202,現地作業!$A$3:$A$202,$A61,現地作業!$L$3:$L$202,"予定",現地作業!$C$3:$C$202,"&gt;="&amp;TODAY())))</f>
        <v/>
      </c>
      <c r="AE61" s="39"/>
      <c r="AF61" s="30" t="str">
        <f aca="false">IF($A61="","",SUM(月次工数計画!$G$66:$AD$66))</f>
        <v/>
      </c>
      <c r="AG61" s="30" t="str">
        <f aca="false">IF($A61="","",SUMIFS(工数明細!$G$3:$G$302,工数明細!$B$3:$B$302,$A61))</f>
        <v/>
      </c>
      <c r="AH61" s="31" t="str">
        <f aca="false">IF($AE61="","",$AE61-N($AG61))</f>
        <v/>
      </c>
      <c r="AI61" s="25" t="str">
        <f aca="false">IF(N($AE61)=0,"",$AG61/$AE61)</f>
        <v/>
      </c>
      <c r="AJ61" s="20" t="str">
        <f aca="false">IF(N($AE61)=0,"",IF($AG61&gt;$AE61,"超過",IF($AG61&gt;=$AE61*0.9,"注意","適正")))</f>
        <v/>
      </c>
      <c r="AK61" s="34"/>
    </row>
    <row r="62" customFormat="false" ht="18" hidden="false" customHeight="true" outlineLevel="0" collapsed="false">
      <c r="A62" s="33"/>
      <c r="B62" s="34"/>
      <c r="C62" s="34"/>
      <c r="D62" s="34"/>
      <c r="E62" s="34"/>
      <c r="F62" s="35"/>
      <c r="G62" s="34"/>
      <c r="H62" s="34"/>
      <c r="I62" s="36"/>
      <c r="J62" s="37"/>
      <c r="K62" s="37"/>
      <c r="L62" s="37"/>
      <c r="M62" s="37"/>
      <c r="N62" s="19" t="str">
        <f aca="false">IF($J62="","",YEAR($J62)-IF(MONTH($J62)&lt;マスタ!$B$4,1,0))</f>
        <v/>
      </c>
      <c r="O62" s="20" t="str">
        <f aca="false">IF($J62="","","Q"&amp;(INT(MOD(MONTH($J62)-マスタ!$B$4+12,12)/3)+1))</f>
        <v/>
      </c>
      <c r="P62" s="21" t="str">
        <f aca="true">IF($L62="","",IF($M62&lt;&gt;"",$M62-$L62,IF(TODAY()&gt;$L62,TODAY()-$L62,0)))</f>
        <v/>
      </c>
      <c r="Q62" s="38"/>
      <c r="R62" s="23" t="str">
        <f aca="false">IF($Q62="","",$Q62*N($F62))</f>
        <v/>
      </c>
      <c r="S62" s="38"/>
      <c r="T62" s="24" t="str">
        <f aca="false">IF($A62="","",SUMIFS(発注・納品!$H$3:$H$202,発注・納品!$B$3:$B$202,$A62))</f>
        <v/>
      </c>
      <c r="U62" s="23" t="str">
        <f aca="false">IF($Q62="","",N($S62)+N($T62))</f>
        <v/>
      </c>
      <c r="V62" s="23" t="str">
        <f aca="false">IF($Q62="","",$Q62-N($U62))</f>
        <v/>
      </c>
      <c r="W62" s="25" t="str">
        <f aca="false">IF(N($Q62)=0,"",$V62/$Q62)</f>
        <v/>
      </c>
      <c r="X62" s="26" t="str">
        <f aca="false">IF($A62="","",COUNTIFS(発注・納品!$B$3:$B$202,$A62))</f>
        <v/>
      </c>
      <c r="Y62" s="26" t="str">
        <f aca="false">IF($A62="","",COUNTIFS(発注・納品!$B$3:$B$202,$A62,発注・納品!$M$3:$M$202,""))</f>
        <v/>
      </c>
      <c r="Z62" s="27" t="str">
        <f aca="false">IF(N($X62)=0,"",IF(_xlfn.MAXIFS(発注・納品!$M$3:$M$202,発注・納品!$B$3:$B$202,$A62)=0,"",_xlfn.MAXIFS(発注・納品!$M$3:$M$202,発注・納品!$B$3:$B$202,$A62)))</f>
        <v/>
      </c>
      <c r="AA62" s="28" t="str">
        <f aca="false">IF($A62="","",IF(N($X62)=0,"機器なし",IF(N($Y62)&gt;0,"入荷待ち",IF(COUNTIFS(発注・納品!$B$3:$B$202,$A62,発注・納品!$N$3:$N$202,"")&gt;0,"受入待ち","受入完了"))))</f>
        <v/>
      </c>
      <c r="AB62" s="26" t="str">
        <f aca="false">IF($A62="","",COUNTIFS(現地作業!$A$3:$A$202,$A62,現地作業!$L$3:$L$202,"予定"))</f>
        <v/>
      </c>
      <c r="AC62" s="26" t="str">
        <f aca="false">IF($A62="","",COUNTIFS(現地作業!$A$3:$A$202,$A62,現地作業!$L$3:$L$202,"完了"))</f>
        <v/>
      </c>
      <c r="AD62" s="27" t="str">
        <f aca="true">IF(N($AB62)=0,"",IF(_xlfn.MINIFS(現地作業!$C$3:$C$202,現地作業!$A$3:$A$202,$A62,現地作業!$L$3:$L$202,"予定",現地作業!$C$3:$C$202,"&gt;="&amp;TODAY())=0,"",_xlfn.MINIFS(現地作業!$C$3:$C$202,現地作業!$A$3:$A$202,$A62,現地作業!$L$3:$L$202,"予定",現地作業!$C$3:$C$202,"&gt;="&amp;TODAY())))</f>
        <v/>
      </c>
      <c r="AE62" s="39"/>
      <c r="AF62" s="30" t="str">
        <f aca="false">IF($A62="","",SUM(月次工数計画!$G$67:$AD$67))</f>
        <v/>
      </c>
      <c r="AG62" s="30" t="str">
        <f aca="false">IF($A62="","",SUMIFS(工数明細!$G$3:$G$302,工数明細!$B$3:$B$302,$A62))</f>
        <v/>
      </c>
      <c r="AH62" s="31" t="str">
        <f aca="false">IF($AE62="","",$AE62-N($AG62))</f>
        <v/>
      </c>
      <c r="AI62" s="25" t="str">
        <f aca="false">IF(N($AE62)=0,"",$AG62/$AE62)</f>
        <v/>
      </c>
      <c r="AJ62" s="20" t="str">
        <f aca="false">IF(N($AE62)=0,"",IF($AG62&gt;$AE62,"超過",IF($AG62&gt;=$AE62*0.9,"注意","適正")))</f>
        <v/>
      </c>
      <c r="AK62" s="34"/>
    </row>
    <row r="63" customFormat="false" ht="18" hidden="false" customHeight="true" outlineLevel="0" collapsed="false">
      <c r="A63" s="33"/>
      <c r="B63" s="34"/>
      <c r="C63" s="34"/>
      <c r="D63" s="34"/>
      <c r="E63" s="34"/>
      <c r="F63" s="35"/>
      <c r="G63" s="34"/>
      <c r="H63" s="34"/>
      <c r="I63" s="36"/>
      <c r="J63" s="37"/>
      <c r="K63" s="37"/>
      <c r="L63" s="37"/>
      <c r="M63" s="37"/>
      <c r="N63" s="19" t="str">
        <f aca="false">IF($J63="","",YEAR($J63)-IF(MONTH($J63)&lt;マスタ!$B$4,1,0))</f>
        <v/>
      </c>
      <c r="O63" s="20" t="str">
        <f aca="false">IF($J63="","","Q"&amp;(INT(MOD(MONTH($J63)-マスタ!$B$4+12,12)/3)+1))</f>
        <v/>
      </c>
      <c r="P63" s="21" t="str">
        <f aca="true">IF($L63="","",IF($M63&lt;&gt;"",$M63-$L63,IF(TODAY()&gt;$L63,TODAY()-$L63,0)))</f>
        <v/>
      </c>
      <c r="Q63" s="38"/>
      <c r="R63" s="23" t="str">
        <f aca="false">IF($Q63="","",$Q63*N($F63))</f>
        <v/>
      </c>
      <c r="S63" s="38"/>
      <c r="T63" s="24" t="str">
        <f aca="false">IF($A63="","",SUMIFS(発注・納品!$H$3:$H$202,発注・納品!$B$3:$B$202,$A63))</f>
        <v/>
      </c>
      <c r="U63" s="23" t="str">
        <f aca="false">IF($Q63="","",N($S63)+N($T63))</f>
        <v/>
      </c>
      <c r="V63" s="23" t="str">
        <f aca="false">IF($Q63="","",$Q63-N($U63))</f>
        <v/>
      </c>
      <c r="W63" s="25" t="str">
        <f aca="false">IF(N($Q63)=0,"",$V63/$Q63)</f>
        <v/>
      </c>
      <c r="X63" s="26" t="str">
        <f aca="false">IF($A63="","",COUNTIFS(発注・納品!$B$3:$B$202,$A63))</f>
        <v/>
      </c>
      <c r="Y63" s="26" t="str">
        <f aca="false">IF($A63="","",COUNTIFS(発注・納品!$B$3:$B$202,$A63,発注・納品!$M$3:$M$202,""))</f>
        <v/>
      </c>
      <c r="Z63" s="27" t="str">
        <f aca="false">IF(N($X63)=0,"",IF(_xlfn.MAXIFS(発注・納品!$M$3:$M$202,発注・納品!$B$3:$B$202,$A63)=0,"",_xlfn.MAXIFS(発注・納品!$M$3:$M$202,発注・納品!$B$3:$B$202,$A63)))</f>
        <v/>
      </c>
      <c r="AA63" s="28" t="str">
        <f aca="false">IF($A63="","",IF(N($X63)=0,"機器なし",IF(N($Y63)&gt;0,"入荷待ち",IF(COUNTIFS(発注・納品!$B$3:$B$202,$A63,発注・納品!$N$3:$N$202,"")&gt;0,"受入待ち","受入完了"))))</f>
        <v/>
      </c>
      <c r="AB63" s="26" t="str">
        <f aca="false">IF($A63="","",COUNTIFS(現地作業!$A$3:$A$202,$A63,現地作業!$L$3:$L$202,"予定"))</f>
        <v/>
      </c>
      <c r="AC63" s="26" t="str">
        <f aca="false">IF($A63="","",COUNTIFS(現地作業!$A$3:$A$202,$A63,現地作業!$L$3:$L$202,"完了"))</f>
        <v/>
      </c>
      <c r="AD63" s="27" t="str">
        <f aca="true">IF(N($AB63)=0,"",IF(_xlfn.MINIFS(現地作業!$C$3:$C$202,現地作業!$A$3:$A$202,$A63,現地作業!$L$3:$L$202,"予定",現地作業!$C$3:$C$202,"&gt;="&amp;TODAY())=0,"",_xlfn.MINIFS(現地作業!$C$3:$C$202,現地作業!$A$3:$A$202,$A63,現地作業!$L$3:$L$202,"予定",現地作業!$C$3:$C$202,"&gt;="&amp;TODAY())))</f>
        <v/>
      </c>
      <c r="AE63" s="39"/>
      <c r="AF63" s="30" t="str">
        <f aca="false">IF($A63="","",SUM(月次工数計画!$G$68:$AD$68))</f>
        <v/>
      </c>
      <c r="AG63" s="30" t="str">
        <f aca="false">IF($A63="","",SUMIFS(工数明細!$G$3:$G$302,工数明細!$B$3:$B$302,$A63))</f>
        <v/>
      </c>
      <c r="AH63" s="31" t="str">
        <f aca="false">IF($AE63="","",$AE63-N($AG63))</f>
        <v/>
      </c>
      <c r="AI63" s="25" t="str">
        <f aca="false">IF(N($AE63)=0,"",$AG63/$AE63)</f>
        <v/>
      </c>
      <c r="AJ63" s="20" t="str">
        <f aca="false">IF(N($AE63)=0,"",IF($AG63&gt;$AE63,"超過",IF($AG63&gt;=$AE63*0.9,"注意","適正")))</f>
        <v/>
      </c>
      <c r="AK63" s="34"/>
    </row>
    <row r="64" customFormat="false" ht="18" hidden="false" customHeight="true" outlineLevel="0" collapsed="false">
      <c r="A64" s="33"/>
      <c r="B64" s="34"/>
      <c r="C64" s="34"/>
      <c r="D64" s="34"/>
      <c r="E64" s="34"/>
      <c r="F64" s="35"/>
      <c r="G64" s="34"/>
      <c r="H64" s="34"/>
      <c r="I64" s="36"/>
      <c r="J64" s="37"/>
      <c r="K64" s="37"/>
      <c r="L64" s="37"/>
      <c r="M64" s="37"/>
      <c r="N64" s="19" t="str">
        <f aca="false">IF($J64="","",YEAR($J64)-IF(MONTH($J64)&lt;マスタ!$B$4,1,0))</f>
        <v/>
      </c>
      <c r="O64" s="20" t="str">
        <f aca="false">IF($J64="","","Q"&amp;(INT(MOD(MONTH($J64)-マスタ!$B$4+12,12)/3)+1))</f>
        <v/>
      </c>
      <c r="P64" s="21" t="str">
        <f aca="true">IF($L64="","",IF($M64&lt;&gt;"",$M64-$L64,IF(TODAY()&gt;$L64,TODAY()-$L64,0)))</f>
        <v/>
      </c>
      <c r="Q64" s="38"/>
      <c r="R64" s="23" t="str">
        <f aca="false">IF($Q64="","",$Q64*N($F64))</f>
        <v/>
      </c>
      <c r="S64" s="38"/>
      <c r="T64" s="24" t="str">
        <f aca="false">IF($A64="","",SUMIFS(発注・納品!$H$3:$H$202,発注・納品!$B$3:$B$202,$A64))</f>
        <v/>
      </c>
      <c r="U64" s="23" t="str">
        <f aca="false">IF($Q64="","",N($S64)+N($T64))</f>
        <v/>
      </c>
      <c r="V64" s="23" t="str">
        <f aca="false">IF($Q64="","",$Q64-N($U64))</f>
        <v/>
      </c>
      <c r="W64" s="25" t="str">
        <f aca="false">IF(N($Q64)=0,"",$V64/$Q64)</f>
        <v/>
      </c>
      <c r="X64" s="26" t="str">
        <f aca="false">IF($A64="","",COUNTIFS(発注・納品!$B$3:$B$202,$A64))</f>
        <v/>
      </c>
      <c r="Y64" s="26" t="str">
        <f aca="false">IF($A64="","",COUNTIFS(発注・納品!$B$3:$B$202,$A64,発注・納品!$M$3:$M$202,""))</f>
        <v/>
      </c>
      <c r="Z64" s="27" t="str">
        <f aca="false">IF(N($X64)=0,"",IF(_xlfn.MAXIFS(発注・納品!$M$3:$M$202,発注・納品!$B$3:$B$202,$A64)=0,"",_xlfn.MAXIFS(発注・納品!$M$3:$M$202,発注・納品!$B$3:$B$202,$A64)))</f>
        <v/>
      </c>
      <c r="AA64" s="28" t="str">
        <f aca="false">IF($A64="","",IF(N($X64)=0,"機器なし",IF(N($Y64)&gt;0,"入荷待ち",IF(COUNTIFS(発注・納品!$B$3:$B$202,$A64,発注・納品!$N$3:$N$202,"")&gt;0,"受入待ち","受入完了"))))</f>
        <v/>
      </c>
      <c r="AB64" s="26" t="str">
        <f aca="false">IF($A64="","",COUNTIFS(現地作業!$A$3:$A$202,$A64,現地作業!$L$3:$L$202,"予定"))</f>
        <v/>
      </c>
      <c r="AC64" s="26" t="str">
        <f aca="false">IF($A64="","",COUNTIFS(現地作業!$A$3:$A$202,$A64,現地作業!$L$3:$L$202,"完了"))</f>
        <v/>
      </c>
      <c r="AD64" s="27" t="str">
        <f aca="true">IF(N($AB64)=0,"",IF(_xlfn.MINIFS(現地作業!$C$3:$C$202,現地作業!$A$3:$A$202,$A64,現地作業!$L$3:$L$202,"予定",現地作業!$C$3:$C$202,"&gt;="&amp;TODAY())=0,"",_xlfn.MINIFS(現地作業!$C$3:$C$202,現地作業!$A$3:$A$202,$A64,現地作業!$L$3:$L$202,"予定",現地作業!$C$3:$C$202,"&gt;="&amp;TODAY())))</f>
        <v/>
      </c>
      <c r="AE64" s="39"/>
      <c r="AF64" s="30" t="str">
        <f aca="false">IF($A64="","",SUM(月次工数計画!$G$69:$AD$69))</f>
        <v/>
      </c>
      <c r="AG64" s="30" t="str">
        <f aca="false">IF($A64="","",SUMIFS(工数明細!$G$3:$G$302,工数明細!$B$3:$B$302,$A64))</f>
        <v/>
      </c>
      <c r="AH64" s="31" t="str">
        <f aca="false">IF($AE64="","",$AE64-N($AG64))</f>
        <v/>
      </c>
      <c r="AI64" s="25" t="str">
        <f aca="false">IF(N($AE64)=0,"",$AG64/$AE64)</f>
        <v/>
      </c>
      <c r="AJ64" s="20" t="str">
        <f aca="false">IF(N($AE64)=0,"",IF($AG64&gt;$AE64,"超過",IF($AG64&gt;=$AE64*0.9,"注意","適正")))</f>
        <v/>
      </c>
      <c r="AK64" s="34"/>
    </row>
    <row r="65" customFormat="false" ht="18" hidden="false" customHeight="true" outlineLevel="0" collapsed="false">
      <c r="A65" s="33"/>
      <c r="B65" s="34"/>
      <c r="C65" s="34"/>
      <c r="D65" s="34"/>
      <c r="E65" s="34"/>
      <c r="F65" s="35"/>
      <c r="G65" s="34"/>
      <c r="H65" s="34"/>
      <c r="I65" s="36"/>
      <c r="J65" s="37"/>
      <c r="K65" s="37"/>
      <c r="L65" s="37"/>
      <c r="M65" s="37"/>
      <c r="N65" s="19" t="str">
        <f aca="false">IF($J65="","",YEAR($J65)-IF(MONTH($J65)&lt;マスタ!$B$4,1,0))</f>
        <v/>
      </c>
      <c r="O65" s="20" t="str">
        <f aca="false">IF($J65="","","Q"&amp;(INT(MOD(MONTH($J65)-マスタ!$B$4+12,12)/3)+1))</f>
        <v/>
      </c>
      <c r="P65" s="21" t="str">
        <f aca="true">IF($L65="","",IF($M65&lt;&gt;"",$M65-$L65,IF(TODAY()&gt;$L65,TODAY()-$L65,0)))</f>
        <v/>
      </c>
      <c r="Q65" s="38"/>
      <c r="R65" s="23" t="str">
        <f aca="false">IF($Q65="","",$Q65*N($F65))</f>
        <v/>
      </c>
      <c r="S65" s="38"/>
      <c r="T65" s="24" t="str">
        <f aca="false">IF($A65="","",SUMIFS(発注・納品!$H$3:$H$202,発注・納品!$B$3:$B$202,$A65))</f>
        <v/>
      </c>
      <c r="U65" s="23" t="str">
        <f aca="false">IF($Q65="","",N($S65)+N($T65))</f>
        <v/>
      </c>
      <c r="V65" s="23" t="str">
        <f aca="false">IF($Q65="","",$Q65-N($U65))</f>
        <v/>
      </c>
      <c r="W65" s="25" t="str">
        <f aca="false">IF(N($Q65)=0,"",$V65/$Q65)</f>
        <v/>
      </c>
      <c r="X65" s="26" t="str">
        <f aca="false">IF($A65="","",COUNTIFS(発注・納品!$B$3:$B$202,$A65))</f>
        <v/>
      </c>
      <c r="Y65" s="26" t="str">
        <f aca="false">IF($A65="","",COUNTIFS(発注・納品!$B$3:$B$202,$A65,発注・納品!$M$3:$M$202,""))</f>
        <v/>
      </c>
      <c r="Z65" s="27" t="str">
        <f aca="false">IF(N($X65)=0,"",IF(_xlfn.MAXIFS(発注・納品!$M$3:$M$202,発注・納品!$B$3:$B$202,$A65)=0,"",_xlfn.MAXIFS(発注・納品!$M$3:$M$202,発注・納品!$B$3:$B$202,$A65)))</f>
        <v/>
      </c>
      <c r="AA65" s="28" t="str">
        <f aca="false">IF($A65="","",IF(N($X65)=0,"機器なし",IF(N($Y65)&gt;0,"入荷待ち",IF(COUNTIFS(発注・納品!$B$3:$B$202,$A65,発注・納品!$N$3:$N$202,"")&gt;0,"受入待ち","受入完了"))))</f>
        <v/>
      </c>
      <c r="AB65" s="26" t="str">
        <f aca="false">IF($A65="","",COUNTIFS(現地作業!$A$3:$A$202,$A65,現地作業!$L$3:$L$202,"予定"))</f>
        <v/>
      </c>
      <c r="AC65" s="26" t="str">
        <f aca="false">IF($A65="","",COUNTIFS(現地作業!$A$3:$A$202,$A65,現地作業!$L$3:$L$202,"完了"))</f>
        <v/>
      </c>
      <c r="AD65" s="27" t="str">
        <f aca="true">IF(N($AB65)=0,"",IF(_xlfn.MINIFS(現地作業!$C$3:$C$202,現地作業!$A$3:$A$202,$A65,現地作業!$L$3:$L$202,"予定",現地作業!$C$3:$C$202,"&gt;="&amp;TODAY())=0,"",_xlfn.MINIFS(現地作業!$C$3:$C$202,現地作業!$A$3:$A$202,$A65,現地作業!$L$3:$L$202,"予定",現地作業!$C$3:$C$202,"&gt;="&amp;TODAY())))</f>
        <v/>
      </c>
      <c r="AE65" s="39"/>
      <c r="AF65" s="30" t="str">
        <f aca="false">IF($A65="","",SUM(月次工数計画!$G$70:$AD$70))</f>
        <v/>
      </c>
      <c r="AG65" s="30" t="str">
        <f aca="false">IF($A65="","",SUMIFS(工数明細!$G$3:$G$302,工数明細!$B$3:$B$302,$A65))</f>
        <v/>
      </c>
      <c r="AH65" s="31" t="str">
        <f aca="false">IF($AE65="","",$AE65-N($AG65))</f>
        <v/>
      </c>
      <c r="AI65" s="25" t="str">
        <f aca="false">IF(N($AE65)=0,"",$AG65/$AE65)</f>
        <v/>
      </c>
      <c r="AJ65" s="20" t="str">
        <f aca="false">IF(N($AE65)=0,"",IF($AG65&gt;$AE65,"超過",IF($AG65&gt;=$AE65*0.9,"注意","適正")))</f>
        <v/>
      </c>
      <c r="AK65" s="34"/>
    </row>
    <row r="66" customFormat="false" ht="18" hidden="false" customHeight="true" outlineLevel="0" collapsed="false">
      <c r="A66" s="33"/>
      <c r="B66" s="34"/>
      <c r="C66" s="34"/>
      <c r="D66" s="34"/>
      <c r="E66" s="34"/>
      <c r="F66" s="35"/>
      <c r="G66" s="34"/>
      <c r="H66" s="34"/>
      <c r="I66" s="36"/>
      <c r="J66" s="37"/>
      <c r="K66" s="37"/>
      <c r="L66" s="37"/>
      <c r="M66" s="37"/>
      <c r="N66" s="19" t="str">
        <f aca="false">IF($J66="","",YEAR($J66)-IF(MONTH($J66)&lt;マスタ!$B$4,1,0))</f>
        <v/>
      </c>
      <c r="O66" s="20" t="str">
        <f aca="false">IF($J66="","","Q"&amp;(INT(MOD(MONTH($J66)-マスタ!$B$4+12,12)/3)+1))</f>
        <v/>
      </c>
      <c r="P66" s="21" t="str">
        <f aca="true">IF($L66="","",IF($M66&lt;&gt;"",$M66-$L66,IF(TODAY()&gt;$L66,TODAY()-$L66,0)))</f>
        <v/>
      </c>
      <c r="Q66" s="38"/>
      <c r="R66" s="23" t="str">
        <f aca="false">IF($Q66="","",$Q66*N($F66))</f>
        <v/>
      </c>
      <c r="S66" s="38"/>
      <c r="T66" s="24" t="str">
        <f aca="false">IF($A66="","",SUMIFS(発注・納品!$H$3:$H$202,発注・納品!$B$3:$B$202,$A66))</f>
        <v/>
      </c>
      <c r="U66" s="23" t="str">
        <f aca="false">IF($Q66="","",N($S66)+N($T66))</f>
        <v/>
      </c>
      <c r="V66" s="23" t="str">
        <f aca="false">IF($Q66="","",$Q66-N($U66))</f>
        <v/>
      </c>
      <c r="W66" s="25" t="str">
        <f aca="false">IF(N($Q66)=0,"",$V66/$Q66)</f>
        <v/>
      </c>
      <c r="X66" s="26" t="str">
        <f aca="false">IF($A66="","",COUNTIFS(発注・納品!$B$3:$B$202,$A66))</f>
        <v/>
      </c>
      <c r="Y66" s="26" t="str">
        <f aca="false">IF($A66="","",COUNTIFS(発注・納品!$B$3:$B$202,$A66,発注・納品!$M$3:$M$202,""))</f>
        <v/>
      </c>
      <c r="Z66" s="27" t="str">
        <f aca="false">IF(N($X66)=0,"",IF(_xlfn.MAXIFS(発注・納品!$M$3:$M$202,発注・納品!$B$3:$B$202,$A66)=0,"",_xlfn.MAXIFS(発注・納品!$M$3:$M$202,発注・納品!$B$3:$B$202,$A66)))</f>
        <v/>
      </c>
      <c r="AA66" s="28" t="str">
        <f aca="false">IF($A66="","",IF(N($X66)=0,"機器なし",IF(N($Y66)&gt;0,"入荷待ち",IF(COUNTIFS(発注・納品!$B$3:$B$202,$A66,発注・納品!$N$3:$N$202,"")&gt;0,"受入待ち","受入完了"))))</f>
        <v/>
      </c>
      <c r="AB66" s="26" t="str">
        <f aca="false">IF($A66="","",COUNTIFS(現地作業!$A$3:$A$202,$A66,現地作業!$L$3:$L$202,"予定"))</f>
        <v/>
      </c>
      <c r="AC66" s="26" t="str">
        <f aca="false">IF($A66="","",COUNTIFS(現地作業!$A$3:$A$202,$A66,現地作業!$L$3:$L$202,"完了"))</f>
        <v/>
      </c>
      <c r="AD66" s="27" t="str">
        <f aca="true">IF(N($AB66)=0,"",IF(_xlfn.MINIFS(現地作業!$C$3:$C$202,現地作業!$A$3:$A$202,$A66,現地作業!$L$3:$L$202,"予定",現地作業!$C$3:$C$202,"&gt;="&amp;TODAY())=0,"",_xlfn.MINIFS(現地作業!$C$3:$C$202,現地作業!$A$3:$A$202,$A66,現地作業!$L$3:$L$202,"予定",現地作業!$C$3:$C$202,"&gt;="&amp;TODAY())))</f>
        <v/>
      </c>
      <c r="AE66" s="39"/>
      <c r="AF66" s="30" t="str">
        <f aca="false">IF($A66="","",SUM(月次工数計画!$G$71:$AD$71))</f>
        <v/>
      </c>
      <c r="AG66" s="30" t="str">
        <f aca="false">IF($A66="","",SUMIFS(工数明細!$G$3:$G$302,工数明細!$B$3:$B$302,$A66))</f>
        <v/>
      </c>
      <c r="AH66" s="31" t="str">
        <f aca="false">IF($AE66="","",$AE66-N($AG66))</f>
        <v/>
      </c>
      <c r="AI66" s="25" t="str">
        <f aca="false">IF(N($AE66)=0,"",$AG66/$AE66)</f>
        <v/>
      </c>
      <c r="AJ66" s="20" t="str">
        <f aca="false">IF(N($AE66)=0,"",IF($AG66&gt;$AE66,"超過",IF($AG66&gt;=$AE66*0.9,"注意","適正")))</f>
        <v/>
      </c>
      <c r="AK66" s="34"/>
    </row>
    <row r="67" customFormat="false" ht="18" hidden="false" customHeight="true" outlineLevel="0" collapsed="false">
      <c r="A67" s="33"/>
      <c r="B67" s="34"/>
      <c r="C67" s="34"/>
      <c r="D67" s="34"/>
      <c r="E67" s="34"/>
      <c r="F67" s="35"/>
      <c r="G67" s="34"/>
      <c r="H67" s="34"/>
      <c r="I67" s="36"/>
      <c r="J67" s="37"/>
      <c r="K67" s="37"/>
      <c r="L67" s="37"/>
      <c r="M67" s="37"/>
      <c r="N67" s="19" t="str">
        <f aca="false">IF($J67="","",YEAR($J67)-IF(MONTH($J67)&lt;マスタ!$B$4,1,0))</f>
        <v/>
      </c>
      <c r="O67" s="20" t="str">
        <f aca="false">IF($J67="","","Q"&amp;(INT(MOD(MONTH($J67)-マスタ!$B$4+12,12)/3)+1))</f>
        <v/>
      </c>
      <c r="P67" s="21" t="str">
        <f aca="true">IF($L67="","",IF($M67&lt;&gt;"",$M67-$L67,IF(TODAY()&gt;$L67,TODAY()-$L67,0)))</f>
        <v/>
      </c>
      <c r="Q67" s="38"/>
      <c r="R67" s="23" t="str">
        <f aca="false">IF($Q67="","",$Q67*N($F67))</f>
        <v/>
      </c>
      <c r="S67" s="38"/>
      <c r="T67" s="24" t="str">
        <f aca="false">IF($A67="","",SUMIFS(発注・納品!$H$3:$H$202,発注・納品!$B$3:$B$202,$A67))</f>
        <v/>
      </c>
      <c r="U67" s="23" t="str">
        <f aca="false">IF($Q67="","",N($S67)+N($T67))</f>
        <v/>
      </c>
      <c r="V67" s="23" t="str">
        <f aca="false">IF($Q67="","",$Q67-N($U67))</f>
        <v/>
      </c>
      <c r="W67" s="25" t="str">
        <f aca="false">IF(N($Q67)=0,"",$V67/$Q67)</f>
        <v/>
      </c>
      <c r="X67" s="26" t="str">
        <f aca="false">IF($A67="","",COUNTIFS(発注・納品!$B$3:$B$202,$A67))</f>
        <v/>
      </c>
      <c r="Y67" s="26" t="str">
        <f aca="false">IF($A67="","",COUNTIFS(発注・納品!$B$3:$B$202,$A67,発注・納品!$M$3:$M$202,""))</f>
        <v/>
      </c>
      <c r="Z67" s="27" t="str">
        <f aca="false">IF(N($X67)=0,"",IF(_xlfn.MAXIFS(発注・納品!$M$3:$M$202,発注・納品!$B$3:$B$202,$A67)=0,"",_xlfn.MAXIFS(発注・納品!$M$3:$M$202,発注・納品!$B$3:$B$202,$A67)))</f>
        <v/>
      </c>
      <c r="AA67" s="28" t="str">
        <f aca="false">IF($A67="","",IF(N($X67)=0,"機器なし",IF(N($Y67)&gt;0,"入荷待ち",IF(COUNTIFS(発注・納品!$B$3:$B$202,$A67,発注・納品!$N$3:$N$202,"")&gt;0,"受入待ち","受入完了"))))</f>
        <v/>
      </c>
      <c r="AB67" s="26" t="str">
        <f aca="false">IF($A67="","",COUNTIFS(現地作業!$A$3:$A$202,$A67,現地作業!$L$3:$L$202,"予定"))</f>
        <v/>
      </c>
      <c r="AC67" s="26" t="str">
        <f aca="false">IF($A67="","",COUNTIFS(現地作業!$A$3:$A$202,$A67,現地作業!$L$3:$L$202,"完了"))</f>
        <v/>
      </c>
      <c r="AD67" s="27" t="str">
        <f aca="true">IF(N($AB67)=0,"",IF(_xlfn.MINIFS(現地作業!$C$3:$C$202,現地作業!$A$3:$A$202,$A67,現地作業!$L$3:$L$202,"予定",現地作業!$C$3:$C$202,"&gt;="&amp;TODAY())=0,"",_xlfn.MINIFS(現地作業!$C$3:$C$202,現地作業!$A$3:$A$202,$A67,現地作業!$L$3:$L$202,"予定",現地作業!$C$3:$C$202,"&gt;="&amp;TODAY())))</f>
        <v/>
      </c>
      <c r="AE67" s="39"/>
      <c r="AF67" s="30" t="str">
        <f aca="false">IF($A67="","",SUM(月次工数計画!$G$72:$AD$72))</f>
        <v/>
      </c>
      <c r="AG67" s="30" t="str">
        <f aca="false">IF($A67="","",SUMIFS(工数明細!$G$3:$G$302,工数明細!$B$3:$B$302,$A67))</f>
        <v/>
      </c>
      <c r="AH67" s="31" t="str">
        <f aca="false">IF($AE67="","",$AE67-N($AG67))</f>
        <v/>
      </c>
      <c r="AI67" s="25" t="str">
        <f aca="false">IF(N($AE67)=0,"",$AG67/$AE67)</f>
        <v/>
      </c>
      <c r="AJ67" s="20" t="str">
        <f aca="false">IF(N($AE67)=0,"",IF($AG67&gt;$AE67,"超過",IF($AG67&gt;=$AE67*0.9,"注意","適正")))</f>
        <v/>
      </c>
      <c r="AK67" s="34"/>
    </row>
    <row r="68" customFormat="false" ht="18" hidden="false" customHeight="true" outlineLevel="0" collapsed="false">
      <c r="A68" s="33"/>
      <c r="B68" s="34"/>
      <c r="C68" s="34"/>
      <c r="D68" s="34"/>
      <c r="E68" s="34"/>
      <c r="F68" s="35"/>
      <c r="G68" s="34"/>
      <c r="H68" s="34"/>
      <c r="I68" s="36"/>
      <c r="J68" s="37"/>
      <c r="K68" s="37"/>
      <c r="L68" s="37"/>
      <c r="M68" s="37"/>
      <c r="N68" s="19" t="str">
        <f aca="false">IF($J68="","",YEAR($J68)-IF(MONTH($J68)&lt;マスタ!$B$4,1,0))</f>
        <v/>
      </c>
      <c r="O68" s="20" t="str">
        <f aca="false">IF($J68="","","Q"&amp;(INT(MOD(MONTH($J68)-マスタ!$B$4+12,12)/3)+1))</f>
        <v/>
      </c>
      <c r="P68" s="21" t="str">
        <f aca="true">IF($L68="","",IF($M68&lt;&gt;"",$M68-$L68,IF(TODAY()&gt;$L68,TODAY()-$L68,0)))</f>
        <v/>
      </c>
      <c r="Q68" s="38"/>
      <c r="R68" s="23" t="str">
        <f aca="false">IF($Q68="","",$Q68*N($F68))</f>
        <v/>
      </c>
      <c r="S68" s="38"/>
      <c r="T68" s="24" t="str">
        <f aca="false">IF($A68="","",SUMIFS(発注・納品!$H$3:$H$202,発注・納品!$B$3:$B$202,$A68))</f>
        <v/>
      </c>
      <c r="U68" s="23" t="str">
        <f aca="false">IF($Q68="","",N($S68)+N($T68))</f>
        <v/>
      </c>
      <c r="V68" s="23" t="str">
        <f aca="false">IF($Q68="","",$Q68-N($U68))</f>
        <v/>
      </c>
      <c r="W68" s="25" t="str">
        <f aca="false">IF(N($Q68)=0,"",$V68/$Q68)</f>
        <v/>
      </c>
      <c r="X68" s="26" t="str">
        <f aca="false">IF($A68="","",COUNTIFS(発注・納品!$B$3:$B$202,$A68))</f>
        <v/>
      </c>
      <c r="Y68" s="26" t="str">
        <f aca="false">IF($A68="","",COUNTIFS(発注・納品!$B$3:$B$202,$A68,発注・納品!$M$3:$M$202,""))</f>
        <v/>
      </c>
      <c r="Z68" s="27" t="str">
        <f aca="false">IF(N($X68)=0,"",IF(_xlfn.MAXIFS(発注・納品!$M$3:$M$202,発注・納品!$B$3:$B$202,$A68)=0,"",_xlfn.MAXIFS(発注・納品!$M$3:$M$202,発注・納品!$B$3:$B$202,$A68)))</f>
        <v/>
      </c>
      <c r="AA68" s="28" t="str">
        <f aca="false">IF($A68="","",IF(N($X68)=0,"機器なし",IF(N($Y68)&gt;0,"入荷待ち",IF(COUNTIFS(発注・納品!$B$3:$B$202,$A68,発注・納品!$N$3:$N$202,"")&gt;0,"受入待ち","受入完了"))))</f>
        <v/>
      </c>
      <c r="AB68" s="26" t="str">
        <f aca="false">IF($A68="","",COUNTIFS(現地作業!$A$3:$A$202,$A68,現地作業!$L$3:$L$202,"予定"))</f>
        <v/>
      </c>
      <c r="AC68" s="26" t="str">
        <f aca="false">IF($A68="","",COUNTIFS(現地作業!$A$3:$A$202,$A68,現地作業!$L$3:$L$202,"完了"))</f>
        <v/>
      </c>
      <c r="AD68" s="27" t="str">
        <f aca="true">IF(N($AB68)=0,"",IF(_xlfn.MINIFS(現地作業!$C$3:$C$202,現地作業!$A$3:$A$202,$A68,現地作業!$L$3:$L$202,"予定",現地作業!$C$3:$C$202,"&gt;="&amp;TODAY())=0,"",_xlfn.MINIFS(現地作業!$C$3:$C$202,現地作業!$A$3:$A$202,$A68,現地作業!$L$3:$L$202,"予定",現地作業!$C$3:$C$202,"&gt;="&amp;TODAY())))</f>
        <v/>
      </c>
      <c r="AE68" s="39"/>
      <c r="AF68" s="30" t="str">
        <f aca="false">IF($A68="","",SUM(月次工数計画!$G$73:$AD$73))</f>
        <v/>
      </c>
      <c r="AG68" s="30" t="str">
        <f aca="false">IF($A68="","",SUMIFS(工数明細!$G$3:$G$302,工数明細!$B$3:$B$302,$A68))</f>
        <v/>
      </c>
      <c r="AH68" s="31" t="str">
        <f aca="false">IF($AE68="","",$AE68-N($AG68))</f>
        <v/>
      </c>
      <c r="AI68" s="25" t="str">
        <f aca="false">IF(N($AE68)=0,"",$AG68/$AE68)</f>
        <v/>
      </c>
      <c r="AJ68" s="20" t="str">
        <f aca="false">IF(N($AE68)=0,"",IF($AG68&gt;$AE68,"超過",IF($AG68&gt;=$AE68*0.9,"注意","適正")))</f>
        <v/>
      </c>
      <c r="AK68" s="34"/>
    </row>
    <row r="69" customFormat="false" ht="18" hidden="false" customHeight="true" outlineLevel="0" collapsed="false">
      <c r="A69" s="33"/>
      <c r="B69" s="34"/>
      <c r="C69" s="34"/>
      <c r="D69" s="34"/>
      <c r="E69" s="34"/>
      <c r="F69" s="35"/>
      <c r="G69" s="34"/>
      <c r="H69" s="34"/>
      <c r="I69" s="36"/>
      <c r="J69" s="37"/>
      <c r="K69" s="37"/>
      <c r="L69" s="37"/>
      <c r="M69" s="37"/>
      <c r="N69" s="19" t="str">
        <f aca="false">IF($J69="","",YEAR($J69)-IF(MONTH($J69)&lt;マスタ!$B$4,1,0))</f>
        <v/>
      </c>
      <c r="O69" s="20" t="str">
        <f aca="false">IF($J69="","","Q"&amp;(INT(MOD(MONTH($J69)-マスタ!$B$4+12,12)/3)+1))</f>
        <v/>
      </c>
      <c r="P69" s="21" t="str">
        <f aca="true">IF($L69="","",IF($M69&lt;&gt;"",$M69-$L69,IF(TODAY()&gt;$L69,TODAY()-$L69,0)))</f>
        <v/>
      </c>
      <c r="Q69" s="38"/>
      <c r="R69" s="23" t="str">
        <f aca="false">IF($Q69="","",$Q69*N($F69))</f>
        <v/>
      </c>
      <c r="S69" s="38"/>
      <c r="T69" s="24" t="str">
        <f aca="false">IF($A69="","",SUMIFS(発注・納品!$H$3:$H$202,発注・納品!$B$3:$B$202,$A69))</f>
        <v/>
      </c>
      <c r="U69" s="23" t="str">
        <f aca="false">IF($Q69="","",N($S69)+N($T69))</f>
        <v/>
      </c>
      <c r="V69" s="23" t="str">
        <f aca="false">IF($Q69="","",$Q69-N($U69))</f>
        <v/>
      </c>
      <c r="W69" s="25" t="str">
        <f aca="false">IF(N($Q69)=0,"",$V69/$Q69)</f>
        <v/>
      </c>
      <c r="X69" s="26" t="str">
        <f aca="false">IF($A69="","",COUNTIFS(発注・納品!$B$3:$B$202,$A69))</f>
        <v/>
      </c>
      <c r="Y69" s="26" t="str">
        <f aca="false">IF($A69="","",COUNTIFS(発注・納品!$B$3:$B$202,$A69,発注・納品!$M$3:$M$202,""))</f>
        <v/>
      </c>
      <c r="Z69" s="27" t="str">
        <f aca="false">IF(N($X69)=0,"",IF(_xlfn.MAXIFS(発注・納品!$M$3:$M$202,発注・納品!$B$3:$B$202,$A69)=0,"",_xlfn.MAXIFS(発注・納品!$M$3:$M$202,発注・納品!$B$3:$B$202,$A69)))</f>
        <v/>
      </c>
      <c r="AA69" s="28" t="str">
        <f aca="false">IF($A69="","",IF(N($X69)=0,"機器なし",IF(N($Y69)&gt;0,"入荷待ち",IF(COUNTIFS(発注・納品!$B$3:$B$202,$A69,発注・納品!$N$3:$N$202,"")&gt;0,"受入待ち","受入完了"))))</f>
        <v/>
      </c>
      <c r="AB69" s="26" t="str">
        <f aca="false">IF($A69="","",COUNTIFS(現地作業!$A$3:$A$202,$A69,現地作業!$L$3:$L$202,"予定"))</f>
        <v/>
      </c>
      <c r="AC69" s="26" t="str">
        <f aca="false">IF($A69="","",COUNTIFS(現地作業!$A$3:$A$202,$A69,現地作業!$L$3:$L$202,"完了"))</f>
        <v/>
      </c>
      <c r="AD69" s="27" t="str">
        <f aca="true">IF(N($AB69)=0,"",IF(_xlfn.MINIFS(現地作業!$C$3:$C$202,現地作業!$A$3:$A$202,$A69,現地作業!$L$3:$L$202,"予定",現地作業!$C$3:$C$202,"&gt;="&amp;TODAY())=0,"",_xlfn.MINIFS(現地作業!$C$3:$C$202,現地作業!$A$3:$A$202,$A69,現地作業!$L$3:$L$202,"予定",現地作業!$C$3:$C$202,"&gt;="&amp;TODAY())))</f>
        <v/>
      </c>
      <c r="AE69" s="39"/>
      <c r="AF69" s="30" t="str">
        <f aca="false">IF($A69="","",SUM(月次工数計画!$G$74:$AD$74))</f>
        <v/>
      </c>
      <c r="AG69" s="30" t="str">
        <f aca="false">IF($A69="","",SUMIFS(工数明細!$G$3:$G$302,工数明細!$B$3:$B$302,$A69))</f>
        <v/>
      </c>
      <c r="AH69" s="31" t="str">
        <f aca="false">IF($AE69="","",$AE69-N($AG69))</f>
        <v/>
      </c>
      <c r="AI69" s="25" t="str">
        <f aca="false">IF(N($AE69)=0,"",$AG69/$AE69)</f>
        <v/>
      </c>
      <c r="AJ69" s="20" t="str">
        <f aca="false">IF(N($AE69)=0,"",IF($AG69&gt;$AE69,"超過",IF($AG69&gt;=$AE69*0.9,"注意","適正")))</f>
        <v/>
      </c>
      <c r="AK69" s="34"/>
    </row>
    <row r="70" customFormat="false" ht="18" hidden="false" customHeight="true" outlineLevel="0" collapsed="false">
      <c r="A70" s="33"/>
      <c r="B70" s="34"/>
      <c r="C70" s="34"/>
      <c r="D70" s="34"/>
      <c r="E70" s="34"/>
      <c r="F70" s="35"/>
      <c r="G70" s="34"/>
      <c r="H70" s="34"/>
      <c r="I70" s="36"/>
      <c r="J70" s="37"/>
      <c r="K70" s="37"/>
      <c r="L70" s="37"/>
      <c r="M70" s="37"/>
      <c r="N70" s="19" t="str">
        <f aca="false">IF($J70="","",YEAR($J70)-IF(MONTH($J70)&lt;マスタ!$B$4,1,0))</f>
        <v/>
      </c>
      <c r="O70" s="20" t="str">
        <f aca="false">IF($J70="","","Q"&amp;(INT(MOD(MONTH($J70)-マスタ!$B$4+12,12)/3)+1))</f>
        <v/>
      </c>
      <c r="P70" s="21" t="str">
        <f aca="true">IF($L70="","",IF($M70&lt;&gt;"",$M70-$L70,IF(TODAY()&gt;$L70,TODAY()-$L70,0)))</f>
        <v/>
      </c>
      <c r="Q70" s="38"/>
      <c r="R70" s="23" t="str">
        <f aca="false">IF($Q70="","",$Q70*N($F70))</f>
        <v/>
      </c>
      <c r="S70" s="38"/>
      <c r="T70" s="24" t="str">
        <f aca="false">IF($A70="","",SUMIFS(発注・納品!$H$3:$H$202,発注・納品!$B$3:$B$202,$A70))</f>
        <v/>
      </c>
      <c r="U70" s="23" t="str">
        <f aca="false">IF($Q70="","",N($S70)+N($T70))</f>
        <v/>
      </c>
      <c r="V70" s="23" t="str">
        <f aca="false">IF($Q70="","",$Q70-N($U70))</f>
        <v/>
      </c>
      <c r="W70" s="25" t="str">
        <f aca="false">IF(N($Q70)=0,"",$V70/$Q70)</f>
        <v/>
      </c>
      <c r="X70" s="26" t="str">
        <f aca="false">IF($A70="","",COUNTIFS(発注・納品!$B$3:$B$202,$A70))</f>
        <v/>
      </c>
      <c r="Y70" s="26" t="str">
        <f aca="false">IF($A70="","",COUNTIFS(発注・納品!$B$3:$B$202,$A70,発注・納品!$M$3:$M$202,""))</f>
        <v/>
      </c>
      <c r="Z70" s="27" t="str">
        <f aca="false">IF(N($X70)=0,"",IF(_xlfn.MAXIFS(発注・納品!$M$3:$M$202,発注・納品!$B$3:$B$202,$A70)=0,"",_xlfn.MAXIFS(発注・納品!$M$3:$M$202,発注・納品!$B$3:$B$202,$A70)))</f>
        <v/>
      </c>
      <c r="AA70" s="28" t="str">
        <f aca="false">IF($A70="","",IF(N($X70)=0,"機器なし",IF(N($Y70)&gt;0,"入荷待ち",IF(COUNTIFS(発注・納品!$B$3:$B$202,$A70,発注・納品!$N$3:$N$202,"")&gt;0,"受入待ち","受入完了"))))</f>
        <v/>
      </c>
      <c r="AB70" s="26" t="str">
        <f aca="false">IF($A70="","",COUNTIFS(現地作業!$A$3:$A$202,$A70,現地作業!$L$3:$L$202,"予定"))</f>
        <v/>
      </c>
      <c r="AC70" s="26" t="str">
        <f aca="false">IF($A70="","",COUNTIFS(現地作業!$A$3:$A$202,$A70,現地作業!$L$3:$L$202,"完了"))</f>
        <v/>
      </c>
      <c r="AD70" s="27" t="str">
        <f aca="true">IF(N($AB70)=0,"",IF(_xlfn.MINIFS(現地作業!$C$3:$C$202,現地作業!$A$3:$A$202,$A70,現地作業!$L$3:$L$202,"予定",現地作業!$C$3:$C$202,"&gt;="&amp;TODAY())=0,"",_xlfn.MINIFS(現地作業!$C$3:$C$202,現地作業!$A$3:$A$202,$A70,現地作業!$L$3:$L$202,"予定",現地作業!$C$3:$C$202,"&gt;="&amp;TODAY())))</f>
        <v/>
      </c>
      <c r="AE70" s="39"/>
      <c r="AF70" s="30" t="str">
        <f aca="false">IF($A70="","",SUM(月次工数計画!$G$75:$AD$75))</f>
        <v/>
      </c>
      <c r="AG70" s="30" t="str">
        <f aca="false">IF($A70="","",SUMIFS(工数明細!$G$3:$G$302,工数明細!$B$3:$B$302,$A70))</f>
        <v/>
      </c>
      <c r="AH70" s="31" t="str">
        <f aca="false">IF($AE70="","",$AE70-N($AG70))</f>
        <v/>
      </c>
      <c r="AI70" s="25" t="str">
        <f aca="false">IF(N($AE70)=0,"",$AG70/$AE70)</f>
        <v/>
      </c>
      <c r="AJ70" s="20" t="str">
        <f aca="false">IF(N($AE70)=0,"",IF($AG70&gt;$AE70,"超過",IF($AG70&gt;=$AE70*0.9,"注意","適正")))</f>
        <v/>
      </c>
      <c r="AK70" s="34"/>
    </row>
    <row r="71" customFormat="false" ht="18" hidden="false" customHeight="true" outlineLevel="0" collapsed="false">
      <c r="A71" s="33"/>
      <c r="B71" s="34"/>
      <c r="C71" s="34"/>
      <c r="D71" s="34"/>
      <c r="E71" s="34"/>
      <c r="F71" s="35"/>
      <c r="G71" s="34"/>
      <c r="H71" s="34"/>
      <c r="I71" s="36"/>
      <c r="J71" s="37"/>
      <c r="K71" s="37"/>
      <c r="L71" s="37"/>
      <c r="M71" s="37"/>
      <c r="N71" s="19" t="str">
        <f aca="false">IF($J71="","",YEAR($J71)-IF(MONTH($J71)&lt;マスタ!$B$4,1,0))</f>
        <v/>
      </c>
      <c r="O71" s="20" t="str">
        <f aca="false">IF($J71="","","Q"&amp;(INT(MOD(MONTH($J71)-マスタ!$B$4+12,12)/3)+1))</f>
        <v/>
      </c>
      <c r="P71" s="21" t="str">
        <f aca="true">IF($L71="","",IF($M71&lt;&gt;"",$M71-$L71,IF(TODAY()&gt;$L71,TODAY()-$L71,0)))</f>
        <v/>
      </c>
      <c r="Q71" s="38"/>
      <c r="R71" s="23" t="str">
        <f aca="false">IF($Q71="","",$Q71*N($F71))</f>
        <v/>
      </c>
      <c r="S71" s="38"/>
      <c r="T71" s="24" t="str">
        <f aca="false">IF($A71="","",SUMIFS(発注・納品!$H$3:$H$202,発注・納品!$B$3:$B$202,$A71))</f>
        <v/>
      </c>
      <c r="U71" s="23" t="str">
        <f aca="false">IF($Q71="","",N($S71)+N($T71))</f>
        <v/>
      </c>
      <c r="V71" s="23" t="str">
        <f aca="false">IF($Q71="","",$Q71-N($U71))</f>
        <v/>
      </c>
      <c r="W71" s="25" t="str">
        <f aca="false">IF(N($Q71)=0,"",$V71/$Q71)</f>
        <v/>
      </c>
      <c r="X71" s="26" t="str">
        <f aca="false">IF($A71="","",COUNTIFS(発注・納品!$B$3:$B$202,$A71))</f>
        <v/>
      </c>
      <c r="Y71" s="26" t="str">
        <f aca="false">IF($A71="","",COUNTIFS(発注・納品!$B$3:$B$202,$A71,発注・納品!$M$3:$M$202,""))</f>
        <v/>
      </c>
      <c r="Z71" s="27" t="str">
        <f aca="false">IF(N($X71)=0,"",IF(_xlfn.MAXIFS(発注・納品!$M$3:$M$202,発注・納品!$B$3:$B$202,$A71)=0,"",_xlfn.MAXIFS(発注・納品!$M$3:$M$202,発注・納品!$B$3:$B$202,$A71)))</f>
        <v/>
      </c>
      <c r="AA71" s="28" t="str">
        <f aca="false">IF($A71="","",IF(N($X71)=0,"機器なし",IF(N($Y71)&gt;0,"入荷待ち",IF(COUNTIFS(発注・納品!$B$3:$B$202,$A71,発注・納品!$N$3:$N$202,"")&gt;0,"受入待ち","受入完了"))))</f>
        <v/>
      </c>
      <c r="AB71" s="26" t="str">
        <f aca="false">IF($A71="","",COUNTIFS(現地作業!$A$3:$A$202,$A71,現地作業!$L$3:$L$202,"予定"))</f>
        <v/>
      </c>
      <c r="AC71" s="26" t="str">
        <f aca="false">IF($A71="","",COUNTIFS(現地作業!$A$3:$A$202,$A71,現地作業!$L$3:$L$202,"完了"))</f>
        <v/>
      </c>
      <c r="AD71" s="27" t="str">
        <f aca="true">IF(N($AB71)=0,"",IF(_xlfn.MINIFS(現地作業!$C$3:$C$202,現地作業!$A$3:$A$202,$A71,現地作業!$L$3:$L$202,"予定",現地作業!$C$3:$C$202,"&gt;="&amp;TODAY())=0,"",_xlfn.MINIFS(現地作業!$C$3:$C$202,現地作業!$A$3:$A$202,$A71,現地作業!$L$3:$L$202,"予定",現地作業!$C$3:$C$202,"&gt;="&amp;TODAY())))</f>
        <v/>
      </c>
      <c r="AE71" s="39"/>
      <c r="AF71" s="30" t="str">
        <f aca="false">IF($A71="","",SUM(月次工数計画!$G$76:$AD$76))</f>
        <v/>
      </c>
      <c r="AG71" s="30" t="str">
        <f aca="false">IF($A71="","",SUMIFS(工数明細!$G$3:$G$302,工数明細!$B$3:$B$302,$A71))</f>
        <v/>
      </c>
      <c r="AH71" s="31" t="str">
        <f aca="false">IF($AE71="","",$AE71-N($AG71))</f>
        <v/>
      </c>
      <c r="AI71" s="25" t="str">
        <f aca="false">IF(N($AE71)=0,"",$AG71/$AE71)</f>
        <v/>
      </c>
      <c r="AJ71" s="20" t="str">
        <f aca="false">IF(N($AE71)=0,"",IF($AG71&gt;$AE71,"超過",IF($AG71&gt;=$AE71*0.9,"注意","適正")))</f>
        <v/>
      </c>
      <c r="AK71" s="34"/>
    </row>
    <row r="72" customFormat="false" ht="18" hidden="false" customHeight="true" outlineLevel="0" collapsed="false">
      <c r="A72" s="33"/>
      <c r="B72" s="34"/>
      <c r="C72" s="34"/>
      <c r="D72" s="34"/>
      <c r="E72" s="34"/>
      <c r="F72" s="35"/>
      <c r="G72" s="34"/>
      <c r="H72" s="34"/>
      <c r="I72" s="36"/>
      <c r="J72" s="37"/>
      <c r="K72" s="37"/>
      <c r="L72" s="37"/>
      <c r="M72" s="37"/>
      <c r="N72" s="19" t="str">
        <f aca="false">IF($J72="","",YEAR($J72)-IF(MONTH($J72)&lt;マスタ!$B$4,1,0))</f>
        <v/>
      </c>
      <c r="O72" s="20" t="str">
        <f aca="false">IF($J72="","","Q"&amp;(INT(MOD(MONTH($J72)-マスタ!$B$4+12,12)/3)+1))</f>
        <v/>
      </c>
      <c r="P72" s="21" t="str">
        <f aca="true">IF($L72="","",IF($M72&lt;&gt;"",$M72-$L72,IF(TODAY()&gt;$L72,TODAY()-$L72,0)))</f>
        <v/>
      </c>
      <c r="Q72" s="38"/>
      <c r="R72" s="23" t="str">
        <f aca="false">IF($Q72="","",$Q72*N($F72))</f>
        <v/>
      </c>
      <c r="S72" s="38"/>
      <c r="T72" s="24" t="str">
        <f aca="false">IF($A72="","",SUMIFS(発注・納品!$H$3:$H$202,発注・納品!$B$3:$B$202,$A72))</f>
        <v/>
      </c>
      <c r="U72" s="23" t="str">
        <f aca="false">IF($Q72="","",N($S72)+N($T72))</f>
        <v/>
      </c>
      <c r="V72" s="23" t="str">
        <f aca="false">IF($Q72="","",$Q72-N($U72))</f>
        <v/>
      </c>
      <c r="W72" s="25" t="str">
        <f aca="false">IF(N($Q72)=0,"",$V72/$Q72)</f>
        <v/>
      </c>
      <c r="X72" s="26" t="str">
        <f aca="false">IF($A72="","",COUNTIFS(発注・納品!$B$3:$B$202,$A72))</f>
        <v/>
      </c>
      <c r="Y72" s="26" t="str">
        <f aca="false">IF($A72="","",COUNTIFS(発注・納品!$B$3:$B$202,$A72,発注・納品!$M$3:$M$202,""))</f>
        <v/>
      </c>
      <c r="Z72" s="27" t="str">
        <f aca="false">IF(N($X72)=0,"",IF(_xlfn.MAXIFS(発注・納品!$M$3:$M$202,発注・納品!$B$3:$B$202,$A72)=0,"",_xlfn.MAXIFS(発注・納品!$M$3:$M$202,発注・納品!$B$3:$B$202,$A72)))</f>
        <v/>
      </c>
      <c r="AA72" s="28" t="str">
        <f aca="false">IF($A72="","",IF(N($X72)=0,"機器なし",IF(N($Y72)&gt;0,"入荷待ち",IF(COUNTIFS(発注・納品!$B$3:$B$202,$A72,発注・納品!$N$3:$N$202,"")&gt;0,"受入待ち","受入完了"))))</f>
        <v/>
      </c>
      <c r="AB72" s="26" t="str">
        <f aca="false">IF($A72="","",COUNTIFS(現地作業!$A$3:$A$202,$A72,現地作業!$L$3:$L$202,"予定"))</f>
        <v/>
      </c>
      <c r="AC72" s="26" t="str">
        <f aca="false">IF($A72="","",COUNTIFS(現地作業!$A$3:$A$202,$A72,現地作業!$L$3:$L$202,"完了"))</f>
        <v/>
      </c>
      <c r="AD72" s="27" t="str">
        <f aca="true">IF(N($AB72)=0,"",IF(_xlfn.MINIFS(現地作業!$C$3:$C$202,現地作業!$A$3:$A$202,$A72,現地作業!$L$3:$L$202,"予定",現地作業!$C$3:$C$202,"&gt;="&amp;TODAY())=0,"",_xlfn.MINIFS(現地作業!$C$3:$C$202,現地作業!$A$3:$A$202,$A72,現地作業!$L$3:$L$202,"予定",現地作業!$C$3:$C$202,"&gt;="&amp;TODAY())))</f>
        <v/>
      </c>
      <c r="AE72" s="39"/>
      <c r="AF72" s="30" t="str">
        <f aca="false">IF($A72="","",SUM(月次工数計画!$G$77:$AD$77))</f>
        <v/>
      </c>
      <c r="AG72" s="30" t="str">
        <f aca="false">IF($A72="","",SUMIFS(工数明細!$G$3:$G$302,工数明細!$B$3:$B$302,$A72))</f>
        <v/>
      </c>
      <c r="AH72" s="31" t="str">
        <f aca="false">IF($AE72="","",$AE72-N($AG72))</f>
        <v/>
      </c>
      <c r="AI72" s="25" t="str">
        <f aca="false">IF(N($AE72)=0,"",$AG72/$AE72)</f>
        <v/>
      </c>
      <c r="AJ72" s="20" t="str">
        <f aca="false">IF(N($AE72)=0,"",IF($AG72&gt;$AE72,"超過",IF($AG72&gt;=$AE72*0.9,"注意","適正")))</f>
        <v/>
      </c>
      <c r="AK72" s="34"/>
    </row>
    <row r="73" customFormat="false" ht="18" hidden="false" customHeight="true" outlineLevel="0" collapsed="false">
      <c r="A73" s="33"/>
      <c r="B73" s="34"/>
      <c r="C73" s="34"/>
      <c r="D73" s="34"/>
      <c r="E73" s="34"/>
      <c r="F73" s="35"/>
      <c r="G73" s="34"/>
      <c r="H73" s="34"/>
      <c r="I73" s="36"/>
      <c r="J73" s="37"/>
      <c r="K73" s="37"/>
      <c r="L73" s="37"/>
      <c r="M73" s="37"/>
      <c r="N73" s="19" t="str">
        <f aca="false">IF($J73="","",YEAR($J73)-IF(MONTH($J73)&lt;マスタ!$B$4,1,0))</f>
        <v/>
      </c>
      <c r="O73" s="20" t="str">
        <f aca="false">IF($J73="","","Q"&amp;(INT(MOD(MONTH($J73)-マスタ!$B$4+12,12)/3)+1))</f>
        <v/>
      </c>
      <c r="P73" s="21" t="str">
        <f aca="true">IF($L73="","",IF($M73&lt;&gt;"",$M73-$L73,IF(TODAY()&gt;$L73,TODAY()-$L73,0)))</f>
        <v/>
      </c>
      <c r="Q73" s="38"/>
      <c r="R73" s="23" t="str">
        <f aca="false">IF($Q73="","",$Q73*N($F73))</f>
        <v/>
      </c>
      <c r="S73" s="38"/>
      <c r="T73" s="24" t="str">
        <f aca="false">IF($A73="","",SUMIFS(発注・納品!$H$3:$H$202,発注・納品!$B$3:$B$202,$A73))</f>
        <v/>
      </c>
      <c r="U73" s="23" t="str">
        <f aca="false">IF($Q73="","",N($S73)+N($T73))</f>
        <v/>
      </c>
      <c r="V73" s="23" t="str">
        <f aca="false">IF($Q73="","",$Q73-N($U73))</f>
        <v/>
      </c>
      <c r="W73" s="25" t="str">
        <f aca="false">IF(N($Q73)=0,"",$V73/$Q73)</f>
        <v/>
      </c>
      <c r="X73" s="26" t="str">
        <f aca="false">IF($A73="","",COUNTIFS(発注・納品!$B$3:$B$202,$A73))</f>
        <v/>
      </c>
      <c r="Y73" s="26" t="str">
        <f aca="false">IF($A73="","",COUNTIFS(発注・納品!$B$3:$B$202,$A73,発注・納品!$M$3:$M$202,""))</f>
        <v/>
      </c>
      <c r="Z73" s="27" t="str">
        <f aca="false">IF(N($X73)=0,"",IF(_xlfn.MAXIFS(発注・納品!$M$3:$M$202,発注・納品!$B$3:$B$202,$A73)=0,"",_xlfn.MAXIFS(発注・納品!$M$3:$M$202,発注・納品!$B$3:$B$202,$A73)))</f>
        <v/>
      </c>
      <c r="AA73" s="28" t="str">
        <f aca="false">IF($A73="","",IF(N($X73)=0,"機器なし",IF(N($Y73)&gt;0,"入荷待ち",IF(COUNTIFS(発注・納品!$B$3:$B$202,$A73,発注・納品!$N$3:$N$202,"")&gt;0,"受入待ち","受入完了"))))</f>
        <v/>
      </c>
      <c r="AB73" s="26" t="str">
        <f aca="false">IF($A73="","",COUNTIFS(現地作業!$A$3:$A$202,$A73,現地作業!$L$3:$L$202,"予定"))</f>
        <v/>
      </c>
      <c r="AC73" s="26" t="str">
        <f aca="false">IF($A73="","",COUNTIFS(現地作業!$A$3:$A$202,$A73,現地作業!$L$3:$L$202,"完了"))</f>
        <v/>
      </c>
      <c r="AD73" s="27" t="str">
        <f aca="true">IF(N($AB73)=0,"",IF(_xlfn.MINIFS(現地作業!$C$3:$C$202,現地作業!$A$3:$A$202,$A73,現地作業!$L$3:$L$202,"予定",現地作業!$C$3:$C$202,"&gt;="&amp;TODAY())=0,"",_xlfn.MINIFS(現地作業!$C$3:$C$202,現地作業!$A$3:$A$202,$A73,現地作業!$L$3:$L$202,"予定",現地作業!$C$3:$C$202,"&gt;="&amp;TODAY())))</f>
        <v/>
      </c>
      <c r="AE73" s="39"/>
      <c r="AF73" s="30" t="str">
        <f aca="false">IF($A73="","",SUM(月次工数計画!$G$78:$AD$78))</f>
        <v/>
      </c>
      <c r="AG73" s="30" t="str">
        <f aca="false">IF($A73="","",SUMIFS(工数明細!$G$3:$G$302,工数明細!$B$3:$B$302,$A73))</f>
        <v/>
      </c>
      <c r="AH73" s="31" t="str">
        <f aca="false">IF($AE73="","",$AE73-N($AG73))</f>
        <v/>
      </c>
      <c r="AI73" s="25" t="str">
        <f aca="false">IF(N($AE73)=0,"",$AG73/$AE73)</f>
        <v/>
      </c>
      <c r="AJ73" s="20" t="str">
        <f aca="false">IF(N($AE73)=0,"",IF($AG73&gt;$AE73,"超過",IF($AG73&gt;=$AE73*0.9,"注意","適正")))</f>
        <v/>
      </c>
      <c r="AK73" s="34"/>
    </row>
    <row r="74" customFormat="false" ht="18" hidden="false" customHeight="true" outlineLevel="0" collapsed="false">
      <c r="A74" s="33"/>
      <c r="B74" s="34"/>
      <c r="C74" s="34"/>
      <c r="D74" s="34"/>
      <c r="E74" s="34"/>
      <c r="F74" s="35"/>
      <c r="G74" s="34"/>
      <c r="H74" s="34"/>
      <c r="I74" s="36"/>
      <c r="J74" s="37"/>
      <c r="K74" s="37"/>
      <c r="L74" s="37"/>
      <c r="M74" s="37"/>
      <c r="N74" s="19" t="str">
        <f aca="false">IF($J74="","",YEAR($J74)-IF(MONTH($J74)&lt;マスタ!$B$4,1,0))</f>
        <v/>
      </c>
      <c r="O74" s="20" t="str">
        <f aca="false">IF($J74="","","Q"&amp;(INT(MOD(MONTH($J74)-マスタ!$B$4+12,12)/3)+1))</f>
        <v/>
      </c>
      <c r="P74" s="21" t="str">
        <f aca="true">IF($L74="","",IF($M74&lt;&gt;"",$M74-$L74,IF(TODAY()&gt;$L74,TODAY()-$L74,0)))</f>
        <v/>
      </c>
      <c r="Q74" s="38"/>
      <c r="R74" s="23" t="str">
        <f aca="false">IF($Q74="","",$Q74*N($F74))</f>
        <v/>
      </c>
      <c r="S74" s="38"/>
      <c r="T74" s="24" t="str">
        <f aca="false">IF($A74="","",SUMIFS(発注・納品!$H$3:$H$202,発注・納品!$B$3:$B$202,$A74))</f>
        <v/>
      </c>
      <c r="U74" s="23" t="str">
        <f aca="false">IF($Q74="","",N($S74)+N($T74))</f>
        <v/>
      </c>
      <c r="V74" s="23" t="str">
        <f aca="false">IF($Q74="","",$Q74-N($U74))</f>
        <v/>
      </c>
      <c r="W74" s="25" t="str">
        <f aca="false">IF(N($Q74)=0,"",$V74/$Q74)</f>
        <v/>
      </c>
      <c r="X74" s="26" t="str">
        <f aca="false">IF($A74="","",COUNTIFS(発注・納品!$B$3:$B$202,$A74))</f>
        <v/>
      </c>
      <c r="Y74" s="26" t="str">
        <f aca="false">IF($A74="","",COUNTIFS(発注・納品!$B$3:$B$202,$A74,発注・納品!$M$3:$M$202,""))</f>
        <v/>
      </c>
      <c r="Z74" s="27" t="str">
        <f aca="false">IF(N($X74)=0,"",IF(_xlfn.MAXIFS(発注・納品!$M$3:$M$202,発注・納品!$B$3:$B$202,$A74)=0,"",_xlfn.MAXIFS(発注・納品!$M$3:$M$202,発注・納品!$B$3:$B$202,$A74)))</f>
        <v/>
      </c>
      <c r="AA74" s="28" t="str">
        <f aca="false">IF($A74="","",IF(N($X74)=0,"機器なし",IF(N($Y74)&gt;0,"入荷待ち",IF(COUNTIFS(発注・納品!$B$3:$B$202,$A74,発注・納品!$N$3:$N$202,"")&gt;0,"受入待ち","受入完了"))))</f>
        <v/>
      </c>
      <c r="AB74" s="26" t="str">
        <f aca="false">IF($A74="","",COUNTIFS(現地作業!$A$3:$A$202,$A74,現地作業!$L$3:$L$202,"予定"))</f>
        <v/>
      </c>
      <c r="AC74" s="26" t="str">
        <f aca="false">IF($A74="","",COUNTIFS(現地作業!$A$3:$A$202,$A74,現地作業!$L$3:$L$202,"完了"))</f>
        <v/>
      </c>
      <c r="AD74" s="27" t="str">
        <f aca="true">IF(N($AB74)=0,"",IF(_xlfn.MINIFS(現地作業!$C$3:$C$202,現地作業!$A$3:$A$202,$A74,現地作業!$L$3:$L$202,"予定",現地作業!$C$3:$C$202,"&gt;="&amp;TODAY())=0,"",_xlfn.MINIFS(現地作業!$C$3:$C$202,現地作業!$A$3:$A$202,$A74,現地作業!$L$3:$L$202,"予定",現地作業!$C$3:$C$202,"&gt;="&amp;TODAY())))</f>
        <v/>
      </c>
      <c r="AE74" s="39"/>
      <c r="AF74" s="30" t="str">
        <f aca="false">IF($A74="","",SUM(月次工数計画!$G$79:$AD$79))</f>
        <v/>
      </c>
      <c r="AG74" s="30" t="str">
        <f aca="false">IF($A74="","",SUMIFS(工数明細!$G$3:$G$302,工数明細!$B$3:$B$302,$A74))</f>
        <v/>
      </c>
      <c r="AH74" s="31" t="str">
        <f aca="false">IF($AE74="","",$AE74-N($AG74))</f>
        <v/>
      </c>
      <c r="AI74" s="25" t="str">
        <f aca="false">IF(N($AE74)=0,"",$AG74/$AE74)</f>
        <v/>
      </c>
      <c r="AJ74" s="20" t="str">
        <f aca="false">IF(N($AE74)=0,"",IF($AG74&gt;$AE74,"超過",IF($AG74&gt;=$AE74*0.9,"注意","適正")))</f>
        <v/>
      </c>
      <c r="AK74" s="34"/>
    </row>
    <row r="75" customFormat="false" ht="18" hidden="false" customHeight="true" outlineLevel="0" collapsed="false">
      <c r="A75" s="33"/>
      <c r="B75" s="34"/>
      <c r="C75" s="34"/>
      <c r="D75" s="34"/>
      <c r="E75" s="34"/>
      <c r="F75" s="35"/>
      <c r="G75" s="34"/>
      <c r="H75" s="34"/>
      <c r="I75" s="36"/>
      <c r="J75" s="37"/>
      <c r="K75" s="37"/>
      <c r="L75" s="37"/>
      <c r="M75" s="37"/>
      <c r="N75" s="19" t="str">
        <f aca="false">IF($J75="","",YEAR($J75)-IF(MONTH($J75)&lt;マスタ!$B$4,1,0))</f>
        <v/>
      </c>
      <c r="O75" s="20" t="str">
        <f aca="false">IF($J75="","","Q"&amp;(INT(MOD(MONTH($J75)-マスタ!$B$4+12,12)/3)+1))</f>
        <v/>
      </c>
      <c r="P75" s="21" t="str">
        <f aca="true">IF($L75="","",IF($M75&lt;&gt;"",$M75-$L75,IF(TODAY()&gt;$L75,TODAY()-$L75,0)))</f>
        <v/>
      </c>
      <c r="Q75" s="38"/>
      <c r="R75" s="23" t="str">
        <f aca="false">IF($Q75="","",$Q75*N($F75))</f>
        <v/>
      </c>
      <c r="S75" s="38"/>
      <c r="T75" s="24" t="str">
        <f aca="false">IF($A75="","",SUMIFS(発注・納品!$H$3:$H$202,発注・納品!$B$3:$B$202,$A75))</f>
        <v/>
      </c>
      <c r="U75" s="23" t="str">
        <f aca="false">IF($Q75="","",N($S75)+N($T75))</f>
        <v/>
      </c>
      <c r="V75" s="23" t="str">
        <f aca="false">IF($Q75="","",$Q75-N($U75))</f>
        <v/>
      </c>
      <c r="W75" s="25" t="str">
        <f aca="false">IF(N($Q75)=0,"",$V75/$Q75)</f>
        <v/>
      </c>
      <c r="X75" s="26" t="str">
        <f aca="false">IF($A75="","",COUNTIFS(発注・納品!$B$3:$B$202,$A75))</f>
        <v/>
      </c>
      <c r="Y75" s="26" t="str">
        <f aca="false">IF($A75="","",COUNTIFS(発注・納品!$B$3:$B$202,$A75,発注・納品!$M$3:$M$202,""))</f>
        <v/>
      </c>
      <c r="Z75" s="27" t="str">
        <f aca="false">IF(N($X75)=0,"",IF(_xlfn.MAXIFS(発注・納品!$M$3:$M$202,発注・納品!$B$3:$B$202,$A75)=0,"",_xlfn.MAXIFS(発注・納品!$M$3:$M$202,発注・納品!$B$3:$B$202,$A75)))</f>
        <v/>
      </c>
      <c r="AA75" s="28" t="str">
        <f aca="false">IF($A75="","",IF(N($X75)=0,"機器なし",IF(N($Y75)&gt;0,"入荷待ち",IF(COUNTIFS(発注・納品!$B$3:$B$202,$A75,発注・納品!$N$3:$N$202,"")&gt;0,"受入待ち","受入完了"))))</f>
        <v/>
      </c>
      <c r="AB75" s="26" t="str">
        <f aca="false">IF($A75="","",COUNTIFS(現地作業!$A$3:$A$202,$A75,現地作業!$L$3:$L$202,"予定"))</f>
        <v/>
      </c>
      <c r="AC75" s="26" t="str">
        <f aca="false">IF($A75="","",COUNTIFS(現地作業!$A$3:$A$202,$A75,現地作業!$L$3:$L$202,"完了"))</f>
        <v/>
      </c>
      <c r="AD75" s="27" t="str">
        <f aca="true">IF(N($AB75)=0,"",IF(_xlfn.MINIFS(現地作業!$C$3:$C$202,現地作業!$A$3:$A$202,$A75,現地作業!$L$3:$L$202,"予定",現地作業!$C$3:$C$202,"&gt;="&amp;TODAY())=0,"",_xlfn.MINIFS(現地作業!$C$3:$C$202,現地作業!$A$3:$A$202,$A75,現地作業!$L$3:$L$202,"予定",現地作業!$C$3:$C$202,"&gt;="&amp;TODAY())))</f>
        <v/>
      </c>
      <c r="AE75" s="39"/>
      <c r="AF75" s="30" t="str">
        <f aca="false">IF($A75="","",SUM(月次工数計画!$G$80:$AD$80))</f>
        <v/>
      </c>
      <c r="AG75" s="30" t="str">
        <f aca="false">IF($A75="","",SUMIFS(工数明細!$G$3:$G$302,工数明細!$B$3:$B$302,$A75))</f>
        <v/>
      </c>
      <c r="AH75" s="31" t="str">
        <f aca="false">IF($AE75="","",$AE75-N($AG75))</f>
        <v/>
      </c>
      <c r="AI75" s="25" t="str">
        <f aca="false">IF(N($AE75)=0,"",$AG75/$AE75)</f>
        <v/>
      </c>
      <c r="AJ75" s="20" t="str">
        <f aca="false">IF(N($AE75)=0,"",IF($AG75&gt;$AE75,"超過",IF($AG75&gt;=$AE75*0.9,"注意","適正")))</f>
        <v/>
      </c>
      <c r="AK75" s="34"/>
    </row>
    <row r="76" customFormat="false" ht="18" hidden="false" customHeight="true" outlineLevel="0" collapsed="false">
      <c r="A76" s="33"/>
      <c r="B76" s="34"/>
      <c r="C76" s="34"/>
      <c r="D76" s="34"/>
      <c r="E76" s="34"/>
      <c r="F76" s="35"/>
      <c r="G76" s="34"/>
      <c r="H76" s="34"/>
      <c r="I76" s="36"/>
      <c r="J76" s="37"/>
      <c r="K76" s="37"/>
      <c r="L76" s="37"/>
      <c r="M76" s="37"/>
      <c r="N76" s="19" t="str">
        <f aca="false">IF($J76="","",YEAR($J76)-IF(MONTH($J76)&lt;マスタ!$B$4,1,0))</f>
        <v/>
      </c>
      <c r="O76" s="20" t="str">
        <f aca="false">IF($J76="","","Q"&amp;(INT(MOD(MONTH($J76)-マスタ!$B$4+12,12)/3)+1))</f>
        <v/>
      </c>
      <c r="P76" s="21" t="str">
        <f aca="true">IF($L76="","",IF($M76&lt;&gt;"",$M76-$L76,IF(TODAY()&gt;$L76,TODAY()-$L76,0)))</f>
        <v/>
      </c>
      <c r="Q76" s="38"/>
      <c r="R76" s="23" t="str">
        <f aca="false">IF($Q76="","",$Q76*N($F76))</f>
        <v/>
      </c>
      <c r="S76" s="38"/>
      <c r="T76" s="24" t="str">
        <f aca="false">IF($A76="","",SUMIFS(発注・納品!$H$3:$H$202,発注・納品!$B$3:$B$202,$A76))</f>
        <v/>
      </c>
      <c r="U76" s="23" t="str">
        <f aca="false">IF($Q76="","",N($S76)+N($T76))</f>
        <v/>
      </c>
      <c r="V76" s="23" t="str">
        <f aca="false">IF($Q76="","",$Q76-N($U76))</f>
        <v/>
      </c>
      <c r="W76" s="25" t="str">
        <f aca="false">IF(N($Q76)=0,"",$V76/$Q76)</f>
        <v/>
      </c>
      <c r="X76" s="26" t="str">
        <f aca="false">IF($A76="","",COUNTIFS(発注・納品!$B$3:$B$202,$A76))</f>
        <v/>
      </c>
      <c r="Y76" s="26" t="str">
        <f aca="false">IF($A76="","",COUNTIFS(発注・納品!$B$3:$B$202,$A76,発注・納品!$M$3:$M$202,""))</f>
        <v/>
      </c>
      <c r="Z76" s="27" t="str">
        <f aca="false">IF(N($X76)=0,"",IF(_xlfn.MAXIFS(発注・納品!$M$3:$M$202,発注・納品!$B$3:$B$202,$A76)=0,"",_xlfn.MAXIFS(発注・納品!$M$3:$M$202,発注・納品!$B$3:$B$202,$A76)))</f>
        <v/>
      </c>
      <c r="AA76" s="28" t="str">
        <f aca="false">IF($A76="","",IF(N($X76)=0,"機器なし",IF(N($Y76)&gt;0,"入荷待ち",IF(COUNTIFS(発注・納品!$B$3:$B$202,$A76,発注・納品!$N$3:$N$202,"")&gt;0,"受入待ち","受入完了"))))</f>
        <v/>
      </c>
      <c r="AB76" s="26" t="str">
        <f aca="false">IF($A76="","",COUNTIFS(現地作業!$A$3:$A$202,$A76,現地作業!$L$3:$L$202,"予定"))</f>
        <v/>
      </c>
      <c r="AC76" s="26" t="str">
        <f aca="false">IF($A76="","",COUNTIFS(現地作業!$A$3:$A$202,$A76,現地作業!$L$3:$L$202,"完了"))</f>
        <v/>
      </c>
      <c r="AD76" s="27" t="str">
        <f aca="true">IF(N($AB76)=0,"",IF(_xlfn.MINIFS(現地作業!$C$3:$C$202,現地作業!$A$3:$A$202,$A76,現地作業!$L$3:$L$202,"予定",現地作業!$C$3:$C$202,"&gt;="&amp;TODAY())=0,"",_xlfn.MINIFS(現地作業!$C$3:$C$202,現地作業!$A$3:$A$202,$A76,現地作業!$L$3:$L$202,"予定",現地作業!$C$3:$C$202,"&gt;="&amp;TODAY())))</f>
        <v/>
      </c>
      <c r="AE76" s="39"/>
      <c r="AF76" s="30" t="str">
        <f aca="false">IF($A76="","",SUM(月次工数計画!$G$81:$AD$81))</f>
        <v/>
      </c>
      <c r="AG76" s="30" t="str">
        <f aca="false">IF($A76="","",SUMIFS(工数明細!$G$3:$G$302,工数明細!$B$3:$B$302,$A76))</f>
        <v/>
      </c>
      <c r="AH76" s="31" t="str">
        <f aca="false">IF($AE76="","",$AE76-N($AG76))</f>
        <v/>
      </c>
      <c r="AI76" s="25" t="str">
        <f aca="false">IF(N($AE76)=0,"",$AG76/$AE76)</f>
        <v/>
      </c>
      <c r="AJ76" s="20" t="str">
        <f aca="false">IF(N($AE76)=0,"",IF($AG76&gt;$AE76,"超過",IF($AG76&gt;=$AE76*0.9,"注意","適正")))</f>
        <v/>
      </c>
      <c r="AK76" s="34"/>
    </row>
    <row r="77" customFormat="false" ht="18" hidden="false" customHeight="true" outlineLevel="0" collapsed="false">
      <c r="A77" s="33"/>
      <c r="B77" s="34"/>
      <c r="C77" s="34"/>
      <c r="D77" s="34"/>
      <c r="E77" s="34"/>
      <c r="F77" s="35"/>
      <c r="G77" s="34"/>
      <c r="H77" s="34"/>
      <c r="I77" s="36"/>
      <c r="J77" s="37"/>
      <c r="K77" s="37"/>
      <c r="L77" s="37"/>
      <c r="M77" s="37"/>
      <c r="N77" s="19" t="str">
        <f aca="false">IF($J77="","",YEAR($J77)-IF(MONTH($J77)&lt;マスタ!$B$4,1,0))</f>
        <v/>
      </c>
      <c r="O77" s="20" t="str">
        <f aca="false">IF($J77="","","Q"&amp;(INT(MOD(MONTH($J77)-マスタ!$B$4+12,12)/3)+1))</f>
        <v/>
      </c>
      <c r="P77" s="21" t="str">
        <f aca="true">IF($L77="","",IF($M77&lt;&gt;"",$M77-$L77,IF(TODAY()&gt;$L77,TODAY()-$L77,0)))</f>
        <v/>
      </c>
      <c r="Q77" s="38"/>
      <c r="R77" s="23" t="str">
        <f aca="false">IF($Q77="","",$Q77*N($F77))</f>
        <v/>
      </c>
      <c r="S77" s="38"/>
      <c r="T77" s="24" t="str">
        <f aca="false">IF($A77="","",SUMIFS(発注・納品!$H$3:$H$202,発注・納品!$B$3:$B$202,$A77))</f>
        <v/>
      </c>
      <c r="U77" s="23" t="str">
        <f aca="false">IF($Q77="","",N($S77)+N($T77))</f>
        <v/>
      </c>
      <c r="V77" s="23" t="str">
        <f aca="false">IF($Q77="","",$Q77-N($U77))</f>
        <v/>
      </c>
      <c r="W77" s="25" t="str">
        <f aca="false">IF(N($Q77)=0,"",$V77/$Q77)</f>
        <v/>
      </c>
      <c r="X77" s="26" t="str">
        <f aca="false">IF($A77="","",COUNTIFS(発注・納品!$B$3:$B$202,$A77))</f>
        <v/>
      </c>
      <c r="Y77" s="26" t="str">
        <f aca="false">IF($A77="","",COUNTIFS(発注・納品!$B$3:$B$202,$A77,発注・納品!$M$3:$M$202,""))</f>
        <v/>
      </c>
      <c r="Z77" s="27" t="str">
        <f aca="false">IF(N($X77)=0,"",IF(_xlfn.MAXIFS(発注・納品!$M$3:$M$202,発注・納品!$B$3:$B$202,$A77)=0,"",_xlfn.MAXIFS(発注・納品!$M$3:$M$202,発注・納品!$B$3:$B$202,$A77)))</f>
        <v/>
      </c>
      <c r="AA77" s="28" t="str">
        <f aca="false">IF($A77="","",IF(N($X77)=0,"機器なし",IF(N($Y77)&gt;0,"入荷待ち",IF(COUNTIFS(発注・納品!$B$3:$B$202,$A77,発注・納品!$N$3:$N$202,"")&gt;0,"受入待ち","受入完了"))))</f>
        <v/>
      </c>
      <c r="AB77" s="26" t="str">
        <f aca="false">IF($A77="","",COUNTIFS(現地作業!$A$3:$A$202,$A77,現地作業!$L$3:$L$202,"予定"))</f>
        <v/>
      </c>
      <c r="AC77" s="26" t="str">
        <f aca="false">IF($A77="","",COUNTIFS(現地作業!$A$3:$A$202,$A77,現地作業!$L$3:$L$202,"完了"))</f>
        <v/>
      </c>
      <c r="AD77" s="27" t="str">
        <f aca="true">IF(N($AB77)=0,"",IF(_xlfn.MINIFS(現地作業!$C$3:$C$202,現地作業!$A$3:$A$202,$A77,現地作業!$L$3:$L$202,"予定",現地作業!$C$3:$C$202,"&gt;="&amp;TODAY())=0,"",_xlfn.MINIFS(現地作業!$C$3:$C$202,現地作業!$A$3:$A$202,$A77,現地作業!$L$3:$L$202,"予定",現地作業!$C$3:$C$202,"&gt;="&amp;TODAY())))</f>
        <v/>
      </c>
      <c r="AE77" s="39"/>
      <c r="AF77" s="30" t="str">
        <f aca="false">IF($A77="","",SUM(月次工数計画!$G$82:$AD$82))</f>
        <v/>
      </c>
      <c r="AG77" s="30" t="str">
        <f aca="false">IF($A77="","",SUMIFS(工数明細!$G$3:$G$302,工数明細!$B$3:$B$302,$A77))</f>
        <v/>
      </c>
      <c r="AH77" s="31" t="str">
        <f aca="false">IF($AE77="","",$AE77-N($AG77))</f>
        <v/>
      </c>
      <c r="AI77" s="25" t="str">
        <f aca="false">IF(N($AE77)=0,"",$AG77/$AE77)</f>
        <v/>
      </c>
      <c r="AJ77" s="20" t="str">
        <f aca="false">IF(N($AE77)=0,"",IF($AG77&gt;$AE77,"超過",IF($AG77&gt;=$AE77*0.9,"注意","適正")))</f>
        <v/>
      </c>
      <c r="AK77" s="34"/>
    </row>
    <row r="78" customFormat="false" ht="18" hidden="false" customHeight="true" outlineLevel="0" collapsed="false">
      <c r="A78" s="33"/>
      <c r="B78" s="34"/>
      <c r="C78" s="34"/>
      <c r="D78" s="34"/>
      <c r="E78" s="34"/>
      <c r="F78" s="35"/>
      <c r="G78" s="34"/>
      <c r="H78" s="34"/>
      <c r="I78" s="36"/>
      <c r="J78" s="37"/>
      <c r="K78" s="37"/>
      <c r="L78" s="37"/>
      <c r="M78" s="37"/>
      <c r="N78" s="19" t="str">
        <f aca="false">IF($J78="","",YEAR($J78)-IF(MONTH($J78)&lt;マスタ!$B$4,1,0))</f>
        <v/>
      </c>
      <c r="O78" s="20" t="str">
        <f aca="false">IF($J78="","","Q"&amp;(INT(MOD(MONTH($J78)-マスタ!$B$4+12,12)/3)+1))</f>
        <v/>
      </c>
      <c r="P78" s="21" t="str">
        <f aca="true">IF($L78="","",IF($M78&lt;&gt;"",$M78-$L78,IF(TODAY()&gt;$L78,TODAY()-$L78,0)))</f>
        <v/>
      </c>
      <c r="Q78" s="38"/>
      <c r="R78" s="23" t="str">
        <f aca="false">IF($Q78="","",$Q78*N($F78))</f>
        <v/>
      </c>
      <c r="S78" s="38"/>
      <c r="T78" s="24" t="str">
        <f aca="false">IF($A78="","",SUMIFS(発注・納品!$H$3:$H$202,発注・納品!$B$3:$B$202,$A78))</f>
        <v/>
      </c>
      <c r="U78" s="23" t="str">
        <f aca="false">IF($Q78="","",N($S78)+N($T78))</f>
        <v/>
      </c>
      <c r="V78" s="23" t="str">
        <f aca="false">IF($Q78="","",$Q78-N($U78))</f>
        <v/>
      </c>
      <c r="W78" s="25" t="str">
        <f aca="false">IF(N($Q78)=0,"",$V78/$Q78)</f>
        <v/>
      </c>
      <c r="X78" s="26" t="str">
        <f aca="false">IF($A78="","",COUNTIFS(発注・納品!$B$3:$B$202,$A78))</f>
        <v/>
      </c>
      <c r="Y78" s="26" t="str">
        <f aca="false">IF($A78="","",COUNTIFS(発注・納品!$B$3:$B$202,$A78,発注・納品!$M$3:$M$202,""))</f>
        <v/>
      </c>
      <c r="Z78" s="27" t="str">
        <f aca="false">IF(N($X78)=0,"",IF(_xlfn.MAXIFS(発注・納品!$M$3:$M$202,発注・納品!$B$3:$B$202,$A78)=0,"",_xlfn.MAXIFS(発注・納品!$M$3:$M$202,発注・納品!$B$3:$B$202,$A78)))</f>
        <v/>
      </c>
      <c r="AA78" s="28" t="str">
        <f aca="false">IF($A78="","",IF(N($X78)=0,"機器なし",IF(N($Y78)&gt;0,"入荷待ち",IF(COUNTIFS(発注・納品!$B$3:$B$202,$A78,発注・納品!$N$3:$N$202,"")&gt;0,"受入待ち","受入完了"))))</f>
        <v/>
      </c>
      <c r="AB78" s="26" t="str">
        <f aca="false">IF($A78="","",COUNTIFS(現地作業!$A$3:$A$202,$A78,現地作業!$L$3:$L$202,"予定"))</f>
        <v/>
      </c>
      <c r="AC78" s="26" t="str">
        <f aca="false">IF($A78="","",COUNTIFS(現地作業!$A$3:$A$202,$A78,現地作業!$L$3:$L$202,"完了"))</f>
        <v/>
      </c>
      <c r="AD78" s="27" t="str">
        <f aca="true">IF(N($AB78)=0,"",IF(_xlfn.MINIFS(現地作業!$C$3:$C$202,現地作業!$A$3:$A$202,$A78,現地作業!$L$3:$L$202,"予定",現地作業!$C$3:$C$202,"&gt;="&amp;TODAY())=0,"",_xlfn.MINIFS(現地作業!$C$3:$C$202,現地作業!$A$3:$A$202,$A78,現地作業!$L$3:$L$202,"予定",現地作業!$C$3:$C$202,"&gt;="&amp;TODAY())))</f>
        <v/>
      </c>
      <c r="AE78" s="39"/>
      <c r="AF78" s="30" t="str">
        <f aca="false">IF($A78="","",SUM(月次工数計画!$G$83:$AD$83))</f>
        <v/>
      </c>
      <c r="AG78" s="30" t="str">
        <f aca="false">IF($A78="","",SUMIFS(工数明細!$G$3:$G$302,工数明細!$B$3:$B$302,$A78))</f>
        <v/>
      </c>
      <c r="AH78" s="31" t="str">
        <f aca="false">IF($AE78="","",$AE78-N($AG78))</f>
        <v/>
      </c>
      <c r="AI78" s="25" t="str">
        <f aca="false">IF(N($AE78)=0,"",$AG78/$AE78)</f>
        <v/>
      </c>
      <c r="AJ78" s="20" t="str">
        <f aca="false">IF(N($AE78)=0,"",IF($AG78&gt;$AE78,"超過",IF($AG78&gt;=$AE78*0.9,"注意","適正")))</f>
        <v/>
      </c>
      <c r="AK78" s="34"/>
    </row>
    <row r="79" customFormat="false" ht="18" hidden="false" customHeight="true" outlineLevel="0" collapsed="false">
      <c r="A79" s="33"/>
      <c r="B79" s="34"/>
      <c r="C79" s="34"/>
      <c r="D79" s="34"/>
      <c r="E79" s="34"/>
      <c r="F79" s="35"/>
      <c r="G79" s="34"/>
      <c r="H79" s="34"/>
      <c r="I79" s="36"/>
      <c r="J79" s="37"/>
      <c r="K79" s="37"/>
      <c r="L79" s="37"/>
      <c r="M79" s="37"/>
      <c r="N79" s="19" t="str">
        <f aca="false">IF($J79="","",YEAR($J79)-IF(MONTH($J79)&lt;マスタ!$B$4,1,0))</f>
        <v/>
      </c>
      <c r="O79" s="20" t="str">
        <f aca="false">IF($J79="","","Q"&amp;(INT(MOD(MONTH($J79)-マスタ!$B$4+12,12)/3)+1))</f>
        <v/>
      </c>
      <c r="P79" s="21" t="str">
        <f aca="true">IF($L79="","",IF($M79&lt;&gt;"",$M79-$L79,IF(TODAY()&gt;$L79,TODAY()-$L79,0)))</f>
        <v/>
      </c>
      <c r="Q79" s="38"/>
      <c r="R79" s="23" t="str">
        <f aca="false">IF($Q79="","",$Q79*N($F79))</f>
        <v/>
      </c>
      <c r="S79" s="38"/>
      <c r="T79" s="24" t="str">
        <f aca="false">IF($A79="","",SUMIFS(発注・納品!$H$3:$H$202,発注・納品!$B$3:$B$202,$A79))</f>
        <v/>
      </c>
      <c r="U79" s="23" t="str">
        <f aca="false">IF($Q79="","",N($S79)+N($T79))</f>
        <v/>
      </c>
      <c r="V79" s="23" t="str">
        <f aca="false">IF($Q79="","",$Q79-N($U79))</f>
        <v/>
      </c>
      <c r="W79" s="25" t="str">
        <f aca="false">IF(N($Q79)=0,"",$V79/$Q79)</f>
        <v/>
      </c>
      <c r="X79" s="26" t="str">
        <f aca="false">IF($A79="","",COUNTIFS(発注・納品!$B$3:$B$202,$A79))</f>
        <v/>
      </c>
      <c r="Y79" s="26" t="str">
        <f aca="false">IF($A79="","",COUNTIFS(発注・納品!$B$3:$B$202,$A79,発注・納品!$M$3:$M$202,""))</f>
        <v/>
      </c>
      <c r="Z79" s="27" t="str">
        <f aca="false">IF(N($X79)=0,"",IF(_xlfn.MAXIFS(発注・納品!$M$3:$M$202,発注・納品!$B$3:$B$202,$A79)=0,"",_xlfn.MAXIFS(発注・納品!$M$3:$M$202,発注・納品!$B$3:$B$202,$A79)))</f>
        <v/>
      </c>
      <c r="AA79" s="28" t="str">
        <f aca="false">IF($A79="","",IF(N($X79)=0,"機器なし",IF(N($Y79)&gt;0,"入荷待ち",IF(COUNTIFS(発注・納品!$B$3:$B$202,$A79,発注・納品!$N$3:$N$202,"")&gt;0,"受入待ち","受入完了"))))</f>
        <v/>
      </c>
      <c r="AB79" s="26" t="str">
        <f aca="false">IF($A79="","",COUNTIFS(現地作業!$A$3:$A$202,$A79,現地作業!$L$3:$L$202,"予定"))</f>
        <v/>
      </c>
      <c r="AC79" s="26" t="str">
        <f aca="false">IF($A79="","",COUNTIFS(現地作業!$A$3:$A$202,$A79,現地作業!$L$3:$L$202,"完了"))</f>
        <v/>
      </c>
      <c r="AD79" s="27" t="str">
        <f aca="true">IF(N($AB79)=0,"",IF(_xlfn.MINIFS(現地作業!$C$3:$C$202,現地作業!$A$3:$A$202,$A79,現地作業!$L$3:$L$202,"予定",現地作業!$C$3:$C$202,"&gt;="&amp;TODAY())=0,"",_xlfn.MINIFS(現地作業!$C$3:$C$202,現地作業!$A$3:$A$202,$A79,現地作業!$L$3:$L$202,"予定",現地作業!$C$3:$C$202,"&gt;="&amp;TODAY())))</f>
        <v/>
      </c>
      <c r="AE79" s="39"/>
      <c r="AF79" s="30" t="str">
        <f aca="false">IF($A79="","",SUM(月次工数計画!$G$84:$AD$84))</f>
        <v/>
      </c>
      <c r="AG79" s="30" t="str">
        <f aca="false">IF($A79="","",SUMIFS(工数明細!$G$3:$G$302,工数明細!$B$3:$B$302,$A79))</f>
        <v/>
      </c>
      <c r="AH79" s="31" t="str">
        <f aca="false">IF($AE79="","",$AE79-N($AG79))</f>
        <v/>
      </c>
      <c r="AI79" s="25" t="str">
        <f aca="false">IF(N($AE79)=0,"",$AG79/$AE79)</f>
        <v/>
      </c>
      <c r="AJ79" s="20" t="str">
        <f aca="false">IF(N($AE79)=0,"",IF($AG79&gt;$AE79,"超過",IF($AG79&gt;=$AE79*0.9,"注意","適正")))</f>
        <v/>
      </c>
      <c r="AK79" s="34"/>
    </row>
    <row r="80" customFormat="false" ht="18" hidden="false" customHeight="true" outlineLevel="0" collapsed="false">
      <c r="A80" s="33"/>
      <c r="B80" s="34"/>
      <c r="C80" s="34"/>
      <c r="D80" s="34"/>
      <c r="E80" s="34"/>
      <c r="F80" s="35"/>
      <c r="G80" s="34"/>
      <c r="H80" s="34"/>
      <c r="I80" s="36"/>
      <c r="J80" s="37"/>
      <c r="K80" s="37"/>
      <c r="L80" s="37"/>
      <c r="M80" s="37"/>
      <c r="N80" s="19" t="str">
        <f aca="false">IF($J80="","",YEAR($J80)-IF(MONTH($J80)&lt;マスタ!$B$4,1,0))</f>
        <v/>
      </c>
      <c r="O80" s="20" t="str">
        <f aca="false">IF($J80="","","Q"&amp;(INT(MOD(MONTH($J80)-マスタ!$B$4+12,12)/3)+1))</f>
        <v/>
      </c>
      <c r="P80" s="21" t="str">
        <f aca="true">IF($L80="","",IF($M80&lt;&gt;"",$M80-$L80,IF(TODAY()&gt;$L80,TODAY()-$L80,0)))</f>
        <v/>
      </c>
      <c r="Q80" s="38"/>
      <c r="R80" s="23" t="str">
        <f aca="false">IF($Q80="","",$Q80*N($F80))</f>
        <v/>
      </c>
      <c r="S80" s="38"/>
      <c r="T80" s="24" t="str">
        <f aca="false">IF($A80="","",SUMIFS(発注・納品!$H$3:$H$202,発注・納品!$B$3:$B$202,$A80))</f>
        <v/>
      </c>
      <c r="U80" s="23" t="str">
        <f aca="false">IF($Q80="","",N($S80)+N($T80))</f>
        <v/>
      </c>
      <c r="V80" s="23" t="str">
        <f aca="false">IF($Q80="","",$Q80-N($U80))</f>
        <v/>
      </c>
      <c r="W80" s="25" t="str">
        <f aca="false">IF(N($Q80)=0,"",$V80/$Q80)</f>
        <v/>
      </c>
      <c r="X80" s="26" t="str">
        <f aca="false">IF($A80="","",COUNTIFS(発注・納品!$B$3:$B$202,$A80))</f>
        <v/>
      </c>
      <c r="Y80" s="26" t="str">
        <f aca="false">IF($A80="","",COUNTIFS(発注・納品!$B$3:$B$202,$A80,発注・納品!$M$3:$M$202,""))</f>
        <v/>
      </c>
      <c r="Z80" s="27" t="str">
        <f aca="false">IF(N($X80)=0,"",IF(_xlfn.MAXIFS(発注・納品!$M$3:$M$202,発注・納品!$B$3:$B$202,$A80)=0,"",_xlfn.MAXIFS(発注・納品!$M$3:$M$202,発注・納品!$B$3:$B$202,$A80)))</f>
        <v/>
      </c>
      <c r="AA80" s="28" t="str">
        <f aca="false">IF($A80="","",IF(N($X80)=0,"機器なし",IF(N($Y80)&gt;0,"入荷待ち",IF(COUNTIFS(発注・納品!$B$3:$B$202,$A80,発注・納品!$N$3:$N$202,"")&gt;0,"受入待ち","受入完了"))))</f>
        <v/>
      </c>
      <c r="AB80" s="26" t="str">
        <f aca="false">IF($A80="","",COUNTIFS(現地作業!$A$3:$A$202,$A80,現地作業!$L$3:$L$202,"予定"))</f>
        <v/>
      </c>
      <c r="AC80" s="26" t="str">
        <f aca="false">IF($A80="","",COUNTIFS(現地作業!$A$3:$A$202,$A80,現地作業!$L$3:$L$202,"完了"))</f>
        <v/>
      </c>
      <c r="AD80" s="27" t="str">
        <f aca="true">IF(N($AB80)=0,"",IF(_xlfn.MINIFS(現地作業!$C$3:$C$202,現地作業!$A$3:$A$202,$A80,現地作業!$L$3:$L$202,"予定",現地作業!$C$3:$C$202,"&gt;="&amp;TODAY())=0,"",_xlfn.MINIFS(現地作業!$C$3:$C$202,現地作業!$A$3:$A$202,$A80,現地作業!$L$3:$L$202,"予定",現地作業!$C$3:$C$202,"&gt;="&amp;TODAY())))</f>
        <v/>
      </c>
      <c r="AE80" s="39"/>
      <c r="AF80" s="30" t="str">
        <f aca="false">IF($A80="","",SUM(月次工数計画!$G$85:$AD$85))</f>
        <v/>
      </c>
      <c r="AG80" s="30" t="str">
        <f aca="false">IF($A80="","",SUMIFS(工数明細!$G$3:$G$302,工数明細!$B$3:$B$302,$A80))</f>
        <v/>
      </c>
      <c r="AH80" s="31" t="str">
        <f aca="false">IF($AE80="","",$AE80-N($AG80))</f>
        <v/>
      </c>
      <c r="AI80" s="25" t="str">
        <f aca="false">IF(N($AE80)=0,"",$AG80/$AE80)</f>
        <v/>
      </c>
      <c r="AJ80" s="20" t="str">
        <f aca="false">IF(N($AE80)=0,"",IF($AG80&gt;$AE80,"超過",IF($AG80&gt;=$AE80*0.9,"注意","適正")))</f>
        <v/>
      </c>
      <c r="AK80" s="34"/>
    </row>
    <row r="81" customFormat="false" ht="18" hidden="false" customHeight="true" outlineLevel="0" collapsed="false">
      <c r="A81" s="33"/>
      <c r="B81" s="34"/>
      <c r="C81" s="34"/>
      <c r="D81" s="34"/>
      <c r="E81" s="34"/>
      <c r="F81" s="35"/>
      <c r="G81" s="34"/>
      <c r="H81" s="34"/>
      <c r="I81" s="36"/>
      <c r="J81" s="37"/>
      <c r="K81" s="37"/>
      <c r="L81" s="37"/>
      <c r="M81" s="37"/>
      <c r="N81" s="19" t="str">
        <f aca="false">IF($J81="","",YEAR($J81)-IF(MONTH($J81)&lt;マスタ!$B$4,1,0))</f>
        <v/>
      </c>
      <c r="O81" s="20" t="str">
        <f aca="false">IF($J81="","","Q"&amp;(INT(MOD(MONTH($J81)-マスタ!$B$4+12,12)/3)+1))</f>
        <v/>
      </c>
      <c r="P81" s="21" t="str">
        <f aca="true">IF($L81="","",IF($M81&lt;&gt;"",$M81-$L81,IF(TODAY()&gt;$L81,TODAY()-$L81,0)))</f>
        <v/>
      </c>
      <c r="Q81" s="38"/>
      <c r="R81" s="23" t="str">
        <f aca="false">IF($Q81="","",$Q81*N($F81))</f>
        <v/>
      </c>
      <c r="S81" s="38"/>
      <c r="T81" s="24" t="str">
        <f aca="false">IF($A81="","",SUMIFS(発注・納品!$H$3:$H$202,発注・納品!$B$3:$B$202,$A81))</f>
        <v/>
      </c>
      <c r="U81" s="23" t="str">
        <f aca="false">IF($Q81="","",N($S81)+N($T81))</f>
        <v/>
      </c>
      <c r="V81" s="23" t="str">
        <f aca="false">IF($Q81="","",$Q81-N($U81))</f>
        <v/>
      </c>
      <c r="W81" s="25" t="str">
        <f aca="false">IF(N($Q81)=0,"",$V81/$Q81)</f>
        <v/>
      </c>
      <c r="X81" s="26" t="str">
        <f aca="false">IF($A81="","",COUNTIFS(発注・納品!$B$3:$B$202,$A81))</f>
        <v/>
      </c>
      <c r="Y81" s="26" t="str">
        <f aca="false">IF($A81="","",COUNTIFS(発注・納品!$B$3:$B$202,$A81,発注・納品!$M$3:$M$202,""))</f>
        <v/>
      </c>
      <c r="Z81" s="27" t="str">
        <f aca="false">IF(N($X81)=0,"",IF(_xlfn.MAXIFS(発注・納品!$M$3:$M$202,発注・納品!$B$3:$B$202,$A81)=0,"",_xlfn.MAXIFS(発注・納品!$M$3:$M$202,発注・納品!$B$3:$B$202,$A81)))</f>
        <v/>
      </c>
      <c r="AA81" s="28" t="str">
        <f aca="false">IF($A81="","",IF(N($X81)=0,"機器なし",IF(N($Y81)&gt;0,"入荷待ち",IF(COUNTIFS(発注・納品!$B$3:$B$202,$A81,発注・納品!$N$3:$N$202,"")&gt;0,"受入待ち","受入完了"))))</f>
        <v/>
      </c>
      <c r="AB81" s="26" t="str">
        <f aca="false">IF($A81="","",COUNTIFS(現地作業!$A$3:$A$202,$A81,現地作業!$L$3:$L$202,"予定"))</f>
        <v/>
      </c>
      <c r="AC81" s="26" t="str">
        <f aca="false">IF($A81="","",COUNTIFS(現地作業!$A$3:$A$202,$A81,現地作業!$L$3:$L$202,"完了"))</f>
        <v/>
      </c>
      <c r="AD81" s="27" t="str">
        <f aca="true">IF(N($AB81)=0,"",IF(_xlfn.MINIFS(現地作業!$C$3:$C$202,現地作業!$A$3:$A$202,$A81,現地作業!$L$3:$L$202,"予定",現地作業!$C$3:$C$202,"&gt;="&amp;TODAY())=0,"",_xlfn.MINIFS(現地作業!$C$3:$C$202,現地作業!$A$3:$A$202,$A81,現地作業!$L$3:$L$202,"予定",現地作業!$C$3:$C$202,"&gt;="&amp;TODAY())))</f>
        <v/>
      </c>
      <c r="AE81" s="39"/>
      <c r="AF81" s="30" t="str">
        <f aca="false">IF($A81="","",SUM(月次工数計画!$G$86:$AD$86))</f>
        <v/>
      </c>
      <c r="AG81" s="30" t="str">
        <f aca="false">IF($A81="","",SUMIFS(工数明細!$G$3:$G$302,工数明細!$B$3:$B$302,$A81))</f>
        <v/>
      </c>
      <c r="AH81" s="31" t="str">
        <f aca="false">IF($AE81="","",$AE81-N($AG81))</f>
        <v/>
      </c>
      <c r="AI81" s="25" t="str">
        <f aca="false">IF(N($AE81)=0,"",$AG81/$AE81)</f>
        <v/>
      </c>
      <c r="AJ81" s="20" t="str">
        <f aca="false">IF(N($AE81)=0,"",IF($AG81&gt;$AE81,"超過",IF($AG81&gt;=$AE81*0.9,"注意","適正")))</f>
        <v/>
      </c>
      <c r="AK81" s="34"/>
    </row>
    <row r="82" customFormat="false" ht="18" hidden="false" customHeight="true" outlineLevel="0" collapsed="false">
      <c r="A82" s="33"/>
      <c r="B82" s="34"/>
      <c r="C82" s="34"/>
      <c r="D82" s="34"/>
      <c r="E82" s="34"/>
      <c r="F82" s="35"/>
      <c r="G82" s="34"/>
      <c r="H82" s="34"/>
      <c r="I82" s="36"/>
      <c r="J82" s="37"/>
      <c r="K82" s="37"/>
      <c r="L82" s="37"/>
      <c r="M82" s="37"/>
      <c r="N82" s="19" t="str">
        <f aca="false">IF($J82="","",YEAR($J82)-IF(MONTH($J82)&lt;マスタ!$B$4,1,0))</f>
        <v/>
      </c>
      <c r="O82" s="20" t="str">
        <f aca="false">IF($J82="","","Q"&amp;(INT(MOD(MONTH($J82)-マスタ!$B$4+12,12)/3)+1))</f>
        <v/>
      </c>
      <c r="P82" s="21" t="str">
        <f aca="true">IF($L82="","",IF($M82&lt;&gt;"",$M82-$L82,IF(TODAY()&gt;$L82,TODAY()-$L82,0)))</f>
        <v/>
      </c>
      <c r="Q82" s="38"/>
      <c r="R82" s="23" t="str">
        <f aca="false">IF($Q82="","",$Q82*N($F82))</f>
        <v/>
      </c>
      <c r="S82" s="38"/>
      <c r="T82" s="24" t="str">
        <f aca="false">IF($A82="","",SUMIFS(発注・納品!$H$3:$H$202,発注・納品!$B$3:$B$202,$A82))</f>
        <v/>
      </c>
      <c r="U82" s="23" t="str">
        <f aca="false">IF($Q82="","",N($S82)+N($T82))</f>
        <v/>
      </c>
      <c r="V82" s="23" t="str">
        <f aca="false">IF($Q82="","",$Q82-N($U82))</f>
        <v/>
      </c>
      <c r="W82" s="25" t="str">
        <f aca="false">IF(N($Q82)=0,"",$V82/$Q82)</f>
        <v/>
      </c>
      <c r="X82" s="26" t="str">
        <f aca="false">IF($A82="","",COUNTIFS(発注・納品!$B$3:$B$202,$A82))</f>
        <v/>
      </c>
      <c r="Y82" s="26" t="str">
        <f aca="false">IF($A82="","",COUNTIFS(発注・納品!$B$3:$B$202,$A82,発注・納品!$M$3:$M$202,""))</f>
        <v/>
      </c>
      <c r="Z82" s="27" t="str">
        <f aca="false">IF(N($X82)=0,"",IF(_xlfn.MAXIFS(発注・納品!$M$3:$M$202,発注・納品!$B$3:$B$202,$A82)=0,"",_xlfn.MAXIFS(発注・納品!$M$3:$M$202,発注・納品!$B$3:$B$202,$A82)))</f>
        <v/>
      </c>
      <c r="AA82" s="28" t="str">
        <f aca="false">IF($A82="","",IF(N($X82)=0,"機器なし",IF(N($Y82)&gt;0,"入荷待ち",IF(COUNTIFS(発注・納品!$B$3:$B$202,$A82,発注・納品!$N$3:$N$202,"")&gt;0,"受入待ち","受入完了"))))</f>
        <v/>
      </c>
      <c r="AB82" s="26" t="str">
        <f aca="false">IF($A82="","",COUNTIFS(現地作業!$A$3:$A$202,$A82,現地作業!$L$3:$L$202,"予定"))</f>
        <v/>
      </c>
      <c r="AC82" s="26" t="str">
        <f aca="false">IF($A82="","",COUNTIFS(現地作業!$A$3:$A$202,$A82,現地作業!$L$3:$L$202,"完了"))</f>
        <v/>
      </c>
      <c r="AD82" s="27" t="str">
        <f aca="true">IF(N($AB82)=0,"",IF(_xlfn.MINIFS(現地作業!$C$3:$C$202,現地作業!$A$3:$A$202,$A82,現地作業!$L$3:$L$202,"予定",現地作業!$C$3:$C$202,"&gt;="&amp;TODAY())=0,"",_xlfn.MINIFS(現地作業!$C$3:$C$202,現地作業!$A$3:$A$202,$A82,現地作業!$L$3:$L$202,"予定",現地作業!$C$3:$C$202,"&gt;="&amp;TODAY())))</f>
        <v/>
      </c>
      <c r="AE82" s="39"/>
      <c r="AF82" s="30" t="str">
        <f aca="false">IF($A82="","",SUM(月次工数計画!$G$87:$AD$87))</f>
        <v/>
      </c>
      <c r="AG82" s="30" t="str">
        <f aca="false">IF($A82="","",SUMIFS(工数明細!$G$3:$G$302,工数明細!$B$3:$B$302,$A82))</f>
        <v/>
      </c>
      <c r="AH82" s="31" t="str">
        <f aca="false">IF($AE82="","",$AE82-N($AG82))</f>
        <v/>
      </c>
      <c r="AI82" s="25" t="str">
        <f aca="false">IF(N($AE82)=0,"",$AG82/$AE82)</f>
        <v/>
      </c>
      <c r="AJ82" s="20" t="str">
        <f aca="false">IF(N($AE82)=0,"",IF($AG82&gt;$AE82,"超過",IF($AG82&gt;=$AE82*0.9,"注意","適正")))</f>
        <v/>
      </c>
      <c r="AK82" s="34"/>
    </row>
    <row r="83" customFormat="false" ht="18" hidden="false" customHeight="true" outlineLevel="0" collapsed="false">
      <c r="A83" s="33"/>
      <c r="B83" s="34"/>
      <c r="C83" s="34"/>
      <c r="D83" s="34"/>
      <c r="E83" s="34"/>
      <c r="F83" s="35"/>
      <c r="G83" s="34"/>
      <c r="H83" s="34"/>
      <c r="I83" s="36"/>
      <c r="J83" s="37"/>
      <c r="K83" s="37"/>
      <c r="L83" s="37"/>
      <c r="M83" s="37"/>
      <c r="N83" s="19" t="str">
        <f aca="false">IF($J83="","",YEAR($J83)-IF(MONTH($J83)&lt;マスタ!$B$4,1,0))</f>
        <v/>
      </c>
      <c r="O83" s="20" t="str">
        <f aca="false">IF($J83="","","Q"&amp;(INT(MOD(MONTH($J83)-マスタ!$B$4+12,12)/3)+1))</f>
        <v/>
      </c>
      <c r="P83" s="21" t="str">
        <f aca="true">IF($L83="","",IF($M83&lt;&gt;"",$M83-$L83,IF(TODAY()&gt;$L83,TODAY()-$L83,0)))</f>
        <v/>
      </c>
      <c r="Q83" s="38"/>
      <c r="R83" s="23" t="str">
        <f aca="false">IF($Q83="","",$Q83*N($F83))</f>
        <v/>
      </c>
      <c r="S83" s="38"/>
      <c r="T83" s="24" t="str">
        <f aca="false">IF($A83="","",SUMIFS(発注・納品!$H$3:$H$202,発注・納品!$B$3:$B$202,$A83))</f>
        <v/>
      </c>
      <c r="U83" s="23" t="str">
        <f aca="false">IF($Q83="","",N($S83)+N($T83))</f>
        <v/>
      </c>
      <c r="V83" s="23" t="str">
        <f aca="false">IF($Q83="","",$Q83-N($U83))</f>
        <v/>
      </c>
      <c r="W83" s="25" t="str">
        <f aca="false">IF(N($Q83)=0,"",$V83/$Q83)</f>
        <v/>
      </c>
      <c r="X83" s="26" t="str">
        <f aca="false">IF($A83="","",COUNTIFS(発注・納品!$B$3:$B$202,$A83))</f>
        <v/>
      </c>
      <c r="Y83" s="26" t="str">
        <f aca="false">IF($A83="","",COUNTIFS(発注・納品!$B$3:$B$202,$A83,発注・納品!$M$3:$M$202,""))</f>
        <v/>
      </c>
      <c r="Z83" s="27" t="str">
        <f aca="false">IF(N($X83)=0,"",IF(_xlfn.MAXIFS(発注・納品!$M$3:$M$202,発注・納品!$B$3:$B$202,$A83)=0,"",_xlfn.MAXIFS(発注・納品!$M$3:$M$202,発注・納品!$B$3:$B$202,$A83)))</f>
        <v/>
      </c>
      <c r="AA83" s="28" t="str">
        <f aca="false">IF($A83="","",IF(N($X83)=0,"機器なし",IF(N($Y83)&gt;0,"入荷待ち",IF(COUNTIFS(発注・納品!$B$3:$B$202,$A83,発注・納品!$N$3:$N$202,"")&gt;0,"受入待ち","受入完了"))))</f>
        <v/>
      </c>
      <c r="AB83" s="26" t="str">
        <f aca="false">IF($A83="","",COUNTIFS(現地作業!$A$3:$A$202,$A83,現地作業!$L$3:$L$202,"予定"))</f>
        <v/>
      </c>
      <c r="AC83" s="26" t="str">
        <f aca="false">IF($A83="","",COUNTIFS(現地作業!$A$3:$A$202,$A83,現地作業!$L$3:$L$202,"完了"))</f>
        <v/>
      </c>
      <c r="AD83" s="27" t="str">
        <f aca="true">IF(N($AB83)=0,"",IF(_xlfn.MINIFS(現地作業!$C$3:$C$202,現地作業!$A$3:$A$202,$A83,現地作業!$L$3:$L$202,"予定",現地作業!$C$3:$C$202,"&gt;="&amp;TODAY())=0,"",_xlfn.MINIFS(現地作業!$C$3:$C$202,現地作業!$A$3:$A$202,$A83,現地作業!$L$3:$L$202,"予定",現地作業!$C$3:$C$202,"&gt;="&amp;TODAY())))</f>
        <v/>
      </c>
      <c r="AE83" s="39"/>
      <c r="AF83" s="30" t="str">
        <f aca="false">IF($A83="","",SUM(月次工数計画!$G$88:$AD$88))</f>
        <v/>
      </c>
      <c r="AG83" s="30" t="str">
        <f aca="false">IF($A83="","",SUMIFS(工数明細!$G$3:$G$302,工数明細!$B$3:$B$302,$A83))</f>
        <v/>
      </c>
      <c r="AH83" s="31" t="str">
        <f aca="false">IF($AE83="","",$AE83-N($AG83))</f>
        <v/>
      </c>
      <c r="AI83" s="25" t="str">
        <f aca="false">IF(N($AE83)=0,"",$AG83/$AE83)</f>
        <v/>
      </c>
      <c r="AJ83" s="20" t="str">
        <f aca="false">IF(N($AE83)=0,"",IF($AG83&gt;$AE83,"超過",IF($AG83&gt;=$AE83*0.9,"注意","適正")))</f>
        <v/>
      </c>
      <c r="AK83" s="34"/>
    </row>
    <row r="84" customFormat="false" ht="18" hidden="false" customHeight="true" outlineLevel="0" collapsed="false">
      <c r="A84" s="33"/>
      <c r="B84" s="34"/>
      <c r="C84" s="34"/>
      <c r="D84" s="34"/>
      <c r="E84" s="34"/>
      <c r="F84" s="35"/>
      <c r="G84" s="34"/>
      <c r="H84" s="34"/>
      <c r="I84" s="36"/>
      <c r="J84" s="37"/>
      <c r="K84" s="37"/>
      <c r="L84" s="37"/>
      <c r="M84" s="37"/>
      <c r="N84" s="19" t="str">
        <f aca="false">IF($J84="","",YEAR($J84)-IF(MONTH($J84)&lt;マスタ!$B$4,1,0))</f>
        <v/>
      </c>
      <c r="O84" s="20" t="str">
        <f aca="false">IF($J84="","","Q"&amp;(INT(MOD(MONTH($J84)-マスタ!$B$4+12,12)/3)+1))</f>
        <v/>
      </c>
      <c r="P84" s="21" t="str">
        <f aca="true">IF($L84="","",IF($M84&lt;&gt;"",$M84-$L84,IF(TODAY()&gt;$L84,TODAY()-$L84,0)))</f>
        <v/>
      </c>
      <c r="Q84" s="38"/>
      <c r="R84" s="23" t="str">
        <f aca="false">IF($Q84="","",$Q84*N($F84))</f>
        <v/>
      </c>
      <c r="S84" s="38"/>
      <c r="T84" s="24" t="str">
        <f aca="false">IF($A84="","",SUMIFS(発注・納品!$H$3:$H$202,発注・納品!$B$3:$B$202,$A84))</f>
        <v/>
      </c>
      <c r="U84" s="23" t="str">
        <f aca="false">IF($Q84="","",N($S84)+N($T84))</f>
        <v/>
      </c>
      <c r="V84" s="23" t="str">
        <f aca="false">IF($Q84="","",$Q84-N($U84))</f>
        <v/>
      </c>
      <c r="W84" s="25" t="str">
        <f aca="false">IF(N($Q84)=0,"",$V84/$Q84)</f>
        <v/>
      </c>
      <c r="X84" s="26" t="str">
        <f aca="false">IF($A84="","",COUNTIFS(発注・納品!$B$3:$B$202,$A84))</f>
        <v/>
      </c>
      <c r="Y84" s="26" t="str">
        <f aca="false">IF($A84="","",COUNTIFS(発注・納品!$B$3:$B$202,$A84,発注・納品!$M$3:$M$202,""))</f>
        <v/>
      </c>
      <c r="Z84" s="27" t="str">
        <f aca="false">IF(N($X84)=0,"",IF(_xlfn.MAXIFS(発注・納品!$M$3:$M$202,発注・納品!$B$3:$B$202,$A84)=0,"",_xlfn.MAXIFS(発注・納品!$M$3:$M$202,発注・納品!$B$3:$B$202,$A84)))</f>
        <v/>
      </c>
      <c r="AA84" s="28" t="str">
        <f aca="false">IF($A84="","",IF(N($X84)=0,"機器なし",IF(N($Y84)&gt;0,"入荷待ち",IF(COUNTIFS(発注・納品!$B$3:$B$202,$A84,発注・納品!$N$3:$N$202,"")&gt;0,"受入待ち","受入完了"))))</f>
        <v/>
      </c>
      <c r="AB84" s="26" t="str">
        <f aca="false">IF($A84="","",COUNTIFS(現地作業!$A$3:$A$202,$A84,現地作業!$L$3:$L$202,"予定"))</f>
        <v/>
      </c>
      <c r="AC84" s="26" t="str">
        <f aca="false">IF($A84="","",COUNTIFS(現地作業!$A$3:$A$202,$A84,現地作業!$L$3:$L$202,"完了"))</f>
        <v/>
      </c>
      <c r="AD84" s="27" t="str">
        <f aca="true">IF(N($AB84)=0,"",IF(_xlfn.MINIFS(現地作業!$C$3:$C$202,現地作業!$A$3:$A$202,$A84,現地作業!$L$3:$L$202,"予定",現地作業!$C$3:$C$202,"&gt;="&amp;TODAY())=0,"",_xlfn.MINIFS(現地作業!$C$3:$C$202,現地作業!$A$3:$A$202,$A84,現地作業!$L$3:$L$202,"予定",現地作業!$C$3:$C$202,"&gt;="&amp;TODAY())))</f>
        <v/>
      </c>
      <c r="AE84" s="39"/>
      <c r="AF84" s="30" t="str">
        <f aca="false">IF($A84="","",SUM(月次工数計画!$G$89:$AD$89))</f>
        <v/>
      </c>
      <c r="AG84" s="30" t="str">
        <f aca="false">IF($A84="","",SUMIFS(工数明細!$G$3:$G$302,工数明細!$B$3:$B$302,$A84))</f>
        <v/>
      </c>
      <c r="AH84" s="31" t="str">
        <f aca="false">IF($AE84="","",$AE84-N($AG84))</f>
        <v/>
      </c>
      <c r="AI84" s="25" t="str">
        <f aca="false">IF(N($AE84)=0,"",$AG84/$AE84)</f>
        <v/>
      </c>
      <c r="AJ84" s="20" t="str">
        <f aca="false">IF(N($AE84)=0,"",IF($AG84&gt;$AE84,"超過",IF($AG84&gt;=$AE84*0.9,"注意","適正")))</f>
        <v/>
      </c>
      <c r="AK84" s="34"/>
    </row>
    <row r="85" customFormat="false" ht="18" hidden="false" customHeight="true" outlineLevel="0" collapsed="false">
      <c r="A85" s="33"/>
      <c r="B85" s="34"/>
      <c r="C85" s="34"/>
      <c r="D85" s="34"/>
      <c r="E85" s="34"/>
      <c r="F85" s="35"/>
      <c r="G85" s="34"/>
      <c r="H85" s="34"/>
      <c r="I85" s="36"/>
      <c r="J85" s="37"/>
      <c r="K85" s="37"/>
      <c r="L85" s="37"/>
      <c r="M85" s="37"/>
      <c r="N85" s="19" t="str">
        <f aca="false">IF($J85="","",YEAR($J85)-IF(MONTH($J85)&lt;マスタ!$B$4,1,0))</f>
        <v/>
      </c>
      <c r="O85" s="20" t="str">
        <f aca="false">IF($J85="","","Q"&amp;(INT(MOD(MONTH($J85)-マスタ!$B$4+12,12)/3)+1))</f>
        <v/>
      </c>
      <c r="P85" s="21" t="str">
        <f aca="true">IF($L85="","",IF($M85&lt;&gt;"",$M85-$L85,IF(TODAY()&gt;$L85,TODAY()-$L85,0)))</f>
        <v/>
      </c>
      <c r="Q85" s="38"/>
      <c r="R85" s="23" t="str">
        <f aca="false">IF($Q85="","",$Q85*N($F85))</f>
        <v/>
      </c>
      <c r="S85" s="38"/>
      <c r="T85" s="24" t="str">
        <f aca="false">IF($A85="","",SUMIFS(発注・納品!$H$3:$H$202,発注・納品!$B$3:$B$202,$A85))</f>
        <v/>
      </c>
      <c r="U85" s="23" t="str">
        <f aca="false">IF($Q85="","",N($S85)+N($T85))</f>
        <v/>
      </c>
      <c r="V85" s="23" t="str">
        <f aca="false">IF($Q85="","",$Q85-N($U85))</f>
        <v/>
      </c>
      <c r="W85" s="25" t="str">
        <f aca="false">IF(N($Q85)=0,"",$V85/$Q85)</f>
        <v/>
      </c>
      <c r="X85" s="26" t="str">
        <f aca="false">IF($A85="","",COUNTIFS(発注・納品!$B$3:$B$202,$A85))</f>
        <v/>
      </c>
      <c r="Y85" s="26" t="str">
        <f aca="false">IF($A85="","",COUNTIFS(発注・納品!$B$3:$B$202,$A85,発注・納品!$M$3:$M$202,""))</f>
        <v/>
      </c>
      <c r="Z85" s="27" t="str">
        <f aca="false">IF(N($X85)=0,"",IF(_xlfn.MAXIFS(発注・納品!$M$3:$M$202,発注・納品!$B$3:$B$202,$A85)=0,"",_xlfn.MAXIFS(発注・納品!$M$3:$M$202,発注・納品!$B$3:$B$202,$A85)))</f>
        <v/>
      </c>
      <c r="AA85" s="28" t="str">
        <f aca="false">IF($A85="","",IF(N($X85)=0,"機器なし",IF(N($Y85)&gt;0,"入荷待ち",IF(COUNTIFS(発注・納品!$B$3:$B$202,$A85,発注・納品!$N$3:$N$202,"")&gt;0,"受入待ち","受入完了"))))</f>
        <v/>
      </c>
      <c r="AB85" s="26" t="str">
        <f aca="false">IF($A85="","",COUNTIFS(現地作業!$A$3:$A$202,$A85,現地作業!$L$3:$L$202,"予定"))</f>
        <v/>
      </c>
      <c r="AC85" s="26" t="str">
        <f aca="false">IF($A85="","",COUNTIFS(現地作業!$A$3:$A$202,$A85,現地作業!$L$3:$L$202,"完了"))</f>
        <v/>
      </c>
      <c r="AD85" s="27" t="str">
        <f aca="true">IF(N($AB85)=0,"",IF(_xlfn.MINIFS(現地作業!$C$3:$C$202,現地作業!$A$3:$A$202,$A85,現地作業!$L$3:$L$202,"予定",現地作業!$C$3:$C$202,"&gt;="&amp;TODAY())=0,"",_xlfn.MINIFS(現地作業!$C$3:$C$202,現地作業!$A$3:$A$202,$A85,現地作業!$L$3:$L$202,"予定",現地作業!$C$3:$C$202,"&gt;="&amp;TODAY())))</f>
        <v/>
      </c>
      <c r="AE85" s="39"/>
      <c r="AF85" s="30" t="str">
        <f aca="false">IF($A85="","",SUM(月次工数計画!$G$90:$AD$90))</f>
        <v/>
      </c>
      <c r="AG85" s="30" t="str">
        <f aca="false">IF($A85="","",SUMIFS(工数明細!$G$3:$G$302,工数明細!$B$3:$B$302,$A85))</f>
        <v/>
      </c>
      <c r="AH85" s="31" t="str">
        <f aca="false">IF($AE85="","",$AE85-N($AG85))</f>
        <v/>
      </c>
      <c r="AI85" s="25" t="str">
        <f aca="false">IF(N($AE85)=0,"",$AG85/$AE85)</f>
        <v/>
      </c>
      <c r="AJ85" s="20" t="str">
        <f aca="false">IF(N($AE85)=0,"",IF($AG85&gt;$AE85,"超過",IF($AG85&gt;=$AE85*0.9,"注意","適正")))</f>
        <v/>
      </c>
      <c r="AK85" s="34"/>
    </row>
    <row r="86" customFormat="false" ht="18" hidden="false" customHeight="true" outlineLevel="0" collapsed="false">
      <c r="A86" s="33"/>
      <c r="B86" s="34"/>
      <c r="C86" s="34"/>
      <c r="D86" s="34"/>
      <c r="E86" s="34"/>
      <c r="F86" s="35"/>
      <c r="G86" s="34"/>
      <c r="H86" s="34"/>
      <c r="I86" s="36"/>
      <c r="J86" s="37"/>
      <c r="K86" s="37"/>
      <c r="L86" s="37"/>
      <c r="M86" s="37"/>
      <c r="N86" s="19" t="str">
        <f aca="false">IF($J86="","",YEAR($J86)-IF(MONTH($J86)&lt;マスタ!$B$4,1,0))</f>
        <v/>
      </c>
      <c r="O86" s="20" t="str">
        <f aca="false">IF($J86="","","Q"&amp;(INT(MOD(MONTH($J86)-マスタ!$B$4+12,12)/3)+1))</f>
        <v/>
      </c>
      <c r="P86" s="21" t="str">
        <f aca="true">IF($L86="","",IF($M86&lt;&gt;"",$M86-$L86,IF(TODAY()&gt;$L86,TODAY()-$L86,0)))</f>
        <v/>
      </c>
      <c r="Q86" s="38"/>
      <c r="R86" s="23" t="str">
        <f aca="false">IF($Q86="","",$Q86*N($F86))</f>
        <v/>
      </c>
      <c r="S86" s="38"/>
      <c r="T86" s="24" t="str">
        <f aca="false">IF($A86="","",SUMIFS(発注・納品!$H$3:$H$202,発注・納品!$B$3:$B$202,$A86))</f>
        <v/>
      </c>
      <c r="U86" s="23" t="str">
        <f aca="false">IF($Q86="","",N($S86)+N($T86))</f>
        <v/>
      </c>
      <c r="V86" s="23" t="str">
        <f aca="false">IF($Q86="","",$Q86-N($U86))</f>
        <v/>
      </c>
      <c r="W86" s="25" t="str">
        <f aca="false">IF(N($Q86)=0,"",$V86/$Q86)</f>
        <v/>
      </c>
      <c r="X86" s="26" t="str">
        <f aca="false">IF($A86="","",COUNTIFS(発注・納品!$B$3:$B$202,$A86))</f>
        <v/>
      </c>
      <c r="Y86" s="26" t="str">
        <f aca="false">IF($A86="","",COUNTIFS(発注・納品!$B$3:$B$202,$A86,発注・納品!$M$3:$M$202,""))</f>
        <v/>
      </c>
      <c r="Z86" s="27" t="str">
        <f aca="false">IF(N($X86)=0,"",IF(_xlfn.MAXIFS(発注・納品!$M$3:$M$202,発注・納品!$B$3:$B$202,$A86)=0,"",_xlfn.MAXIFS(発注・納品!$M$3:$M$202,発注・納品!$B$3:$B$202,$A86)))</f>
        <v/>
      </c>
      <c r="AA86" s="28" t="str">
        <f aca="false">IF($A86="","",IF(N($X86)=0,"機器なし",IF(N($Y86)&gt;0,"入荷待ち",IF(COUNTIFS(発注・納品!$B$3:$B$202,$A86,発注・納品!$N$3:$N$202,"")&gt;0,"受入待ち","受入完了"))))</f>
        <v/>
      </c>
      <c r="AB86" s="26" t="str">
        <f aca="false">IF($A86="","",COUNTIFS(現地作業!$A$3:$A$202,$A86,現地作業!$L$3:$L$202,"予定"))</f>
        <v/>
      </c>
      <c r="AC86" s="26" t="str">
        <f aca="false">IF($A86="","",COUNTIFS(現地作業!$A$3:$A$202,$A86,現地作業!$L$3:$L$202,"完了"))</f>
        <v/>
      </c>
      <c r="AD86" s="27" t="str">
        <f aca="true">IF(N($AB86)=0,"",IF(_xlfn.MINIFS(現地作業!$C$3:$C$202,現地作業!$A$3:$A$202,$A86,現地作業!$L$3:$L$202,"予定",現地作業!$C$3:$C$202,"&gt;="&amp;TODAY())=0,"",_xlfn.MINIFS(現地作業!$C$3:$C$202,現地作業!$A$3:$A$202,$A86,現地作業!$L$3:$L$202,"予定",現地作業!$C$3:$C$202,"&gt;="&amp;TODAY())))</f>
        <v/>
      </c>
      <c r="AE86" s="39"/>
      <c r="AF86" s="30" t="str">
        <f aca="false">IF($A86="","",SUM(月次工数計画!$G$91:$AD$91))</f>
        <v/>
      </c>
      <c r="AG86" s="30" t="str">
        <f aca="false">IF($A86="","",SUMIFS(工数明細!$G$3:$G$302,工数明細!$B$3:$B$302,$A86))</f>
        <v/>
      </c>
      <c r="AH86" s="31" t="str">
        <f aca="false">IF($AE86="","",$AE86-N($AG86))</f>
        <v/>
      </c>
      <c r="AI86" s="25" t="str">
        <f aca="false">IF(N($AE86)=0,"",$AG86/$AE86)</f>
        <v/>
      </c>
      <c r="AJ86" s="20" t="str">
        <f aca="false">IF(N($AE86)=0,"",IF($AG86&gt;$AE86,"超過",IF($AG86&gt;=$AE86*0.9,"注意","適正")))</f>
        <v/>
      </c>
      <c r="AK86" s="34"/>
    </row>
    <row r="87" customFormat="false" ht="18" hidden="false" customHeight="true" outlineLevel="0" collapsed="false">
      <c r="A87" s="33"/>
      <c r="B87" s="34"/>
      <c r="C87" s="34"/>
      <c r="D87" s="34"/>
      <c r="E87" s="34"/>
      <c r="F87" s="35"/>
      <c r="G87" s="34"/>
      <c r="H87" s="34"/>
      <c r="I87" s="36"/>
      <c r="J87" s="37"/>
      <c r="K87" s="37"/>
      <c r="L87" s="37"/>
      <c r="M87" s="37"/>
      <c r="N87" s="19" t="str">
        <f aca="false">IF($J87="","",YEAR($J87)-IF(MONTH($J87)&lt;マスタ!$B$4,1,0))</f>
        <v/>
      </c>
      <c r="O87" s="20" t="str">
        <f aca="false">IF($J87="","","Q"&amp;(INT(MOD(MONTH($J87)-マスタ!$B$4+12,12)/3)+1))</f>
        <v/>
      </c>
      <c r="P87" s="21" t="str">
        <f aca="true">IF($L87="","",IF($M87&lt;&gt;"",$M87-$L87,IF(TODAY()&gt;$L87,TODAY()-$L87,0)))</f>
        <v/>
      </c>
      <c r="Q87" s="38"/>
      <c r="R87" s="23" t="str">
        <f aca="false">IF($Q87="","",$Q87*N($F87))</f>
        <v/>
      </c>
      <c r="S87" s="38"/>
      <c r="T87" s="24" t="str">
        <f aca="false">IF($A87="","",SUMIFS(発注・納品!$H$3:$H$202,発注・納品!$B$3:$B$202,$A87))</f>
        <v/>
      </c>
      <c r="U87" s="23" t="str">
        <f aca="false">IF($Q87="","",N($S87)+N($T87))</f>
        <v/>
      </c>
      <c r="V87" s="23" t="str">
        <f aca="false">IF($Q87="","",$Q87-N($U87))</f>
        <v/>
      </c>
      <c r="W87" s="25" t="str">
        <f aca="false">IF(N($Q87)=0,"",$V87/$Q87)</f>
        <v/>
      </c>
      <c r="X87" s="26" t="str">
        <f aca="false">IF($A87="","",COUNTIFS(発注・納品!$B$3:$B$202,$A87))</f>
        <v/>
      </c>
      <c r="Y87" s="26" t="str">
        <f aca="false">IF($A87="","",COUNTIFS(発注・納品!$B$3:$B$202,$A87,発注・納品!$M$3:$M$202,""))</f>
        <v/>
      </c>
      <c r="Z87" s="27" t="str">
        <f aca="false">IF(N($X87)=0,"",IF(_xlfn.MAXIFS(発注・納品!$M$3:$M$202,発注・納品!$B$3:$B$202,$A87)=0,"",_xlfn.MAXIFS(発注・納品!$M$3:$M$202,発注・納品!$B$3:$B$202,$A87)))</f>
        <v/>
      </c>
      <c r="AA87" s="28" t="str">
        <f aca="false">IF($A87="","",IF(N($X87)=0,"機器なし",IF(N($Y87)&gt;0,"入荷待ち",IF(COUNTIFS(発注・納品!$B$3:$B$202,$A87,発注・納品!$N$3:$N$202,"")&gt;0,"受入待ち","受入完了"))))</f>
        <v/>
      </c>
      <c r="AB87" s="26" t="str">
        <f aca="false">IF($A87="","",COUNTIFS(現地作業!$A$3:$A$202,$A87,現地作業!$L$3:$L$202,"予定"))</f>
        <v/>
      </c>
      <c r="AC87" s="26" t="str">
        <f aca="false">IF($A87="","",COUNTIFS(現地作業!$A$3:$A$202,$A87,現地作業!$L$3:$L$202,"完了"))</f>
        <v/>
      </c>
      <c r="AD87" s="27" t="str">
        <f aca="true">IF(N($AB87)=0,"",IF(_xlfn.MINIFS(現地作業!$C$3:$C$202,現地作業!$A$3:$A$202,$A87,現地作業!$L$3:$L$202,"予定",現地作業!$C$3:$C$202,"&gt;="&amp;TODAY())=0,"",_xlfn.MINIFS(現地作業!$C$3:$C$202,現地作業!$A$3:$A$202,$A87,現地作業!$L$3:$L$202,"予定",現地作業!$C$3:$C$202,"&gt;="&amp;TODAY())))</f>
        <v/>
      </c>
      <c r="AE87" s="39"/>
      <c r="AF87" s="30" t="str">
        <f aca="false">IF($A87="","",SUM(月次工数計画!$G$92:$AD$92))</f>
        <v/>
      </c>
      <c r="AG87" s="30" t="str">
        <f aca="false">IF($A87="","",SUMIFS(工数明細!$G$3:$G$302,工数明細!$B$3:$B$302,$A87))</f>
        <v/>
      </c>
      <c r="AH87" s="31" t="str">
        <f aca="false">IF($AE87="","",$AE87-N($AG87))</f>
        <v/>
      </c>
      <c r="AI87" s="25" t="str">
        <f aca="false">IF(N($AE87)=0,"",$AG87/$AE87)</f>
        <v/>
      </c>
      <c r="AJ87" s="20" t="str">
        <f aca="false">IF(N($AE87)=0,"",IF($AG87&gt;$AE87,"超過",IF($AG87&gt;=$AE87*0.9,"注意","適正")))</f>
        <v/>
      </c>
      <c r="AK87" s="34"/>
    </row>
    <row r="88" customFormat="false" ht="18" hidden="false" customHeight="true" outlineLevel="0" collapsed="false">
      <c r="A88" s="33"/>
      <c r="B88" s="34"/>
      <c r="C88" s="34"/>
      <c r="D88" s="34"/>
      <c r="E88" s="34"/>
      <c r="F88" s="35"/>
      <c r="G88" s="34"/>
      <c r="H88" s="34"/>
      <c r="I88" s="36"/>
      <c r="J88" s="37"/>
      <c r="K88" s="37"/>
      <c r="L88" s="37"/>
      <c r="M88" s="37"/>
      <c r="N88" s="19" t="str">
        <f aca="false">IF($J88="","",YEAR($J88)-IF(MONTH($J88)&lt;マスタ!$B$4,1,0))</f>
        <v/>
      </c>
      <c r="O88" s="20" t="str">
        <f aca="false">IF($J88="","","Q"&amp;(INT(MOD(MONTH($J88)-マスタ!$B$4+12,12)/3)+1))</f>
        <v/>
      </c>
      <c r="P88" s="21" t="str">
        <f aca="true">IF($L88="","",IF($M88&lt;&gt;"",$M88-$L88,IF(TODAY()&gt;$L88,TODAY()-$L88,0)))</f>
        <v/>
      </c>
      <c r="Q88" s="38"/>
      <c r="R88" s="23" t="str">
        <f aca="false">IF($Q88="","",$Q88*N($F88))</f>
        <v/>
      </c>
      <c r="S88" s="38"/>
      <c r="T88" s="24" t="str">
        <f aca="false">IF($A88="","",SUMIFS(発注・納品!$H$3:$H$202,発注・納品!$B$3:$B$202,$A88))</f>
        <v/>
      </c>
      <c r="U88" s="23" t="str">
        <f aca="false">IF($Q88="","",N($S88)+N($T88))</f>
        <v/>
      </c>
      <c r="V88" s="23" t="str">
        <f aca="false">IF($Q88="","",$Q88-N($U88))</f>
        <v/>
      </c>
      <c r="W88" s="25" t="str">
        <f aca="false">IF(N($Q88)=0,"",$V88/$Q88)</f>
        <v/>
      </c>
      <c r="X88" s="26" t="str">
        <f aca="false">IF($A88="","",COUNTIFS(発注・納品!$B$3:$B$202,$A88))</f>
        <v/>
      </c>
      <c r="Y88" s="26" t="str">
        <f aca="false">IF($A88="","",COUNTIFS(発注・納品!$B$3:$B$202,$A88,発注・納品!$M$3:$M$202,""))</f>
        <v/>
      </c>
      <c r="Z88" s="27" t="str">
        <f aca="false">IF(N($X88)=0,"",IF(_xlfn.MAXIFS(発注・納品!$M$3:$M$202,発注・納品!$B$3:$B$202,$A88)=0,"",_xlfn.MAXIFS(発注・納品!$M$3:$M$202,発注・納品!$B$3:$B$202,$A88)))</f>
        <v/>
      </c>
      <c r="AA88" s="28" t="str">
        <f aca="false">IF($A88="","",IF(N($X88)=0,"機器なし",IF(N($Y88)&gt;0,"入荷待ち",IF(COUNTIFS(発注・納品!$B$3:$B$202,$A88,発注・納品!$N$3:$N$202,"")&gt;0,"受入待ち","受入完了"))))</f>
        <v/>
      </c>
      <c r="AB88" s="26" t="str">
        <f aca="false">IF($A88="","",COUNTIFS(現地作業!$A$3:$A$202,$A88,現地作業!$L$3:$L$202,"予定"))</f>
        <v/>
      </c>
      <c r="AC88" s="26" t="str">
        <f aca="false">IF($A88="","",COUNTIFS(現地作業!$A$3:$A$202,$A88,現地作業!$L$3:$L$202,"完了"))</f>
        <v/>
      </c>
      <c r="AD88" s="27" t="str">
        <f aca="true">IF(N($AB88)=0,"",IF(_xlfn.MINIFS(現地作業!$C$3:$C$202,現地作業!$A$3:$A$202,$A88,現地作業!$L$3:$L$202,"予定",現地作業!$C$3:$C$202,"&gt;="&amp;TODAY())=0,"",_xlfn.MINIFS(現地作業!$C$3:$C$202,現地作業!$A$3:$A$202,$A88,現地作業!$L$3:$L$202,"予定",現地作業!$C$3:$C$202,"&gt;="&amp;TODAY())))</f>
        <v/>
      </c>
      <c r="AE88" s="39"/>
      <c r="AF88" s="30" t="str">
        <f aca="false">IF($A88="","",SUM(月次工数計画!$G$93:$AD$93))</f>
        <v/>
      </c>
      <c r="AG88" s="30" t="str">
        <f aca="false">IF($A88="","",SUMIFS(工数明細!$G$3:$G$302,工数明細!$B$3:$B$302,$A88))</f>
        <v/>
      </c>
      <c r="AH88" s="31" t="str">
        <f aca="false">IF($AE88="","",$AE88-N($AG88))</f>
        <v/>
      </c>
      <c r="AI88" s="25" t="str">
        <f aca="false">IF(N($AE88)=0,"",$AG88/$AE88)</f>
        <v/>
      </c>
      <c r="AJ88" s="20" t="str">
        <f aca="false">IF(N($AE88)=0,"",IF($AG88&gt;$AE88,"超過",IF($AG88&gt;=$AE88*0.9,"注意","適正")))</f>
        <v/>
      </c>
      <c r="AK88" s="34"/>
    </row>
    <row r="89" customFormat="false" ht="18" hidden="false" customHeight="true" outlineLevel="0" collapsed="false">
      <c r="A89" s="33"/>
      <c r="B89" s="34"/>
      <c r="C89" s="34"/>
      <c r="D89" s="34"/>
      <c r="E89" s="34"/>
      <c r="F89" s="35"/>
      <c r="G89" s="34"/>
      <c r="H89" s="34"/>
      <c r="I89" s="36"/>
      <c r="J89" s="37"/>
      <c r="K89" s="37"/>
      <c r="L89" s="37"/>
      <c r="M89" s="37"/>
      <c r="N89" s="19" t="str">
        <f aca="false">IF($J89="","",YEAR($J89)-IF(MONTH($J89)&lt;マスタ!$B$4,1,0))</f>
        <v/>
      </c>
      <c r="O89" s="20" t="str">
        <f aca="false">IF($J89="","","Q"&amp;(INT(MOD(MONTH($J89)-マスタ!$B$4+12,12)/3)+1))</f>
        <v/>
      </c>
      <c r="P89" s="21" t="str">
        <f aca="true">IF($L89="","",IF($M89&lt;&gt;"",$M89-$L89,IF(TODAY()&gt;$L89,TODAY()-$L89,0)))</f>
        <v/>
      </c>
      <c r="Q89" s="38"/>
      <c r="R89" s="23" t="str">
        <f aca="false">IF($Q89="","",$Q89*N($F89))</f>
        <v/>
      </c>
      <c r="S89" s="38"/>
      <c r="T89" s="24" t="str">
        <f aca="false">IF($A89="","",SUMIFS(発注・納品!$H$3:$H$202,発注・納品!$B$3:$B$202,$A89))</f>
        <v/>
      </c>
      <c r="U89" s="23" t="str">
        <f aca="false">IF($Q89="","",N($S89)+N($T89))</f>
        <v/>
      </c>
      <c r="V89" s="23" t="str">
        <f aca="false">IF($Q89="","",$Q89-N($U89))</f>
        <v/>
      </c>
      <c r="W89" s="25" t="str">
        <f aca="false">IF(N($Q89)=0,"",$V89/$Q89)</f>
        <v/>
      </c>
      <c r="X89" s="26" t="str">
        <f aca="false">IF($A89="","",COUNTIFS(発注・納品!$B$3:$B$202,$A89))</f>
        <v/>
      </c>
      <c r="Y89" s="26" t="str">
        <f aca="false">IF($A89="","",COUNTIFS(発注・納品!$B$3:$B$202,$A89,発注・納品!$M$3:$M$202,""))</f>
        <v/>
      </c>
      <c r="Z89" s="27" t="str">
        <f aca="false">IF(N($X89)=0,"",IF(_xlfn.MAXIFS(発注・納品!$M$3:$M$202,発注・納品!$B$3:$B$202,$A89)=0,"",_xlfn.MAXIFS(発注・納品!$M$3:$M$202,発注・納品!$B$3:$B$202,$A89)))</f>
        <v/>
      </c>
      <c r="AA89" s="28" t="str">
        <f aca="false">IF($A89="","",IF(N($X89)=0,"機器なし",IF(N($Y89)&gt;0,"入荷待ち",IF(COUNTIFS(発注・納品!$B$3:$B$202,$A89,発注・納品!$N$3:$N$202,"")&gt;0,"受入待ち","受入完了"))))</f>
        <v/>
      </c>
      <c r="AB89" s="26" t="str">
        <f aca="false">IF($A89="","",COUNTIFS(現地作業!$A$3:$A$202,$A89,現地作業!$L$3:$L$202,"予定"))</f>
        <v/>
      </c>
      <c r="AC89" s="26" t="str">
        <f aca="false">IF($A89="","",COUNTIFS(現地作業!$A$3:$A$202,$A89,現地作業!$L$3:$L$202,"完了"))</f>
        <v/>
      </c>
      <c r="AD89" s="27" t="str">
        <f aca="true">IF(N($AB89)=0,"",IF(_xlfn.MINIFS(現地作業!$C$3:$C$202,現地作業!$A$3:$A$202,$A89,現地作業!$L$3:$L$202,"予定",現地作業!$C$3:$C$202,"&gt;="&amp;TODAY())=0,"",_xlfn.MINIFS(現地作業!$C$3:$C$202,現地作業!$A$3:$A$202,$A89,現地作業!$L$3:$L$202,"予定",現地作業!$C$3:$C$202,"&gt;="&amp;TODAY())))</f>
        <v/>
      </c>
      <c r="AE89" s="39"/>
      <c r="AF89" s="30" t="str">
        <f aca="false">IF($A89="","",SUM(月次工数計画!$G$94:$AD$94))</f>
        <v/>
      </c>
      <c r="AG89" s="30" t="str">
        <f aca="false">IF($A89="","",SUMIFS(工数明細!$G$3:$G$302,工数明細!$B$3:$B$302,$A89))</f>
        <v/>
      </c>
      <c r="AH89" s="31" t="str">
        <f aca="false">IF($AE89="","",$AE89-N($AG89))</f>
        <v/>
      </c>
      <c r="AI89" s="25" t="str">
        <f aca="false">IF(N($AE89)=0,"",$AG89/$AE89)</f>
        <v/>
      </c>
      <c r="AJ89" s="20" t="str">
        <f aca="false">IF(N($AE89)=0,"",IF($AG89&gt;$AE89,"超過",IF($AG89&gt;=$AE89*0.9,"注意","適正")))</f>
        <v/>
      </c>
      <c r="AK89" s="34"/>
    </row>
    <row r="90" customFormat="false" ht="18" hidden="false" customHeight="true" outlineLevel="0" collapsed="false">
      <c r="A90" s="33"/>
      <c r="B90" s="34"/>
      <c r="C90" s="34"/>
      <c r="D90" s="34"/>
      <c r="E90" s="34"/>
      <c r="F90" s="35"/>
      <c r="G90" s="34"/>
      <c r="H90" s="34"/>
      <c r="I90" s="36"/>
      <c r="J90" s="37"/>
      <c r="K90" s="37"/>
      <c r="L90" s="37"/>
      <c r="M90" s="37"/>
      <c r="N90" s="19" t="str">
        <f aca="false">IF($J90="","",YEAR($J90)-IF(MONTH($J90)&lt;マスタ!$B$4,1,0))</f>
        <v/>
      </c>
      <c r="O90" s="20" t="str">
        <f aca="false">IF($J90="","","Q"&amp;(INT(MOD(MONTH($J90)-マスタ!$B$4+12,12)/3)+1))</f>
        <v/>
      </c>
      <c r="P90" s="21" t="str">
        <f aca="true">IF($L90="","",IF($M90&lt;&gt;"",$M90-$L90,IF(TODAY()&gt;$L90,TODAY()-$L90,0)))</f>
        <v/>
      </c>
      <c r="Q90" s="38"/>
      <c r="R90" s="23" t="str">
        <f aca="false">IF($Q90="","",$Q90*N($F90))</f>
        <v/>
      </c>
      <c r="S90" s="38"/>
      <c r="T90" s="24" t="str">
        <f aca="false">IF($A90="","",SUMIFS(発注・納品!$H$3:$H$202,発注・納品!$B$3:$B$202,$A90))</f>
        <v/>
      </c>
      <c r="U90" s="23" t="str">
        <f aca="false">IF($Q90="","",N($S90)+N($T90))</f>
        <v/>
      </c>
      <c r="V90" s="23" t="str">
        <f aca="false">IF($Q90="","",$Q90-N($U90))</f>
        <v/>
      </c>
      <c r="W90" s="25" t="str">
        <f aca="false">IF(N($Q90)=0,"",$V90/$Q90)</f>
        <v/>
      </c>
      <c r="X90" s="26" t="str">
        <f aca="false">IF($A90="","",COUNTIFS(発注・納品!$B$3:$B$202,$A90))</f>
        <v/>
      </c>
      <c r="Y90" s="26" t="str">
        <f aca="false">IF($A90="","",COUNTIFS(発注・納品!$B$3:$B$202,$A90,発注・納品!$M$3:$M$202,""))</f>
        <v/>
      </c>
      <c r="Z90" s="27" t="str">
        <f aca="false">IF(N($X90)=0,"",IF(_xlfn.MAXIFS(発注・納品!$M$3:$M$202,発注・納品!$B$3:$B$202,$A90)=0,"",_xlfn.MAXIFS(発注・納品!$M$3:$M$202,発注・納品!$B$3:$B$202,$A90)))</f>
        <v/>
      </c>
      <c r="AA90" s="28" t="str">
        <f aca="false">IF($A90="","",IF(N($X90)=0,"機器なし",IF(N($Y90)&gt;0,"入荷待ち",IF(COUNTIFS(発注・納品!$B$3:$B$202,$A90,発注・納品!$N$3:$N$202,"")&gt;0,"受入待ち","受入完了"))))</f>
        <v/>
      </c>
      <c r="AB90" s="26" t="str">
        <f aca="false">IF($A90="","",COUNTIFS(現地作業!$A$3:$A$202,$A90,現地作業!$L$3:$L$202,"予定"))</f>
        <v/>
      </c>
      <c r="AC90" s="26" t="str">
        <f aca="false">IF($A90="","",COUNTIFS(現地作業!$A$3:$A$202,$A90,現地作業!$L$3:$L$202,"完了"))</f>
        <v/>
      </c>
      <c r="AD90" s="27" t="str">
        <f aca="true">IF(N($AB90)=0,"",IF(_xlfn.MINIFS(現地作業!$C$3:$C$202,現地作業!$A$3:$A$202,$A90,現地作業!$L$3:$L$202,"予定",現地作業!$C$3:$C$202,"&gt;="&amp;TODAY())=0,"",_xlfn.MINIFS(現地作業!$C$3:$C$202,現地作業!$A$3:$A$202,$A90,現地作業!$L$3:$L$202,"予定",現地作業!$C$3:$C$202,"&gt;="&amp;TODAY())))</f>
        <v/>
      </c>
      <c r="AE90" s="39"/>
      <c r="AF90" s="30" t="str">
        <f aca="false">IF($A90="","",SUM(月次工数計画!$G$95:$AD$95))</f>
        <v/>
      </c>
      <c r="AG90" s="30" t="str">
        <f aca="false">IF($A90="","",SUMIFS(工数明細!$G$3:$G$302,工数明細!$B$3:$B$302,$A90))</f>
        <v/>
      </c>
      <c r="AH90" s="31" t="str">
        <f aca="false">IF($AE90="","",$AE90-N($AG90))</f>
        <v/>
      </c>
      <c r="AI90" s="25" t="str">
        <f aca="false">IF(N($AE90)=0,"",$AG90/$AE90)</f>
        <v/>
      </c>
      <c r="AJ90" s="20" t="str">
        <f aca="false">IF(N($AE90)=0,"",IF($AG90&gt;$AE90,"超過",IF($AG90&gt;=$AE90*0.9,"注意","適正")))</f>
        <v/>
      </c>
      <c r="AK90" s="34"/>
    </row>
    <row r="91" customFormat="false" ht="18" hidden="false" customHeight="true" outlineLevel="0" collapsed="false">
      <c r="A91" s="33"/>
      <c r="B91" s="34"/>
      <c r="C91" s="34"/>
      <c r="D91" s="34"/>
      <c r="E91" s="34"/>
      <c r="F91" s="35"/>
      <c r="G91" s="34"/>
      <c r="H91" s="34"/>
      <c r="I91" s="36"/>
      <c r="J91" s="37"/>
      <c r="K91" s="37"/>
      <c r="L91" s="37"/>
      <c r="M91" s="37"/>
      <c r="N91" s="19" t="str">
        <f aca="false">IF($J91="","",YEAR($J91)-IF(MONTH($J91)&lt;マスタ!$B$4,1,0))</f>
        <v/>
      </c>
      <c r="O91" s="20" t="str">
        <f aca="false">IF($J91="","","Q"&amp;(INT(MOD(MONTH($J91)-マスタ!$B$4+12,12)/3)+1))</f>
        <v/>
      </c>
      <c r="P91" s="21" t="str">
        <f aca="true">IF($L91="","",IF($M91&lt;&gt;"",$M91-$L91,IF(TODAY()&gt;$L91,TODAY()-$L91,0)))</f>
        <v/>
      </c>
      <c r="Q91" s="38"/>
      <c r="R91" s="23" t="str">
        <f aca="false">IF($Q91="","",$Q91*N($F91))</f>
        <v/>
      </c>
      <c r="S91" s="38"/>
      <c r="T91" s="24" t="str">
        <f aca="false">IF($A91="","",SUMIFS(発注・納品!$H$3:$H$202,発注・納品!$B$3:$B$202,$A91))</f>
        <v/>
      </c>
      <c r="U91" s="23" t="str">
        <f aca="false">IF($Q91="","",N($S91)+N($T91))</f>
        <v/>
      </c>
      <c r="V91" s="23" t="str">
        <f aca="false">IF($Q91="","",$Q91-N($U91))</f>
        <v/>
      </c>
      <c r="W91" s="25" t="str">
        <f aca="false">IF(N($Q91)=0,"",$V91/$Q91)</f>
        <v/>
      </c>
      <c r="X91" s="26" t="str">
        <f aca="false">IF($A91="","",COUNTIFS(発注・納品!$B$3:$B$202,$A91))</f>
        <v/>
      </c>
      <c r="Y91" s="26" t="str">
        <f aca="false">IF($A91="","",COUNTIFS(発注・納品!$B$3:$B$202,$A91,発注・納品!$M$3:$M$202,""))</f>
        <v/>
      </c>
      <c r="Z91" s="27" t="str">
        <f aca="false">IF(N($X91)=0,"",IF(_xlfn.MAXIFS(発注・納品!$M$3:$M$202,発注・納品!$B$3:$B$202,$A91)=0,"",_xlfn.MAXIFS(発注・納品!$M$3:$M$202,発注・納品!$B$3:$B$202,$A91)))</f>
        <v/>
      </c>
      <c r="AA91" s="28" t="str">
        <f aca="false">IF($A91="","",IF(N($X91)=0,"機器なし",IF(N($Y91)&gt;0,"入荷待ち",IF(COUNTIFS(発注・納品!$B$3:$B$202,$A91,発注・納品!$N$3:$N$202,"")&gt;0,"受入待ち","受入完了"))))</f>
        <v/>
      </c>
      <c r="AB91" s="26" t="str">
        <f aca="false">IF($A91="","",COUNTIFS(現地作業!$A$3:$A$202,$A91,現地作業!$L$3:$L$202,"予定"))</f>
        <v/>
      </c>
      <c r="AC91" s="26" t="str">
        <f aca="false">IF($A91="","",COUNTIFS(現地作業!$A$3:$A$202,$A91,現地作業!$L$3:$L$202,"完了"))</f>
        <v/>
      </c>
      <c r="AD91" s="27" t="str">
        <f aca="true">IF(N($AB91)=0,"",IF(_xlfn.MINIFS(現地作業!$C$3:$C$202,現地作業!$A$3:$A$202,$A91,現地作業!$L$3:$L$202,"予定",現地作業!$C$3:$C$202,"&gt;="&amp;TODAY())=0,"",_xlfn.MINIFS(現地作業!$C$3:$C$202,現地作業!$A$3:$A$202,$A91,現地作業!$L$3:$L$202,"予定",現地作業!$C$3:$C$202,"&gt;="&amp;TODAY())))</f>
        <v/>
      </c>
      <c r="AE91" s="39"/>
      <c r="AF91" s="30" t="str">
        <f aca="false">IF($A91="","",SUM(月次工数計画!$G$96:$AD$96))</f>
        <v/>
      </c>
      <c r="AG91" s="30" t="str">
        <f aca="false">IF($A91="","",SUMIFS(工数明細!$G$3:$G$302,工数明細!$B$3:$B$302,$A91))</f>
        <v/>
      </c>
      <c r="AH91" s="31" t="str">
        <f aca="false">IF($AE91="","",$AE91-N($AG91))</f>
        <v/>
      </c>
      <c r="AI91" s="25" t="str">
        <f aca="false">IF(N($AE91)=0,"",$AG91/$AE91)</f>
        <v/>
      </c>
      <c r="AJ91" s="20" t="str">
        <f aca="false">IF(N($AE91)=0,"",IF($AG91&gt;$AE91,"超過",IF($AG91&gt;=$AE91*0.9,"注意","適正")))</f>
        <v/>
      </c>
      <c r="AK91" s="34"/>
    </row>
    <row r="92" customFormat="false" ht="18" hidden="false" customHeight="true" outlineLevel="0" collapsed="false">
      <c r="A92" s="33"/>
      <c r="B92" s="34"/>
      <c r="C92" s="34"/>
      <c r="D92" s="34"/>
      <c r="E92" s="34"/>
      <c r="F92" s="35"/>
      <c r="G92" s="34"/>
      <c r="H92" s="34"/>
      <c r="I92" s="36"/>
      <c r="J92" s="37"/>
      <c r="K92" s="37"/>
      <c r="L92" s="37"/>
      <c r="M92" s="37"/>
      <c r="N92" s="19" t="str">
        <f aca="false">IF($J92="","",YEAR($J92)-IF(MONTH($J92)&lt;マスタ!$B$4,1,0))</f>
        <v/>
      </c>
      <c r="O92" s="20" t="str">
        <f aca="false">IF($J92="","","Q"&amp;(INT(MOD(MONTH($J92)-マスタ!$B$4+12,12)/3)+1))</f>
        <v/>
      </c>
      <c r="P92" s="21" t="str">
        <f aca="true">IF($L92="","",IF($M92&lt;&gt;"",$M92-$L92,IF(TODAY()&gt;$L92,TODAY()-$L92,0)))</f>
        <v/>
      </c>
      <c r="Q92" s="38"/>
      <c r="R92" s="23" t="str">
        <f aca="false">IF($Q92="","",$Q92*N($F92))</f>
        <v/>
      </c>
      <c r="S92" s="38"/>
      <c r="T92" s="24" t="str">
        <f aca="false">IF($A92="","",SUMIFS(発注・納品!$H$3:$H$202,発注・納品!$B$3:$B$202,$A92))</f>
        <v/>
      </c>
      <c r="U92" s="23" t="str">
        <f aca="false">IF($Q92="","",N($S92)+N($T92))</f>
        <v/>
      </c>
      <c r="V92" s="23" t="str">
        <f aca="false">IF($Q92="","",$Q92-N($U92))</f>
        <v/>
      </c>
      <c r="W92" s="25" t="str">
        <f aca="false">IF(N($Q92)=0,"",$V92/$Q92)</f>
        <v/>
      </c>
      <c r="X92" s="26" t="str">
        <f aca="false">IF($A92="","",COUNTIFS(発注・納品!$B$3:$B$202,$A92))</f>
        <v/>
      </c>
      <c r="Y92" s="26" t="str">
        <f aca="false">IF($A92="","",COUNTIFS(発注・納品!$B$3:$B$202,$A92,発注・納品!$M$3:$M$202,""))</f>
        <v/>
      </c>
      <c r="Z92" s="27" t="str">
        <f aca="false">IF(N($X92)=0,"",IF(_xlfn.MAXIFS(発注・納品!$M$3:$M$202,発注・納品!$B$3:$B$202,$A92)=0,"",_xlfn.MAXIFS(発注・納品!$M$3:$M$202,発注・納品!$B$3:$B$202,$A92)))</f>
        <v/>
      </c>
      <c r="AA92" s="28" t="str">
        <f aca="false">IF($A92="","",IF(N($X92)=0,"機器なし",IF(N($Y92)&gt;0,"入荷待ち",IF(COUNTIFS(発注・納品!$B$3:$B$202,$A92,発注・納品!$N$3:$N$202,"")&gt;0,"受入待ち","受入完了"))))</f>
        <v/>
      </c>
      <c r="AB92" s="26" t="str">
        <f aca="false">IF($A92="","",COUNTIFS(現地作業!$A$3:$A$202,$A92,現地作業!$L$3:$L$202,"予定"))</f>
        <v/>
      </c>
      <c r="AC92" s="26" t="str">
        <f aca="false">IF($A92="","",COUNTIFS(現地作業!$A$3:$A$202,$A92,現地作業!$L$3:$L$202,"完了"))</f>
        <v/>
      </c>
      <c r="AD92" s="27" t="str">
        <f aca="true">IF(N($AB92)=0,"",IF(_xlfn.MINIFS(現地作業!$C$3:$C$202,現地作業!$A$3:$A$202,$A92,現地作業!$L$3:$L$202,"予定",現地作業!$C$3:$C$202,"&gt;="&amp;TODAY())=0,"",_xlfn.MINIFS(現地作業!$C$3:$C$202,現地作業!$A$3:$A$202,$A92,現地作業!$L$3:$L$202,"予定",現地作業!$C$3:$C$202,"&gt;="&amp;TODAY())))</f>
        <v/>
      </c>
      <c r="AE92" s="39"/>
      <c r="AF92" s="30" t="str">
        <f aca="false">IF($A92="","",SUM(月次工数計画!$G$97:$AD$97))</f>
        <v/>
      </c>
      <c r="AG92" s="30" t="str">
        <f aca="false">IF($A92="","",SUMIFS(工数明細!$G$3:$G$302,工数明細!$B$3:$B$302,$A92))</f>
        <v/>
      </c>
      <c r="AH92" s="31" t="str">
        <f aca="false">IF($AE92="","",$AE92-N($AG92))</f>
        <v/>
      </c>
      <c r="AI92" s="25" t="str">
        <f aca="false">IF(N($AE92)=0,"",$AG92/$AE92)</f>
        <v/>
      </c>
      <c r="AJ92" s="20" t="str">
        <f aca="false">IF(N($AE92)=0,"",IF($AG92&gt;$AE92,"超過",IF($AG92&gt;=$AE92*0.9,"注意","適正")))</f>
        <v/>
      </c>
      <c r="AK92" s="34"/>
    </row>
    <row r="93" customFormat="false" ht="18" hidden="false" customHeight="true" outlineLevel="0" collapsed="false">
      <c r="A93" s="33"/>
      <c r="B93" s="34"/>
      <c r="C93" s="34"/>
      <c r="D93" s="34"/>
      <c r="E93" s="34"/>
      <c r="F93" s="35"/>
      <c r="G93" s="34"/>
      <c r="H93" s="34"/>
      <c r="I93" s="36"/>
      <c r="J93" s="37"/>
      <c r="K93" s="37"/>
      <c r="L93" s="37"/>
      <c r="M93" s="37"/>
      <c r="N93" s="19" t="str">
        <f aca="false">IF($J93="","",YEAR($J93)-IF(MONTH($J93)&lt;マスタ!$B$4,1,0))</f>
        <v/>
      </c>
      <c r="O93" s="20" t="str">
        <f aca="false">IF($J93="","","Q"&amp;(INT(MOD(MONTH($J93)-マスタ!$B$4+12,12)/3)+1))</f>
        <v/>
      </c>
      <c r="P93" s="21" t="str">
        <f aca="true">IF($L93="","",IF($M93&lt;&gt;"",$M93-$L93,IF(TODAY()&gt;$L93,TODAY()-$L93,0)))</f>
        <v/>
      </c>
      <c r="Q93" s="38"/>
      <c r="R93" s="23" t="str">
        <f aca="false">IF($Q93="","",$Q93*N($F93))</f>
        <v/>
      </c>
      <c r="S93" s="38"/>
      <c r="T93" s="24" t="str">
        <f aca="false">IF($A93="","",SUMIFS(発注・納品!$H$3:$H$202,発注・納品!$B$3:$B$202,$A93))</f>
        <v/>
      </c>
      <c r="U93" s="23" t="str">
        <f aca="false">IF($Q93="","",N($S93)+N($T93))</f>
        <v/>
      </c>
      <c r="V93" s="23" t="str">
        <f aca="false">IF($Q93="","",$Q93-N($U93))</f>
        <v/>
      </c>
      <c r="W93" s="25" t="str">
        <f aca="false">IF(N($Q93)=0,"",$V93/$Q93)</f>
        <v/>
      </c>
      <c r="X93" s="26" t="str">
        <f aca="false">IF($A93="","",COUNTIFS(発注・納品!$B$3:$B$202,$A93))</f>
        <v/>
      </c>
      <c r="Y93" s="26" t="str">
        <f aca="false">IF($A93="","",COUNTIFS(発注・納品!$B$3:$B$202,$A93,発注・納品!$M$3:$M$202,""))</f>
        <v/>
      </c>
      <c r="Z93" s="27" t="str">
        <f aca="false">IF(N($X93)=0,"",IF(_xlfn.MAXIFS(発注・納品!$M$3:$M$202,発注・納品!$B$3:$B$202,$A93)=0,"",_xlfn.MAXIFS(発注・納品!$M$3:$M$202,発注・納品!$B$3:$B$202,$A93)))</f>
        <v/>
      </c>
      <c r="AA93" s="28" t="str">
        <f aca="false">IF($A93="","",IF(N($X93)=0,"機器なし",IF(N($Y93)&gt;0,"入荷待ち",IF(COUNTIFS(発注・納品!$B$3:$B$202,$A93,発注・納品!$N$3:$N$202,"")&gt;0,"受入待ち","受入完了"))))</f>
        <v/>
      </c>
      <c r="AB93" s="26" t="str">
        <f aca="false">IF($A93="","",COUNTIFS(現地作業!$A$3:$A$202,$A93,現地作業!$L$3:$L$202,"予定"))</f>
        <v/>
      </c>
      <c r="AC93" s="26" t="str">
        <f aca="false">IF($A93="","",COUNTIFS(現地作業!$A$3:$A$202,$A93,現地作業!$L$3:$L$202,"完了"))</f>
        <v/>
      </c>
      <c r="AD93" s="27" t="str">
        <f aca="true">IF(N($AB93)=0,"",IF(_xlfn.MINIFS(現地作業!$C$3:$C$202,現地作業!$A$3:$A$202,$A93,現地作業!$L$3:$L$202,"予定",現地作業!$C$3:$C$202,"&gt;="&amp;TODAY())=0,"",_xlfn.MINIFS(現地作業!$C$3:$C$202,現地作業!$A$3:$A$202,$A93,現地作業!$L$3:$L$202,"予定",現地作業!$C$3:$C$202,"&gt;="&amp;TODAY())))</f>
        <v/>
      </c>
      <c r="AE93" s="39"/>
      <c r="AF93" s="30" t="str">
        <f aca="false">IF($A93="","",SUM(月次工数計画!$G$98:$AD$98))</f>
        <v/>
      </c>
      <c r="AG93" s="30" t="str">
        <f aca="false">IF($A93="","",SUMIFS(工数明細!$G$3:$G$302,工数明細!$B$3:$B$302,$A93))</f>
        <v/>
      </c>
      <c r="AH93" s="31" t="str">
        <f aca="false">IF($AE93="","",$AE93-N($AG93))</f>
        <v/>
      </c>
      <c r="AI93" s="25" t="str">
        <f aca="false">IF(N($AE93)=0,"",$AG93/$AE93)</f>
        <v/>
      </c>
      <c r="AJ93" s="20" t="str">
        <f aca="false">IF(N($AE93)=0,"",IF($AG93&gt;$AE93,"超過",IF($AG93&gt;=$AE93*0.9,"注意","適正")))</f>
        <v/>
      </c>
      <c r="AK93" s="34"/>
    </row>
    <row r="94" customFormat="false" ht="18" hidden="false" customHeight="true" outlineLevel="0" collapsed="false">
      <c r="A94" s="33"/>
      <c r="B94" s="34"/>
      <c r="C94" s="34"/>
      <c r="D94" s="34"/>
      <c r="E94" s="34"/>
      <c r="F94" s="35"/>
      <c r="G94" s="34"/>
      <c r="H94" s="34"/>
      <c r="I94" s="36"/>
      <c r="J94" s="37"/>
      <c r="K94" s="37"/>
      <c r="L94" s="37"/>
      <c r="M94" s="37"/>
      <c r="N94" s="19" t="str">
        <f aca="false">IF($J94="","",YEAR($J94)-IF(MONTH($J94)&lt;マスタ!$B$4,1,0))</f>
        <v/>
      </c>
      <c r="O94" s="20" t="str">
        <f aca="false">IF($J94="","","Q"&amp;(INT(MOD(MONTH($J94)-マスタ!$B$4+12,12)/3)+1))</f>
        <v/>
      </c>
      <c r="P94" s="21" t="str">
        <f aca="true">IF($L94="","",IF($M94&lt;&gt;"",$M94-$L94,IF(TODAY()&gt;$L94,TODAY()-$L94,0)))</f>
        <v/>
      </c>
      <c r="Q94" s="38"/>
      <c r="R94" s="23" t="str">
        <f aca="false">IF($Q94="","",$Q94*N($F94))</f>
        <v/>
      </c>
      <c r="S94" s="38"/>
      <c r="T94" s="24" t="str">
        <f aca="false">IF($A94="","",SUMIFS(発注・納品!$H$3:$H$202,発注・納品!$B$3:$B$202,$A94))</f>
        <v/>
      </c>
      <c r="U94" s="23" t="str">
        <f aca="false">IF($Q94="","",N($S94)+N($T94))</f>
        <v/>
      </c>
      <c r="V94" s="23" t="str">
        <f aca="false">IF($Q94="","",$Q94-N($U94))</f>
        <v/>
      </c>
      <c r="W94" s="25" t="str">
        <f aca="false">IF(N($Q94)=0,"",$V94/$Q94)</f>
        <v/>
      </c>
      <c r="X94" s="26" t="str">
        <f aca="false">IF($A94="","",COUNTIFS(発注・納品!$B$3:$B$202,$A94))</f>
        <v/>
      </c>
      <c r="Y94" s="26" t="str">
        <f aca="false">IF($A94="","",COUNTIFS(発注・納品!$B$3:$B$202,$A94,発注・納品!$M$3:$M$202,""))</f>
        <v/>
      </c>
      <c r="Z94" s="27" t="str">
        <f aca="false">IF(N($X94)=0,"",IF(_xlfn.MAXIFS(発注・納品!$M$3:$M$202,発注・納品!$B$3:$B$202,$A94)=0,"",_xlfn.MAXIFS(発注・納品!$M$3:$M$202,発注・納品!$B$3:$B$202,$A94)))</f>
        <v/>
      </c>
      <c r="AA94" s="28" t="str">
        <f aca="false">IF($A94="","",IF(N($X94)=0,"機器なし",IF(N($Y94)&gt;0,"入荷待ち",IF(COUNTIFS(発注・納品!$B$3:$B$202,$A94,発注・納品!$N$3:$N$202,"")&gt;0,"受入待ち","受入完了"))))</f>
        <v/>
      </c>
      <c r="AB94" s="26" t="str">
        <f aca="false">IF($A94="","",COUNTIFS(現地作業!$A$3:$A$202,$A94,現地作業!$L$3:$L$202,"予定"))</f>
        <v/>
      </c>
      <c r="AC94" s="26" t="str">
        <f aca="false">IF($A94="","",COUNTIFS(現地作業!$A$3:$A$202,$A94,現地作業!$L$3:$L$202,"完了"))</f>
        <v/>
      </c>
      <c r="AD94" s="27" t="str">
        <f aca="true">IF(N($AB94)=0,"",IF(_xlfn.MINIFS(現地作業!$C$3:$C$202,現地作業!$A$3:$A$202,$A94,現地作業!$L$3:$L$202,"予定",現地作業!$C$3:$C$202,"&gt;="&amp;TODAY())=0,"",_xlfn.MINIFS(現地作業!$C$3:$C$202,現地作業!$A$3:$A$202,$A94,現地作業!$L$3:$L$202,"予定",現地作業!$C$3:$C$202,"&gt;="&amp;TODAY())))</f>
        <v/>
      </c>
      <c r="AE94" s="39"/>
      <c r="AF94" s="30" t="str">
        <f aca="false">IF($A94="","",SUM(月次工数計画!$G$99:$AD$99))</f>
        <v/>
      </c>
      <c r="AG94" s="30" t="str">
        <f aca="false">IF($A94="","",SUMIFS(工数明細!$G$3:$G$302,工数明細!$B$3:$B$302,$A94))</f>
        <v/>
      </c>
      <c r="AH94" s="31" t="str">
        <f aca="false">IF($AE94="","",$AE94-N($AG94))</f>
        <v/>
      </c>
      <c r="AI94" s="25" t="str">
        <f aca="false">IF(N($AE94)=0,"",$AG94/$AE94)</f>
        <v/>
      </c>
      <c r="AJ94" s="20" t="str">
        <f aca="false">IF(N($AE94)=0,"",IF($AG94&gt;$AE94,"超過",IF($AG94&gt;=$AE94*0.9,"注意","適正")))</f>
        <v/>
      </c>
      <c r="AK94" s="34"/>
    </row>
    <row r="95" customFormat="false" ht="18" hidden="false" customHeight="true" outlineLevel="0" collapsed="false">
      <c r="A95" s="33"/>
      <c r="B95" s="34"/>
      <c r="C95" s="34"/>
      <c r="D95" s="34"/>
      <c r="E95" s="34"/>
      <c r="F95" s="35"/>
      <c r="G95" s="34"/>
      <c r="H95" s="34"/>
      <c r="I95" s="36"/>
      <c r="J95" s="37"/>
      <c r="K95" s="37"/>
      <c r="L95" s="37"/>
      <c r="M95" s="37"/>
      <c r="N95" s="19" t="str">
        <f aca="false">IF($J95="","",YEAR($J95)-IF(MONTH($J95)&lt;マスタ!$B$4,1,0))</f>
        <v/>
      </c>
      <c r="O95" s="20" t="str">
        <f aca="false">IF($J95="","","Q"&amp;(INT(MOD(MONTH($J95)-マスタ!$B$4+12,12)/3)+1))</f>
        <v/>
      </c>
      <c r="P95" s="21" t="str">
        <f aca="true">IF($L95="","",IF($M95&lt;&gt;"",$M95-$L95,IF(TODAY()&gt;$L95,TODAY()-$L95,0)))</f>
        <v/>
      </c>
      <c r="Q95" s="38"/>
      <c r="R95" s="23" t="str">
        <f aca="false">IF($Q95="","",$Q95*N($F95))</f>
        <v/>
      </c>
      <c r="S95" s="38"/>
      <c r="T95" s="24" t="str">
        <f aca="false">IF($A95="","",SUMIFS(発注・納品!$H$3:$H$202,発注・納品!$B$3:$B$202,$A95))</f>
        <v/>
      </c>
      <c r="U95" s="23" t="str">
        <f aca="false">IF($Q95="","",N($S95)+N($T95))</f>
        <v/>
      </c>
      <c r="V95" s="23" t="str">
        <f aca="false">IF($Q95="","",$Q95-N($U95))</f>
        <v/>
      </c>
      <c r="W95" s="25" t="str">
        <f aca="false">IF(N($Q95)=0,"",$V95/$Q95)</f>
        <v/>
      </c>
      <c r="X95" s="26" t="str">
        <f aca="false">IF($A95="","",COUNTIFS(発注・納品!$B$3:$B$202,$A95))</f>
        <v/>
      </c>
      <c r="Y95" s="26" t="str">
        <f aca="false">IF($A95="","",COUNTIFS(発注・納品!$B$3:$B$202,$A95,発注・納品!$M$3:$M$202,""))</f>
        <v/>
      </c>
      <c r="Z95" s="27" t="str">
        <f aca="false">IF(N($X95)=0,"",IF(_xlfn.MAXIFS(発注・納品!$M$3:$M$202,発注・納品!$B$3:$B$202,$A95)=0,"",_xlfn.MAXIFS(発注・納品!$M$3:$M$202,発注・納品!$B$3:$B$202,$A95)))</f>
        <v/>
      </c>
      <c r="AA95" s="28" t="str">
        <f aca="false">IF($A95="","",IF(N($X95)=0,"機器なし",IF(N($Y95)&gt;0,"入荷待ち",IF(COUNTIFS(発注・納品!$B$3:$B$202,$A95,発注・納品!$N$3:$N$202,"")&gt;0,"受入待ち","受入完了"))))</f>
        <v/>
      </c>
      <c r="AB95" s="26" t="str">
        <f aca="false">IF($A95="","",COUNTIFS(現地作業!$A$3:$A$202,$A95,現地作業!$L$3:$L$202,"予定"))</f>
        <v/>
      </c>
      <c r="AC95" s="26" t="str">
        <f aca="false">IF($A95="","",COUNTIFS(現地作業!$A$3:$A$202,$A95,現地作業!$L$3:$L$202,"完了"))</f>
        <v/>
      </c>
      <c r="AD95" s="27" t="str">
        <f aca="true">IF(N($AB95)=0,"",IF(_xlfn.MINIFS(現地作業!$C$3:$C$202,現地作業!$A$3:$A$202,$A95,現地作業!$L$3:$L$202,"予定",現地作業!$C$3:$C$202,"&gt;="&amp;TODAY())=0,"",_xlfn.MINIFS(現地作業!$C$3:$C$202,現地作業!$A$3:$A$202,$A95,現地作業!$L$3:$L$202,"予定",現地作業!$C$3:$C$202,"&gt;="&amp;TODAY())))</f>
        <v/>
      </c>
      <c r="AE95" s="39"/>
      <c r="AF95" s="30" t="str">
        <f aca="false">IF($A95="","",SUM(月次工数計画!$G$100:$AD$100))</f>
        <v/>
      </c>
      <c r="AG95" s="30" t="str">
        <f aca="false">IF($A95="","",SUMIFS(工数明細!$G$3:$G$302,工数明細!$B$3:$B$302,$A95))</f>
        <v/>
      </c>
      <c r="AH95" s="31" t="str">
        <f aca="false">IF($AE95="","",$AE95-N($AG95))</f>
        <v/>
      </c>
      <c r="AI95" s="25" t="str">
        <f aca="false">IF(N($AE95)=0,"",$AG95/$AE95)</f>
        <v/>
      </c>
      <c r="AJ95" s="20" t="str">
        <f aca="false">IF(N($AE95)=0,"",IF($AG95&gt;$AE95,"超過",IF($AG95&gt;=$AE95*0.9,"注意","適正")))</f>
        <v/>
      </c>
      <c r="AK95" s="34"/>
    </row>
    <row r="96" customFormat="false" ht="18" hidden="false" customHeight="true" outlineLevel="0" collapsed="false">
      <c r="A96" s="33"/>
      <c r="B96" s="34"/>
      <c r="C96" s="34"/>
      <c r="D96" s="34"/>
      <c r="E96" s="34"/>
      <c r="F96" s="35"/>
      <c r="G96" s="34"/>
      <c r="H96" s="34"/>
      <c r="I96" s="36"/>
      <c r="J96" s="37"/>
      <c r="K96" s="37"/>
      <c r="L96" s="37"/>
      <c r="M96" s="37"/>
      <c r="N96" s="19" t="str">
        <f aca="false">IF($J96="","",YEAR($J96)-IF(MONTH($J96)&lt;マスタ!$B$4,1,0))</f>
        <v/>
      </c>
      <c r="O96" s="20" t="str">
        <f aca="false">IF($J96="","","Q"&amp;(INT(MOD(MONTH($J96)-マスタ!$B$4+12,12)/3)+1))</f>
        <v/>
      </c>
      <c r="P96" s="21" t="str">
        <f aca="true">IF($L96="","",IF($M96&lt;&gt;"",$M96-$L96,IF(TODAY()&gt;$L96,TODAY()-$L96,0)))</f>
        <v/>
      </c>
      <c r="Q96" s="38"/>
      <c r="R96" s="23" t="str">
        <f aca="false">IF($Q96="","",$Q96*N($F96))</f>
        <v/>
      </c>
      <c r="S96" s="38"/>
      <c r="T96" s="24" t="str">
        <f aca="false">IF($A96="","",SUMIFS(発注・納品!$H$3:$H$202,発注・納品!$B$3:$B$202,$A96))</f>
        <v/>
      </c>
      <c r="U96" s="23" t="str">
        <f aca="false">IF($Q96="","",N($S96)+N($T96))</f>
        <v/>
      </c>
      <c r="V96" s="23" t="str">
        <f aca="false">IF($Q96="","",$Q96-N($U96))</f>
        <v/>
      </c>
      <c r="W96" s="25" t="str">
        <f aca="false">IF(N($Q96)=0,"",$V96/$Q96)</f>
        <v/>
      </c>
      <c r="X96" s="26" t="str">
        <f aca="false">IF($A96="","",COUNTIFS(発注・納品!$B$3:$B$202,$A96))</f>
        <v/>
      </c>
      <c r="Y96" s="26" t="str">
        <f aca="false">IF($A96="","",COUNTIFS(発注・納品!$B$3:$B$202,$A96,発注・納品!$M$3:$M$202,""))</f>
        <v/>
      </c>
      <c r="Z96" s="27" t="str">
        <f aca="false">IF(N($X96)=0,"",IF(_xlfn.MAXIFS(発注・納品!$M$3:$M$202,発注・納品!$B$3:$B$202,$A96)=0,"",_xlfn.MAXIFS(発注・納品!$M$3:$M$202,発注・納品!$B$3:$B$202,$A96)))</f>
        <v/>
      </c>
      <c r="AA96" s="28" t="str">
        <f aca="false">IF($A96="","",IF(N($X96)=0,"機器なし",IF(N($Y96)&gt;0,"入荷待ち",IF(COUNTIFS(発注・納品!$B$3:$B$202,$A96,発注・納品!$N$3:$N$202,"")&gt;0,"受入待ち","受入完了"))))</f>
        <v/>
      </c>
      <c r="AB96" s="26" t="str">
        <f aca="false">IF($A96="","",COUNTIFS(現地作業!$A$3:$A$202,$A96,現地作業!$L$3:$L$202,"予定"))</f>
        <v/>
      </c>
      <c r="AC96" s="26" t="str">
        <f aca="false">IF($A96="","",COUNTIFS(現地作業!$A$3:$A$202,$A96,現地作業!$L$3:$L$202,"完了"))</f>
        <v/>
      </c>
      <c r="AD96" s="27" t="str">
        <f aca="true">IF(N($AB96)=0,"",IF(_xlfn.MINIFS(現地作業!$C$3:$C$202,現地作業!$A$3:$A$202,$A96,現地作業!$L$3:$L$202,"予定",現地作業!$C$3:$C$202,"&gt;="&amp;TODAY())=0,"",_xlfn.MINIFS(現地作業!$C$3:$C$202,現地作業!$A$3:$A$202,$A96,現地作業!$L$3:$L$202,"予定",現地作業!$C$3:$C$202,"&gt;="&amp;TODAY())))</f>
        <v/>
      </c>
      <c r="AE96" s="39"/>
      <c r="AF96" s="30" t="str">
        <f aca="false">IF($A96="","",SUM(月次工数計画!$G$101:$AD$101))</f>
        <v/>
      </c>
      <c r="AG96" s="30" t="str">
        <f aca="false">IF($A96="","",SUMIFS(工数明細!$G$3:$G$302,工数明細!$B$3:$B$302,$A96))</f>
        <v/>
      </c>
      <c r="AH96" s="31" t="str">
        <f aca="false">IF($AE96="","",$AE96-N($AG96))</f>
        <v/>
      </c>
      <c r="AI96" s="25" t="str">
        <f aca="false">IF(N($AE96)=0,"",$AG96/$AE96)</f>
        <v/>
      </c>
      <c r="AJ96" s="20" t="str">
        <f aca="false">IF(N($AE96)=0,"",IF($AG96&gt;$AE96,"超過",IF($AG96&gt;=$AE96*0.9,"注意","適正")))</f>
        <v/>
      </c>
      <c r="AK96" s="34"/>
    </row>
    <row r="97" customFormat="false" ht="18" hidden="false" customHeight="true" outlineLevel="0" collapsed="false">
      <c r="A97" s="33"/>
      <c r="B97" s="34"/>
      <c r="C97" s="34"/>
      <c r="D97" s="34"/>
      <c r="E97" s="34"/>
      <c r="F97" s="35"/>
      <c r="G97" s="34"/>
      <c r="H97" s="34"/>
      <c r="I97" s="36"/>
      <c r="J97" s="37"/>
      <c r="K97" s="37"/>
      <c r="L97" s="37"/>
      <c r="M97" s="37"/>
      <c r="N97" s="19" t="str">
        <f aca="false">IF($J97="","",YEAR($J97)-IF(MONTH($J97)&lt;マスタ!$B$4,1,0))</f>
        <v/>
      </c>
      <c r="O97" s="20" t="str">
        <f aca="false">IF($J97="","","Q"&amp;(INT(MOD(MONTH($J97)-マスタ!$B$4+12,12)/3)+1))</f>
        <v/>
      </c>
      <c r="P97" s="21" t="str">
        <f aca="true">IF($L97="","",IF($M97&lt;&gt;"",$M97-$L97,IF(TODAY()&gt;$L97,TODAY()-$L97,0)))</f>
        <v/>
      </c>
      <c r="Q97" s="38"/>
      <c r="R97" s="23" t="str">
        <f aca="false">IF($Q97="","",$Q97*N($F97))</f>
        <v/>
      </c>
      <c r="S97" s="38"/>
      <c r="T97" s="24" t="str">
        <f aca="false">IF($A97="","",SUMIFS(発注・納品!$H$3:$H$202,発注・納品!$B$3:$B$202,$A97))</f>
        <v/>
      </c>
      <c r="U97" s="23" t="str">
        <f aca="false">IF($Q97="","",N($S97)+N($T97))</f>
        <v/>
      </c>
      <c r="V97" s="23" t="str">
        <f aca="false">IF($Q97="","",$Q97-N($U97))</f>
        <v/>
      </c>
      <c r="W97" s="25" t="str">
        <f aca="false">IF(N($Q97)=0,"",$V97/$Q97)</f>
        <v/>
      </c>
      <c r="X97" s="26" t="str">
        <f aca="false">IF($A97="","",COUNTIFS(発注・納品!$B$3:$B$202,$A97))</f>
        <v/>
      </c>
      <c r="Y97" s="26" t="str">
        <f aca="false">IF($A97="","",COUNTIFS(発注・納品!$B$3:$B$202,$A97,発注・納品!$M$3:$M$202,""))</f>
        <v/>
      </c>
      <c r="Z97" s="27" t="str">
        <f aca="false">IF(N($X97)=0,"",IF(_xlfn.MAXIFS(発注・納品!$M$3:$M$202,発注・納品!$B$3:$B$202,$A97)=0,"",_xlfn.MAXIFS(発注・納品!$M$3:$M$202,発注・納品!$B$3:$B$202,$A97)))</f>
        <v/>
      </c>
      <c r="AA97" s="28" t="str">
        <f aca="false">IF($A97="","",IF(N($X97)=0,"機器なし",IF(N($Y97)&gt;0,"入荷待ち",IF(COUNTIFS(発注・納品!$B$3:$B$202,$A97,発注・納品!$N$3:$N$202,"")&gt;0,"受入待ち","受入完了"))))</f>
        <v/>
      </c>
      <c r="AB97" s="26" t="str">
        <f aca="false">IF($A97="","",COUNTIFS(現地作業!$A$3:$A$202,$A97,現地作業!$L$3:$L$202,"予定"))</f>
        <v/>
      </c>
      <c r="AC97" s="26" t="str">
        <f aca="false">IF($A97="","",COUNTIFS(現地作業!$A$3:$A$202,$A97,現地作業!$L$3:$L$202,"完了"))</f>
        <v/>
      </c>
      <c r="AD97" s="27" t="str">
        <f aca="true">IF(N($AB97)=0,"",IF(_xlfn.MINIFS(現地作業!$C$3:$C$202,現地作業!$A$3:$A$202,$A97,現地作業!$L$3:$L$202,"予定",現地作業!$C$3:$C$202,"&gt;="&amp;TODAY())=0,"",_xlfn.MINIFS(現地作業!$C$3:$C$202,現地作業!$A$3:$A$202,$A97,現地作業!$L$3:$L$202,"予定",現地作業!$C$3:$C$202,"&gt;="&amp;TODAY())))</f>
        <v/>
      </c>
      <c r="AE97" s="39"/>
      <c r="AF97" s="30" t="str">
        <f aca="false">IF($A97="","",SUM(月次工数計画!$G$102:$AD$102))</f>
        <v/>
      </c>
      <c r="AG97" s="30" t="str">
        <f aca="false">IF($A97="","",SUMIFS(工数明細!$G$3:$G$302,工数明細!$B$3:$B$302,$A97))</f>
        <v/>
      </c>
      <c r="AH97" s="31" t="str">
        <f aca="false">IF($AE97="","",$AE97-N($AG97))</f>
        <v/>
      </c>
      <c r="AI97" s="25" t="str">
        <f aca="false">IF(N($AE97)=0,"",$AG97/$AE97)</f>
        <v/>
      </c>
      <c r="AJ97" s="20" t="str">
        <f aca="false">IF(N($AE97)=0,"",IF($AG97&gt;$AE97,"超過",IF($AG97&gt;=$AE97*0.9,"注意","適正")))</f>
        <v/>
      </c>
      <c r="AK97" s="34"/>
    </row>
    <row r="98" customFormat="false" ht="18" hidden="false" customHeight="true" outlineLevel="0" collapsed="false">
      <c r="A98" s="33"/>
      <c r="B98" s="34"/>
      <c r="C98" s="34"/>
      <c r="D98" s="34"/>
      <c r="E98" s="34"/>
      <c r="F98" s="35"/>
      <c r="G98" s="34"/>
      <c r="H98" s="34"/>
      <c r="I98" s="36"/>
      <c r="J98" s="37"/>
      <c r="K98" s="37"/>
      <c r="L98" s="37"/>
      <c r="M98" s="37"/>
      <c r="N98" s="19" t="str">
        <f aca="false">IF($J98="","",YEAR($J98)-IF(MONTH($J98)&lt;マスタ!$B$4,1,0))</f>
        <v/>
      </c>
      <c r="O98" s="20" t="str">
        <f aca="false">IF($J98="","","Q"&amp;(INT(MOD(MONTH($J98)-マスタ!$B$4+12,12)/3)+1))</f>
        <v/>
      </c>
      <c r="P98" s="21" t="str">
        <f aca="true">IF($L98="","",IF($M98&lt;&gt;"",$M98-$L98,IF(TODAY()&gt;$L98,TODAY()-$L98,0)))</f>
        <v/>
      </c>
      <c r="Q98" s="38"/>
      <c r="R98" s="23" t="str">
        <f aca="false">IF($Q98="","",$Q98*N($F98))</f>
        <v/>
      </c>
      <c r="S98" s="38"/>
      <c r="T98" s="24" t="str">
        <f aca="false">IF($A98="","",SUMIFS(発注・納品!$H$3:$H$202,発注・納品!$B$3:$B$202,$A98))</f>
        <v/>
      </c>
      <c r="U98" s="23" t="str">
        <f aca="false">IF($Q98="","",N($S98)+N($T98))</f>
        <v/>
      </c>
      <c r="V98" s="23" t="str">
        <f aca="false">IF($Q98="","",$Q98-N($U98))</f>
        <v/>
      </c>
      <c r="W98" s="25" t="str">
        <f aca="false">IF(N($Q98)=0,"",$V98/$Q98)</f>
        <v/>
      </c>
      <c r="X98" s="26" t="str">
        <f aca="false">IF($A98="","",COUNTIFS(発注・納品!$B$3:$B$202,$A98))</f>
        <v/>
      </c>
      <c r="Y98" s="26" t="str">
        <f aca="false">IF($A98="","",COUNTIFS(発注・納品!$B$3:$B$202,$A98,発注・納品!$M$3:$M$202,""))</f>
        <v/>
      </c>
      <c r="Z98" s="27" t="str">
        <f aca="false">IF(N($X98)=0,"",IF(_xlfn.MAXIFS(発注・納品!$M$3:$M$202,発注・納品!$B$3:$B$202,$A98)=0,"",_xlfn.MAXIFS(発注・納品!$M$3:$M$202,発注・納品!$B$3:$B$202,$A98)))</f>
        <v/>
      </c>
      <c r="AA98" s="28" t="str">
        <f aca="false">IF($A98="","",IF(N($X98)=0,"機器なし",IF(N($Y98)&gt;0,"入荷待ち",IF(COUNTIFS(発注・納品!$B$3:$B$202,$A98,発注・納品!$N$3:$N$202,"")&gt;0,"受入待ち","受入完了"))))</f>
        <v/>
      </c>
      <c r="AB98" s="26" t="str">
        <f aca="false">IF($A98="","",COUNTIFS(現地作業!$A$3:$A$202,$A98,現地作業!$L$3:$L$202,"予定"))</f>
        <v/>
      </c>
      <c r="AC98" s="26" t="str">
        <f aca="false">IF($A98="","",COUNTIFS(現地作業!$A$3:$A$202,$A98,現地作業!$L$3:$L$202,"完了"))</f>
        <v/>
      </c>
      <c r="AD98" s="27" t="str">
        <f aca="true">IF(N($AB98)=0,"",IF(_xlfn.MINIFS(現地作業!$C$3:$C$202,現地作業!$A$3:$A$202,$A98,現地作業!$L$3:$L$202,"予定",現地作業!$C$3:$C$202,"&gt;="&amp;TODAY())=0,"",_xlfn.MINIFS(現地作業!$C$3:$C$202,現地作業!$A$3:$A$202,$A98,現地作業!$L$3:$L$202,"予定",現地作業!$C$3:$C$202,"&gt;="&amp;TODAY())))</f>
        <v/>
      </c>
      <c r="AE98" s="39"/>
      <c r="AF98" s="30" t="str">
        <f aca="false">IF($A98="","",SUM(月次工数計画!$G$103:$AD$103))</f>
        <v/>
      </c>
      <c r="AG98" s="30" t="str">
        <f aca="false">IF($A98="","",SUMIFS(工数明細!$G$3:$G$302,工数明細!$B$3:$B$302,$A98))</f>
        <v/>
      </c>
      <c r="AH98" s="31" t="str">
        <f aca="false">IF($AE98="","",$AE98-N($AG98))</f>
        <v/>
      </c>
      <c r="AI98" s="25" t="str">
        <f aca="false">IF(N($AE98)=0,"",$AG98/$AE98)</f>
        <v/>
      </c>
      <c r="AJ98" s="20" t="str">
        <f aca="false">IF(N($AE98)=0,"",IF($AG98&gt;$AE98,"超過",IF($AG98&gt;=$AE98*0.9,"注意","適正")))</f>
        <v/>
      </c>
      <c r="AK98" s="34"/>
    </row>
    <row r="99" customFormat="false" ht="18" hidden="false" customHeight="true" outlineLevel="0" collapsed="false">
      <c r="A99" s="33"/>
      <c r="B99" s="34"/>
      <c r="C99" s="34"/>
      <c r="D99" s="34"/>
      <c r="E99" s="34"/>
      <c r="F99" s="35"/>
      <c r="G99" s="34"/>
      <c r="H99" s="34"/>
      <c r="I99" s="36"/>
      <c r="J99" s="37"/>
      <c r="K99" s="37"/>
      <c r="L99" s="37"/>
      <c r="M99" s="37"/>
      <c r="N99" s="19" t="str">
        <f aca="false">IF($J99="","",YEAR($J99)-IF(MONTH($J99)&lt;マスタ!$B$4,1,0))</f>
        <v/>
      </c>
      <c r="O99" s="20" t="str">
        <f aca="false">IF($J99="","","Q"&amp;(INT(MOD(MONTH($J99)-マスタ!$B$4+12,12)/3)+1))</f>
        <v/>
      </c>
      <c r="P99" s="21" t="str">
        <f aca="true">IF($L99="","",IF($M99&lt;&gt;"",$M99-$L99,IF(TODAY()&gt;$L99,TODAY()-$L99,0)))</f>
        <v/>
      </c>
      <c r="Q99" s="38"/>
      <c r="R99" s="23" t="str">
        <f aca="false">IF($Q99="","",$Q99*N($F99))</f>
        <v/>
      </c>
      <c r="S99" s="38"/>
      <c r="T99" s="24" t="str">
        <f aca="false">IF($A99="","",SUMIFS(発注・納品!$H$3:$H$202,発注・納品!$B$3:$B$202,$A99))</f>
        <v/>
      </c>
      <c r="U99" s="23" t="str">
        <f aca="false">IF($Q99="","",N($S99)+N($T99))</f>
        <v/>
      </c>
      <c r="V99" s="23" t="str">
        <f aca="false">IF($Q99="","",$Q99-N($U99))</f>
        <v/>
      </c>
      <c r="W99" s="25" t="str">
        <f aca="false">IF(N($Q99)=0,"",$V99/$Q99)</f>
        <v/>
      </c>
      <c r="X99" s="26" t="str">
        <f aca="false">IF($A99="","",COUNTIFS(発注・納品!$B$3:$B$202,$A99))</f>
        <v/>
      </c>
      <c r="Y99" s="26" t="str">
        <f aca="false">IF($A99="","",COUNTIFS(発注・納品!$B$3:$B$202,$A99,発注・納品!$M$3:$M$202,""))</f>
        <v/>
      </c>
      <c r="Z99" s="27" t="str">
        <f aca="false">IF(N($X99)=0,"",IF(_xlfn.MAXIFS(発注・納品!$M$3:$M$202,発注・納品!$B$3:$B$202,$A99)=0,"",_xlfn.MAXIFS(発注・納品!$M$3:$M$202,発注・納品!$B$3:$B$202,$A99)))</f>
        <v/>
      </c>
      <c r="AA99" s="28" t="str">
        <f aca="false">IF($A99="","",IF(N($X99)=0,"機器なし",IF(N($Y99)&gt;0,"入荷待ち",IF(COUNTIFS(発注・納品!$B$3:$B$202,$A99,発注・納品!$N$3:$N$202,"")&gt;0,"受入待ち","受入完了"))))</f>
        <v/>
      </c>
      <c r="AB99" s="26" t="str">
        <f aca="false">IF($A99="","",COUNTIFS(現地作業!$A$3:$A$202,$A99,現地作業!$L$3:$L$202,"予定"))</f>
        <v/>
      </c>
      <c r="AC99" s="26" t="str">
        <f aca="false">IF($A99="","",COUNTIFS(現地作業!$A$3:$A$202,$A99,現地作業!$L$3:$L$202,"完了"))</f>
        <v/>
      </c>
      <c r="AD99" s="27" t="str">
        <f aca="true">IF(N($AB99)=0,"",IF(_xlfn.MINIFS(現地作業!$C$3:$C$202,現地作業!$A$3:$A$202,$A99,現地作業!$L$3:$L$202,"予定",現地作業!$C$3:$C$202,"&gt;="&amp;TODAY())=0,"",_xlfn.MINIFS(現地作業!$C$3:$C$202,現地作業!$A$3:$A$202,$A99,現地作業!$L$3:$L$202,"予定",現地作業!$C$3:$C$202,"&gt;="&amp;TODAY())))</f>
        <v/>
      </c>
      <c r="AE99" s="39"/>
      <c r="AF99" s="30" t="str">
        <f aca="false">IF($A99="","",SUM(月次工数計画!$G$104:$AD$104))</f>
        <v/>
      </c>
      <c r="AG99" s="30" t="str">
        <f aca="false">IF($A99="","",SUMIFS(工数明細!$G$3:$G$302,工数明細!$B$3:$B$302,$A99))</f>
        <v/>
      </c>
      <c r="AH99" s="31" t="str">
        <f aca="false">IF($AE99="","",$AE99-N($AG99))</f>
        <v/>
      </c>
      <c r="AI99" s="25" t="str">
        <f aca="false">IF(N($AE99)=0,"",$AG99/$AE99)</f>
        <v/>
      </c>
      <c r="AJ99" s="20" t="str">
        <f aca="false">IF(N($AE99)=0,"",IF($AG99&gt;$AE99,"超過",IF($AG99&gt;=$AE99*0.9,"注意","適正")))</f>
        <v/>
      </c>
      <c r="AK99" s="34"/>
    </row>
    <row r="100" customFormat="false" ht="18" hidden="false" customHeight="true" outlineLevel="0" collapsed="false">
      <c r="A100" s="33"/>
      <c r="B100" s="34"/>
      <c r="C100" s="34"/>
      <c r="D100" s="34"/>
      <c r="E100" s="34"/>
      <c r="F100" s="35"/>
      <c r="G100" s="34"/>
      <c r="H100" s="34"/>
      <c r="I100" s="36"/>
      <c r="J100" s="37"/>
      <c r="K100" s="37"/>
      <c r="L100" s="37"/>
      <c r="M100" s="37"/>
      <c r="N100" s="19" t="str">
        <f aca="false">IF($J100="","",YEAR($J100)-IF(MONTH($J100)&lt;マスタ!$B$4,1,0))</f>
        <v/>
      </c>
      <c r="O100" s="20" t="str">
        <f aca="false">IF($J100="","","Q"&amp;(INT(MOD(MONTH($J100)-マスタ!$B$4+12,12)/3)+1))</f>
        <v/>
      </c>
      <c r="P100" s="21" t="str">
        <f aca="true">IF($L100="","",IF($M100&lt;&gt;"",$M100-$L100,IF(TODAY()&gt;$L100,TODAY()-$L100,0)))</f>
        <v/>
      </c>
      <c r="Q100" s="38"/>
      <c r="R100" s="23" t="str">
        <f aca="false">IF($Q100="","",$Q100*N($F100))</f>
        <v/>
      </c>
      <c r="S100" s="38"/>
      <c r="T100" s="24" t="str">
        <f aca="false">IF($A100="","",SUMIFS(発注・納品!$H$3:$H$202,発注・納品!$B$3:$B$202,$A100))</f>
        <v/>
      </c>
      <c r="U100" s="23" t="str">
        <f aca="false">IF($Q100="","",N($S100)+N($T100))</f>
        <v/>
      </c>
      <c r="V100" s="23" t="str">
        <f aca="false">IF($Q100="","",$Q100-N($U100))</f>
        <v/>
      </c>
      <c r="W100" s="25" t="str">
        <f aca="false">IF(N($Q100)=0,"",$V100/$Q100)</f>
        <v/>
      </c>
      <c r="X100" s="26" t="str">
        <f aca="false">IF($A100="","",COUNTIFS(発注・納品!$B$3:$B$202,$A100))</f>
        <v/>
      </c>
      <c r="Y100" s="26" t="str">
        <f aca="false">IF($A100="","",COUNTIFS(発注・納品!$B$3:$B$202,$A100,発注・納品!$M$3:$M$202,""))</f>
        <v/>
      </c>
      <c r="Z100" s="27" t="str">
        <f aca="false">IF(N($X100)=0,"",IF(_xlfn.MAXIFS(発注・納品!$M$3:$M$202,発注・納品!$B$3:$B$202,$A100)=0,"",_xlfn.MAXIFS(発注・納品!$M$3:$M$202,発注・納品!$B$3:$B$202,$A100)))</f>
        <v/>
      </c>
      <c r="AA100" s="28" t="str">
        <f aca="false">IF($A100="","",IF(N($X100)=0,"機器なし",IF(N($Y100)&gt;0,"入荷待ち",IF(COUNTIFS(発注・納品!$B$3:$B$202,$A100,発注・納品!$N$3:$N$202,"")&gt;0,"受入待ち","受入完了"))))</f>
        <v/>
      </c>
      <c r="AB100" s="26" t="str">
        <f aca="false">IF($A100="","",COUNTIFS(現地作業!$A$3:$A$202,$A100,現地作業!$L$3:$L$202,"予定"))</f>
        <v/>
      </c>
      <c r="AC100" s="26" t="str">
        <f aca="false">IF($A100="","",COUNTIFS(現地作業!$A$3:$A$202,$A100,現地作業!$L$3:$L$202,"完了"))</f>
        <v/>
      </c>
      <c r="AD100" s="27" t="str">
        <f aca="true">IF(N($AB100)=0,"",IF(_xlfn.MINIFS(現地作業!$C$3:$C$202,現地作業!$A$3:$A$202,$A100,現地作業!$L$3:$L$202,"予定",現地作業!$C$3:$C$202,"&gt;="&amp;TODAY())=0,"",_xlfn.MINIFS(現地作業!$C$3:$C$202,現地作業!$A$3:$A$202,$A100,現地作業!$L$3:$L$202,"予定",現地作業!$C$3:$C$202,"&gt;="&amp;TODAY())))</f>
        <v/>
      </c>
      <c r="AE100" s="39"/>
      <c r="AF100" s="30" t="str">
        <f aca="false">IF($A100="","",SUM(月次工数計画!$G$105:$AD$105))</f>
        <v/>
      </c>
      <c r="AG100" s="30" t="str">
        <f aca="false">IF($A100="","",SUMIFS(工数明細!$G$3:$G$302,工数明細!$B$3:$B$302,$A100))</f>
        <v/>
      </c>
      <c r="AH100" s="31" t="str">
        <f aca="false">IF($AE100="","",$AE100-N($AG100))</f>
        <v/>
      </c>
      <c r="AI100" s="25" t="str">
        <f aca="false">IF(N($AE100)=0,"",$AG100/$AE100)</f>
        <v/>
      </c>
      <c r="AJ100" s="20" t="str">
        <f aca="false">IF(N($AE100)=0,"",IF($AG100&gt;$AE100,"超過",IF($AG100&gt;=$AE100*0.9,"注意","適正")))</f>
        <v/>
      </c>
      <c r="AK100" s="34"/>
    </row>
    <row r="101" customFormat="false" ht="18" hidden="false" customHeight="true" outlineLevel="0" collapsed="false">
      <c r="A101" s="33"/>
      <c r="B101" s="34"/>
      <c r="C101" s="34"/>
      <c r="D101" s="34"/>
      <c r="E101" s="34"/>
      <c r="F101" s="35"/>
      <c r="G101" s="34"/>
      <c r="H101" s="34"/>
      <c r="I101" s="36"/>
      <c r="J101" s="37"/>
      <c r="K101" s="37"/>
      <c r="L101" s="37"/>
      <c r="M101" s="37"/>
      <c r="N101" s="19" t="str">
        <f aca="false">IF($J101="","",YEAR($J101)-IF(MONTH($J101)&lt;マスタ!$B$4,1,0))</f>
        <v/>
      </c>
      <c r="O101" s="20" t="str">
        <f aca="false">IF($J101="","","Q"&amp;(INT(MOD(MONTH($J101)-マスタ!$B$4+12,12)/3)+1))</f>
        <v/>
      </c>
      <c r="P101" s="21" t="str">
        <f aca="true">IF($L101="","",IF($M101&lt;&gt;"",$M101-$L101,IF(TODAY()&gt;$L101,TODAY()-$L101,0)))</f>
        <v/>
      </c>
      <c r="Q101" s="38"/>
      <c r="R101" s="23" t="str">
        <f aca="false">IF($Q101="","",$Q101*N($F101))</f>
        <v/>
      </c>
      <c r="S101" s="38"/>
      <c r="T101" s="24" t="str">
        <f aca="false">IF($A101="","",SUMIFS(発注・納品!$H$3:$H$202,発注・納品!$B$3:$B$202,$A101))</f>
        <v/>
      </c>
      <c r="U101" s="23" t="str">
        <f aca="false">IF($Q101="","",N($S101)+N($T101))</f>
        <v/>
      </c>
      <c r="V101" s="23" t="str">
        <f aca="false">IF($Q101="","",$Q101-N($U101))</f>
        <v/>
      </c>
      <c r="W101" s="25" t="str">
        <f aca="false">IF(N($Q101)=0,"",$V101/$Q101)</f>
        <v/>
      </c>
      <c r="X101" s="26" t="str">
        <f aca="false">IF($A101="","",COUNTIFS(発注・納品!$B$3:$B$202,$A101))</f>
        <v/>
      </c>
      <c r="Y101" s="26" t="str">
        <f aca="false">IF($A101="","",COUNTIFS(発注・納品!$B$3:$B$202,$A101,発注・納品!$M$3:$M$202,""))</f>
        <v/>
      </c>
      <c r="Z101" s="27" t="str">
        <f aca="false">IF(N($X101)=0,"",IF(_xlfn.MAXIFS(発注・納品!$M$3:$M$202,発注・納品!$B$3:$B$202,$A101)=0,"",_xlfn.MAXIFS(発注・納品!$M$3:$M$202,発注・納品!$B$3:$B$202,$A101)))</f>
        <v/>
      </c>
      <c r="AA101" s="28" t="str">
        <f aca="false">IF($A101="","",IF(N($X101)=0,"機器なし",IF(N($Y101)&gt;0,"入荷待ち",IF(COUNTIFS(発注・納品!$B$3:$B$202,$A101,発注・納品!$N$3:$N$202,"")&gt;0,"受入待ち","受入完了"))))</f>
        <v/>
      </c>
      <c r="AB101" s="26" t="str">
        <f aca="false">IF($A101="","",COUNTIFS(現地作業!$A$3:$A$202,$A101,現地作業!$L$3:$L$202,"予定"))</f>
        <v/>
      </c>
      <c r="AC101" s="26" t="str">
        <f aca="false">IF($A101="","",COUNTIFS(現地作業!$A$3:$A$202,$A101,現地作業!$L$3:$L$202,"完了"))</f>
        <v/>
      </c>
      <c r="AD101" s="27" t="str">
        <f aca="true">IF(N($AB101)=0,"",IF(_xlfn.MINIFS(現地作業!$C$3:$C$202,現地作業!$A$3:$A$202,$A101,現地作業!$L$3:$L$202,"予定",現地作業!$C$3:$C$202,"&gt;="&amp;TODAY())=0,"",_xlfn.MINIFS(現地作業!$C$3:$C$202,現地作業!$A$3:$A$202,$A101,現地作業!$L$3:$L$202,"予定",現地作業!$C$3:$C$202,"&gt;="&amp;TODAY())))</f>
        <v/>
      </c>
      <c r="AE101" s="39"/>
      <c r="AF101" s="30" t="str">
        <f aca="false">IF($A101="","",SUM(月次工数計画!$G$106:$AD$106))</f>
        <v/>
      </c>
      <c r="AG101" s="30" t="str">
        <f aca="false">IF($A101="","",SUMIFS(工数明細!$G$3:$G$302,工数明細!$B$3:$B$302,$A101))</f>
        <v/>
      </c>
      <c r="AH101" s="31" t="str">
        <f aca="false">IF($AE101="","",$AE101-N($AG101))</f>
        <v/>
      </c>
      <c r="AI101" s="25" t="str">
        <f aca="false">IF(N($AE101)=0,"",$AG101/$AE101)</f>
        <v/>
      </c>
      <c r="AJ101" s="20" t="str">
        <f aca="false">IF(N($AE101)=0,"",IF($AG101&gt;$AE101,"超過",IF($AG101&gt;=$AE101*0.9,"注意","適正")))</f>
        <v/>
      </c>
      <c r="AK101" s="34"/>
    </row>
    <row r="102" customFormat="false" ht="18" hidden="false" customHeight="true" outlineLevel="0" collapsed="false">
      <c r="A102" s="33"/>
      <c r="B102" s="34"/>
      <c r="C102" s="34"/>
      <c r="D102" s="34"/>
      <c r="E102" s="34"/>
      <c r="F102" s="35"/>
      <c r="G102" s="34"/>
      <c r="H102" s="34"/>
      <c r="I102" s="36"/>
      <c r="J102" s="37"/>
      <c r="K102" s="37"/>
      <c r="L102" s="37"/>
      <c r="M102" s="37"/>
      <c r="N102" s="19" t="str">
        <f aca="false">IF($J102="","",YEAR($J102)-IF(MONTH($J102)&lt;マスタ!$B$4,1,0))</f>
        <v/>
      </c>
      <c r="O102" s="20" t="str">
        <f aca="false">IF($J102="","","Q"&amp;(INT(MOD(MONTH($J102)-マスタ!$B$4+12,12)/3)+1))</f>
        <v/>
      </c>
      <c r="P102" s="21" t="str">
        <f aca="true">IF($L102="","",IF($M102&lt;&gt;"",$M102-$L102,IF(TODAY()&gt;$L102,TODAY()-$L102,0)))</f>
        <v/>
      </c>
      <c r="Q102" s="38"/>
      <c r="R102" s="23" t="str">
        <f aca="false">IF($Q102="","",$Q102*N($F102))</f>
        <v/>
      </c>
      <c r="S102" s="38"/>
      <c r="T102" s="24" t="str">
        <f aca="false">IF($A102="","",SUMIFS(発注・納品!$H$3:$H$202,発注・納品!$B$3:$B$202,$A102))</f>
        <v/>
      </c>
      <c r="U102" s="23" t="str">
        <f aca="false">IF($Q102="","",N($S102)+N($T102))</f>
        <v/>
      </c>
      <c r="V102" s="23" t="str">
        <f aca="false">IF($Q102="","",$Q102-N($U102))</f>
        <v/>
      </c>
      <c r="W102" s="25" t="str">
        <f aca="false">IF(N($Q102)=0,"",$V102/$Q102)</f>
        <v/>
      </c>
      <c r="X102" s="26" t="str">
        <f aca="false">IF($A102="","",COUNTIFS(発注・納品!$B$3:$B$202,$A102))</f>
        <v/>
      </c>
      <c r="Y102" s="26" t="str">
        <f aca="false">IF($A102="","",COUNTIFS(発注・納品!$B$3:$B$202,$A102,発注・納品!$M$3:$M$202,""))</f>
        <v/>
      </c>
      <c r="Z102" s="27" t="str">
        <f aca="false">IF(N($X102)=0,"",IF(_xlfn.MAXIFS(発注・納品!$M$3:$M$202,発注・納品!$B$3:$B$202,$A102)=0,"",_xlfn.MAXIFS(発注・納品!$M$3:$M$202,発注・納品!$B$3:$B$202,$A102)))</f>
        <v/>
      </c>
      <c r="AA102" s="28" t="str">
        <f aca="false">IF($A102="","",IF(N($X102)=0,"機器なし",IF(N($Y102)&gt;0,"入荷待ち",IF(COUNTIFS(発注・納品!$B$3:$B$202,$A102,発注・納品!$N$3:$N$202,"")&gt;0,"受入待ち","受入完了"))))</f>
        <v/>
      </c>
      <c r="AB102" s="26" t="str">
        <f aca="false">IF($A102="","",COUNTIFS(現地作業!$A$3:$A$202,$A102,現地作業!$L$3:$L$202,"予定"))</f>
        <v/>
      </c>
      <c r="AC102" s="26" t="str">
        <f aca="false">IF($A102="","",COUNTIFS(現地作業!$A$3:$A$202,$A102,現地作業!$L$3:$L$202,"完了"))</f>
        <v/>
      </c>
      <c r="AD102" s="27" t="str">
        <f aca="true">IF(N($AB102)=0,"",IF(_xlfn.MINIFS(現地作業!$C$3:$C$202,現地作業!$A$3:$A$202,$A102,現地作業!$L$3:$L$202,"予定",現地作業!$C$3:$C$202,"&gt;="&amp;TODAY())=0,"",_xlfn.MINIFS(現地作業!$C$3:$C$202,現地作業!$A$3:$A$202,$A102,現地作業!$L$3:$L$202,"予定",現地作業!$C$3:$C$202,"&gt;="&amp;TODAY())))</f>
        <v/>
      </c>
      <c r="AE102" s="39"/>
      <c r="AF102" s="30" t="str">
        <f aca="false">IF($A102="","",SUM(月次工数計画!$G$107:$AD$107))</f>
        <v/>
      </c>
      <c r="AG102" s="30" t="str">
        <f aca="false">IF($A102="","",SUMIFS(工数明細!$G$3:$G$302,工数明細!$B$3:$B$302,$A102))</f>
        <v/>
      </c>
      <c r="AH102" s="31" t="str">
        <f aca="false">IF($AE102="","",$AE102-N($AG102))</f>
        <v/>
      </c>
      <c r="AI102" s="25" t="str">
        <f aca="false">IF(N($AE102)=0,"",$AG102/$AE102)</f>
        <v/>
      </c>
      <c r="AJ102" s="20" t="str">
        <f aca="false">IF(N($AE102)=0,"",IF($AG102&gt;$AE102,"超過",IF($AG102&gt;=$AE102*0.9,"注意","適正")))</f>
        <v/>
      </c>
      <c r="AK102" s="34"/>
    </row>
    <row r="103" customFormat="false" ht="18" hidden="false" customHeight="true" outlineLevel="0" collapsed="false">
      <c r="A103" s="33"/>
      <c r="B103" s="34"/>
      <c r="C103" s="34"/>
      <c r="D103" s="34"/>
      <c r="E103" s="34"/>
      <c r="F103" s="35"/>
      <c r="G103" s="34"/>
      <c r="H103" s="34"/>
      <c r="I103" s="36"/>
      <c r="J103" s="37"/>
      <c r="K103" s="37"/>
      <c r="L103" s="37"/>
      <c r="M103" s="37"/>
      <c r="N103" s="19" t="str">
        <f aca="false">IF($J103="","",YEAR($J103)-IF(MONTH($J103)&lt;マスタ!$B$4,1,0))</f>
        <v/>
      </c>
      <c r="O103" s="20" t="str">
        <f aca="false">IF($J103="","","Q"&amp;(INT(MOD(MONTH($J103)-マスタ!$B$4+12,12)/3)+1))</f>
        <v/>
      </c>
      <c r="P103" s="21" t="str">
        <f aca="true">IF($L103="","",IF($M103&lt;&gt;"",$M103-$L103,IF(TODAY()&gt;$L103,TODAY()-$L103,0)))</f>
        <v/>
      </c>
      <c r="Q103" s="38"/>
      <c r="R103" s="23" t="str">
        <f aca="false">IF($Q103="","",$Q103*N($F103))</f>
        <v/>
      </c>
      <c r="S103" s="38"/>
      <c r="T103" s="24" t="str">
        <f aca="false">IF($A103="","",SUMIFS(発注・納品!$H$3:$H$202,発注・納品!$B$3:$B$202,$A103))</f>
        <v/>
      </c>
      <c r="U103" s="23" t="str">
        <f aca="false">IF($Q103="","",N($S103)+N($T103))</f>
        <v/>
      </c>
      <c r="V103" s="23" t="str">
        <f aca="false">IF($Q103="","",$Q103-N($U103))</f>
        <v/>
      </c>
      <c r="W103" s="25" t="str">
        <f aca="false">IF(N($Q103)=0,"",$V103/$Q103)</f>
        <v/>
      </c>
      <c r="X103" s="26" t="str">
        <f aca="false">IF($A103="","",COUNTIFS(発注・納品!$B$3:$B$202,$A103))</f>
        <v/>
      </c>
      <c r="Y103" s="26" t="str">
        <f aca="false">IF($A103="","",COUNTIFS(発注・納品!$B$3:$B$202,$A103,発注・納品!$M$3:$M$202,""))</f>
        <v/>
      </c>
      <c r="Z103" s="27" t="str">
        <f aca="false">IF(N($X103)=0,"",IF(_xlfn.MAXIFS(発注・納品!$M$3:$M$202,発注・納品!$B$3:$B$202,$A103)=0,"",_xlfn.MAXIFS(発注・納品!$M$3:$M$202,発注・納品!$B$3:$B$202,$A103)))</f>
        <v/>
      </c>
      <c r="AA103" s="28" t="str">
        <f aca="false">IF($A103="","",IF(N($X103)=0,"機器なし",IF(N($Y103)&gt;0,"入荷待ち",IF(COUNTIFS(発注・納品!$B$3:$B$202,$A103,発注・納品!$N$3:$N$202,"")&gt;0,"受入待ち","受入完了"))))</f>
        <v/>
      </c>
      <c r="AB103" s="26" t="str">
        <f aca="false">IF($A103="","",COUNTIFS(現地作業!$A$3:$A$202,$A103,現地作業!$L$3:$L$202,"予定"))</f>
        <v/>
      </c>
      <c r="AC103" s="26" t="str">
        <f aca="false">IF($A103="","",COUNTIFS(現地作業!$A$3:$A$202,$A103,現地作業!$L$3:$L$202,"完了"))</f>
        <v/>
      </c>
      <c r="AD103" s="27" t="str">
        <f aca="true">IF(N($AB103)=0,"",IF(_xlfn.MINIFS(現地作業!$C$3:$C$202,現地作業!$A$3:$A$202,$A103,現地作業!$L$3:$L$202,"予定",現地作業!$C$3:$C$202,"&gt;="&amp;TODAY())=0,"",_xlfn.MINIFS(現地作業!$C$3:$C$202,現地作業!$A$3:$A$202,$A103,現地作業!$L$3:$L$202,"予定",現地作業!$C$3:$C$202,"&gt;="&amp;TODAY())))</f>
        <v/>
      </c>
      <c r="AE103" s="39"/>
      <c r="AF103" s="30" t="str">
        <f aca="false">IF($A103="","",SUM(月次工数計画!$G$108:$AD$108))</f>
        <v/>
      </c>
      <c r="AG103" s="30" t="str">
        <f aca="false">IF($A103="","",SUMIFS(工数明細!$G$3:$G$302,工数明細!$B$3:$B$302,$A103))</f>
        <v/>
      </c>
      <c r="AH103" s="31" t="str">
        <f aca="false">IF($AE103="","",$AE103-N($AG103))</f>
        <v/>
      </c>
      <c r="AI103" s="25" t="str">
        <f aca="false">IF(N($AE103)=0,"",$AG103/$AE103)</f>
        <v/>
      </c>
      <c r="AJ103" s="20" t="str">
        <f aca="false">IF(N($AE103)=0,"",IF($AG103&gt;$AE103,"超過",IF($AG103&gt;=$AE103*0.9,"注意","適正")))</f>
        <v/>
      </c>
      <c r="AK103" s="34"/>
    </row>
    <row r="104" customFormat="false" ht="18" hidden="false" customHeight="true" outlineLevel="0" collapsed="false">
      <c r="A104" s="33"/>
      <c r="B104" s="34"/>
      <c r="C104" s="34"/>
      <c r="D104" s="34"/>
      <c r="E104" s="34"/>
      <c r="F104" s="35"/>
      <c r="G104" s="34"/>
      <c r="H104" s="34"/>
      <c r="I104" s="36"/>
      <c r="J104" s="37"/>
      <c r="K104" s="37"/>
      <c r="L104" s="37"/>
      <c r="M104" s="37"/>
      <c r="N104" s="19" t="str">
        <f aca="false">IF($J104="","",YEAR($J104)-IF(MONTH($J104)&lt;マスタ!$B$4,1,0))</f>
        <v/>
      </c>
      <c r="O104" s="20" t="str">
        <f aca="false">IF($J104="","","Q"&amp;(INT(MOD(MONTH($J104)-マスタ!$B$4+12,12)/3)+1))</f>
        <v/>
      </c>
      <c r="P104" s="21" t="str">
        <f aca="true">IF($L104="","",IF($M104&lt;&gt;"",$M104-$L104,IF(TODAY()&gt;$L104,TODAY()-$L104,0)))</f>
        <v/>
      </c>
      <c r="Q104" s="38"/>
      <c r="R104" s="23" t="str">
        <f aca="false">IF($Q104="","",$Q104*N($F104))</f>
        <v/>
      </c>
      <c r="S104" s="38"/>
      <c r="T104" s="24" t="str">
        <f aca="false">IF($A104="","",SUMIFS(発注・納品!$H$3:$H$202,発注・納品!$B$3:$B$202,$A104))</f>
        <v/>
      </c>
      <c r="U104" s="23" t="str">
        <f aca="false">IF($Q104="","",N($S104)+N($T104))</f>
        <v/>
      </c>
      <c r="V104" s="23" t="str">
        <f aca="false">IF($Q104="","",$Q104-N($U104))</f>
        <v/>
      </c>
      <c r="W104" s="25" t="str">
        <f aca="false">IF(N($Q104)=0,"",$V104/$Q104)</f>
        <v/>
      </c>
      <c r="X104" s="26" t="str">
        <f aca="false">IF($A104="","",COUNTIFS(発注・納品!$B$3:$B$202,$A104))</f>
        <v/>
      </c>
      <c r="Y104" s="26" t="str">
        <f aca="false">IF($A104="","",COUNTIFS(発注・納品!$B$3:$B$202,$A104,発注・納品!$M$3:$M$202,""))</f>
        <v/>
      </c>
      <c r="Z104" s="27" t="str">
        <f aca="false">IF(N($X104)=0,"",IF(_xlfn.MAXIFS(発注・納品!$M$3:$M$202,発注・納品!$B$3:$B$202,$A104)=0,"",_xlfn.MAXIFS(発注・納品!$M$3:$M$202,発注・納品!$B$3:$B$202,$A104)))</f>
        <v/>
      </c>
      <c r="AA104" s="28" t="str">
        <f aca="false">IF($A104="","",IF(N($X104)=0,"機器なし",IF(N($Y104)&gt;0,"入荷待ち",IF(COUNTIFS(発注・納品!$B$3:$B$202,$A104,発注・納品!$N$3:$N$202,"")&gt;0,"受入待ち","受入完了"))))</f>
        <v/>
      </c>
      <c r="AB104" s="26" t="str">
        <f aca="false">IF($A104="","",COUNTIFS(現地作業!$A$3:$A$202,$A104,現地作業!$L$3:$L$202,"予定"))</f>
        <v/>
      </c>
      <c r="AC104" s="26" t="str">
        <f aca="false">IF($A104="","",COUNTIFS(現地作業!$A$3:$A$202,$A104,現地作業!$L$3:$L$202,"完了"))</f>
        <v/>
      </c>
      <c r="AD104" s="27" t="str">
        <f aca="true">IF(N($AB104)=0,"",IF(_xlfn.MINIFS(現地作業!$C$3:$C$202,現地作業!$A$3:$A$202,$A104,現地作業!$L$3:$L$202,"予定",現地作業!$C$3:$C$202,"&gt;="&amp;TODAY())=0,"",_xlfn.MINIFS(現地作業!$C$3:$C$202,現地作業!$A$3:$A$202,$A104,現地作業!$L$3:$L$202,"予定",現地作業!$C$3:$C$202,"&gt;="&amp;TODAY())))</f>
        <v/>
      </c>
      <c r="AE104" s="39"/>
      <c r="AF104" s="30" t="str">
        <f aca="false">IF($A104="","",SUM(月次工数計画!$G$109:$AD$109))</f>
        <v/>
      </c>
      <c r="AG104" s="30" t="str">
        <f aca="false">IF($A104="","",SUMIFS(工数明細!$G$3:$G$302,工数明細!$B$3:$B$302,$A104))</f>
        <v/>
      </c>
      <c r="AH104" s="31" t="str">
        <f aca="false">IF($AE104="","",$AE104-N($AG104))</f>
        <v/>
      </c>
      <c r="AI104" s="25" t="str">
        <f aca="false">IF(N($AE104)=0,"",$AG104/$AE104)</f>
        <v/>
      </c>
      <c r="AJ104" s="20" t="str">
        <f aca="false">IF(N($AE104)=0,"",IF($AG104&gt;$AE104,"超過",IF($AG104&gt;=$AE104*0.9,"注意","適正")))</f>
        <v/>
      </c>
      <c r="AK104" s="34"/>
    </row>
    <row r="105" customFormat="false" ht="18" hidden="false" customHeight="true" outlineLevel="0" collapsed="false">
      <c r="A105" s="33"/>
      <c r="B105" s="34"/>
      <c r="C105" s="34"/>
      <c r="D105" s="34"/>
      <c r="E105" s="34"/>
      <c r="F105" s="35"/>
      <c r="G105" s="34"/>
      <c r="H105" s="34"/>
      <c r="I105" s="36"/>
      <c r="J105" s="37"/>
      <c r="K105" s="37"/>
      <c r="L105" s="37"/>
      <c r="M105" s="37"/>
      <c r="N105" s="19" t="str">
        <f aca="false">IF($J105="","",YEAR($J105)-IF(MONTH($J105)&lt;マスタ!$B$4,1,0))</f>
        <v/>
      </c>
      <c r="O105" s="20" t="str">
        <f aca="false">IF($J105="","","Q"&amp;(INT(MOD(MONTH($J105)-マスタ!$B$4+12,12)/3)+1))</f>
        <v/>
      </c>
      <c r="P105" s="21" t="str">
        <f aca="true">IF($L105="","",IF($M105&lt;&gt;"",$M105-$L105,IF(TODAY()&gt;$L105,TODAY()-$L105,0)))</f>
        <v/>
      </c>
      <c r="Q105" s="38"/>
      <c r="R105" s="23" t="str">
        <f aca="false">IF($Q105="","",$Q105*N($F105))</f>
        <v/>
      </c>
      <c r="S105" s="38"/>
      <c r="T105" s="24" t="str">
        <f aca="false">IF($A105="","",SUMIFS(発注・納品!$H$3:$H$202,発注・納品!$B$3:$B$202,$A105))</f>
        <v/>
      </c>
      <c r="U105" s="23" t="str">
        <f aca="false">IF($Q105="","",N($S105)+N($T105))</f>
        <v/>
      </c>
      <c r="V105" s="23" t="str">
        <f aca="false">IF($Q105="","",$Q105-N($U105))</f>
        <v/>
      </c>
      <c r="W105" s="25" t="str">
        <f aca="false">IF(N($Q105)=0,"",$V105/$Q105)</f>
        <v/>
      </c>
      <c r="X105" s="26" t="str">
        <f aca="false">IF($A105="","",COUNTIFS(発注・納品!$B$3:$B$202,$A105))</f>
        <v/>
      </c>
      <c r="Y105" s="26" t="str">
        <f aca="false">IF($A105="","",COUNTIFS(発注・納品!$B$3:$B$202,$A105,発注・納品!$M$3:$M$202,""))</f>
        <v/>
      </c>
      <c r="Z105" s="27" t="str">
        <f aca="false">IF(N($X105)=0,"",IF(_xlfn.MAXIFS(発注・納品!$M$3:$M$202,発注・納品!$B$3:$B$202,$A105)=0,"",_xlfn.MAXIFS(発注・納品!$M$3:$M$202,発注・納品!$B$3:$B$202,$A105)))</f>
        <v/>
      </c>
      <c r="AA105" s="28" t="str">
        <f aca="false">IF($A105="","",IF(N($X105)=0,"機器なし",IF(N($Y105)&gt;0,"入荷待ち",IF(COUNTIFS(発注・納品!$B$3:$B$202,$A105,発注・納品!$N$3:$N$202,"")&gt;0,"受入待ち","受入完了"))))</f>
        <v/>
      </c>
      <c r="AB105" s="26" t="str">
        <f aca="false">IF($A105="","",COUNTIFS(現地作業!$A$3:$A$202,$A105,現地作業!$L$3:$L$202,"予定"))</f>
        <v/>
      </c>
      <c r="AC105" s="26" t="str">
        <f aca="false">IF($A105="","",COUNTIFS(現地作業!$A$3:$A$202,$A105,現地作業!$L$3:$L$202,"完了"))</f>
        <v/>
      </c>
      <c r="AD105" s="27" t="str">
        <f aca="true">IF(N($AB105)=0,"",IF(_xlfn.MINIFS(現地作業!$C$3:$C$202,現地作業!$A$3:$A$202,$A105,現地作業!$L$3:$L$202,"予定",現地作業!$C$3:$C$202,"&gt;="&amp;TODAY())=0,"",_xlfn.MINIFS(現地作業!$C$3:$C$202,現地作業!$A$3:$A$202,$A105,現地作業!$L$3:$L$202,"予定",現地作業!$C$3:$C$202,"&gt;="&amp;TODAY())))</f>
        <v/>
      </c>
      <c r="AE105" s="39"/>
      <c r="AF105" s="30" t="str">
        <f aca="false">IF($A105="","",SUM(月次工数計画!$G$110:$AD$110))</f>
        <v/>
      </c>
      <c r="AG105" s="30" t="str">
        <f aca="false">IF($A105="","",SUMIFS(工数明細!$G$3:$G$302,工数明細!$B$3:$B$302,$A105))</f>
        <v/>
      </c>
      <c r="AH105" s="31" t="str">
        <f aca="false">IF($AE105="","",$AE105-N($AG105))</f>
        <v/>
      </c>
      <c r="AI105" s="25" t="str">
        <f aca="false">IF(N($AE105)=0,"",$AG105/$AE105)</f>
        <v/>
      </c>
      <c r="AJ105" s="20" t="str">
        <f aca="false">IF(N($AE105)=0,"",IF($AG105&gt;$AE105,"超過",IF($AG105&gt;=$AE105*0.9,"注意","適正")))</f>
        <v/>
      </c>
      <c r="AK105" s="34"/>
    </row>
    <row r="106" customFormat="false" ht="18" hidden="false" customHeight="true" outlineLevel="0" collapsed="false">
      <c r="A106" s="33"/>
      <c r="B106" s="34"/>
      <c r="C106" s="34"/>
      <c r="D106" s="34"/>
      <c r="E106" s="34"/>
      <c r="F106" s="35"/>
      <c r="G106" s="34"/>
      <c r="H106" s="34"/>
      <c r="I106" s="36"/>
      <c r="J106" s="37"/>
      <c r="K106" s="37"/>
      <c r="L106" s="37"/>
      <c r="M106" s="37"/>
      <c r="N106" s="19" t="str">
        <f aca="false">IF($J106="","",YEAR($J106)-IF(MONTH($J106)&lt;マスタ!$B$4,1,0))</f>
        <v/>
      </c>
      <c r="O106" s="20" t="str">
        <f aca="false">IF($J106="","","Q"&amp;(INT(MOD(MONTH($J106)-マスタ!$B$4+12,12)/3)+1))</f>
        <v/>
      </c>
      <c r="P106" s="21" t="str">
        <f aca="true">IF($L106="","",IF($M106&lt;&gt;"",$M106-$L106,IF(TODAY()&gt;$L106,TODAY()-$L106,0)))</f>
        <v/>
      </c>
      <c r="Q106" s="38"/>
      <c r="R106" s="23" t="str">
        <f aca="false">IF($Q106="","",$Q106*N($F106))</f>
        <v/>
      </c>
      <c r="S106" s="38"/>
      <c r="T106" s="24" t="str">
        <f aca="false">IF($A106="","",SUMIFS(発注・納品!$H$3:$H$202,発注・納品!$B$3:$B$202,$A106))</f>
        <v/>
      </c>
      <c r="U106" s="23" t="str">
        <f aca="false">IF($Q106="","",N($S106)+N($T106))</f>
        <v/>
      </c>
      <c r="V106" s="23" t="str">
        <f aca="false">IF($Q106="","",$Q106-N($U106))</f>
        <v/>
      </c>
      <c r="W106" s="25" t="str">
        <f aca="false">IF(N($Q106)=0,"",$V106/$Q106)</f>
        <v/>
      </c>
      <c r="X106" s="26" t="str">
        <f aca="false">IF($A106="","",COUNTIFS(発注・納品!$B$3:$B$202,$A106))</f>
        <v/>
      </c>
      <c r="Y106" s="26" t="str">
        <f aca="false">IF($A106="","",COUNTIFS(発注・納品!$B$3:$B$202,$A106,発注・納品!$M$3:$M$202,""))</f>
        <v/>
      </c>
      <c r="Z106" s="27" t="str">
        <f aca="false">IF(N($X106)=0,"",IF(_xlfn.MAXIFS(発注・納品!$M$3:$M$202,発注・納品!$B$3:$B$202,$A106)=0,"",_xlfn.MAXIFS(発注・納品!$M$3:$M$202,発注・納品!$B$3:$B$202,$A106)))</f>
        <v/>
      </c>
      <c r="AA106" s="28" t="str">
        <f aca="false">IF($A106="","",IF(N($X106)=0,"機器なし",IF(N($Y106)&gt;0,"入荷待ち",IF(COUNTIFS(発注・納品!$B$3:$B$202,$A106,発注・納品!$N$3:$N$202,"")&gt;0,"受入待ち","受入完了"))))</f>
        <v/>
      </c>
      <c r="AB106" s="26" t="str">
        <f aca="false">IF($A106="","",COUNTIFS(現地作業!$A$3:$A$202,$A106,現地作業!$L$3:$L$202,"予定"))</f>
        <v/>
      </c>
      <c r="AC106" s="26" t="str">
        <f aca="false">IF($A106="","",COUNTIFS(現地作業!$A$3:$A$202,$A106,現地作業!$L$3:$L$202,"完了"))</f>
        <v/>
      </c>
      <c r="AD106" s="27" t="str">
        <f aca="true">IF(N($AB106)=0,"",IF(_xlfn.MINIFS(現地作業!$C$3:$C$202,現地作業!$A$3:$A$202,$A106,現地作業!$L$3:$L$202,"予定",現地作業!$C$3:$C$202,"&gt;="&amp;TODAY())=0,"",_xlfn.MINIFS(現地作業!$C$3:$C$202,現地作業!$A$3:$A$202,$A106,現地作業!$L$3:$L$202,"予定",現地作業!$C$3:$C$202,"&gt;="&amp;TODAY())))</f>
        <v/>
      </c>
      <c r="AE106" s="39"/>
      <c r="AF106" s="30" t="str">
        <f aca="false">IF($A106="","",SUM(月次工数計画!$G$111:$AD$111))</f>
        <v/>
      </c>
      <c r="AG106" s="30" t="str">
        <f aca="false">IF($A106="","",SUMIFS(工数明細!$G$3:$G$302,工数明細!$B$3:$B$302,$A106))</f>
        <v/>
      </c>
      <c r="AH106" s="31" t="str">
        <f aca="false">IF($AE106="","",$AE106-N($AG106))</f>
        <v/>
      </c>
      <c r="AI106" s="25" t="str">
        <f aca="false">IF(N($AE106)=0,"",$AG106/$AE106)</f>
        <v/>
      </c>
      <c r="AJ106" s="20" t="str">
        <f aca="false">IF(N($AE106)=0,"",IF($AG106&gt;$AE106,"超過",IF($AG106&gt;=$AE106*0.9,"注意","適正")))</f>
        <v/>
      </c>
      <c r="AK106" s="34"/>
    </row>
    <row r="107" customFormat="false" ht="18" hidden="false" customHeight="true" outlineLevel="0" collapsed="false">
      <c r="A107" s="33"/>
      <c r="B107" s="34"/>
      <c r="C107" s="34"/>
      <c r="D107" s="34"/>
      <c r="E107" s="34"/>
      <c r="F107" s="35"/>
      <c r="G107" s="34"/>
      <c r="H107" s="34"/>
      <c r="I107" s="36"/>
      <c r="J107" s="37"/>
      <c r="K107" s="37"/>
      <c r="L107" s="37"/>
      <c r="M107" s="37"/>
      <c r="N107" s="19" t="str">
        <f aca="false">IF($J107="","",YEAR($J107)-IF(MONTH($J107)&lt;マスタ!$B$4,1,0))</f>
        <v/>
      </c>
      <c r="O107" s="20" t="str">
        <f aca="false">IF($J107="","","Q"&amp;(INT(MOD(MONTH($J107)-マスタ!$B$4+12,12)/3)+1))</f>
        <v/>
      </c>
      <c r="P107" s="21" t="str">
        <f aca="true">IF($L107="","",IF($M107&lt;&gt;"",$M107-$L107,IF(TODAY()&gt;$L107,TODAY()-$L107,0)))</f>
        <v/>
      </c>
      <c r="Q107" s="38"/>
      <c r="R107" s="23" t="str">
        <f aca="false">IF($Q107="","",$Q107*N($F107))</f>
        <v/>
      </c>
      <c r="S107" s="38"/>
      <c r="T107" s="24" t="str">
        <f aca="false">IF($A107="","",SUMIFS(発注・納品!$H$3:$H$202,発注・納品!$B$3:$B$202,$A107))</f>
        <v/>
      </c>
      <c r="U107" s="23" t="str">
        <f aca="false">IF($Q107="","",N($S107)+N($T107))</f>
        <v/>
      </c>
      <c r="V107" s="23" t="str">
        <f aca="false">IF($Q107="","",$Q107-N($U107))</f>
        <v/>
      </c>
      <c r="W107" s="25" t="str">
        <f aca="false">IF(N($Q107)=0,"",$V107/$Q107)</f>
        <v/>
      </c>
      <c r="X107" s="26" t="str">
        <f aca="false">IF($A107="","",COUNTIFS(発注・納品!$B$3:$B$202,$A107))</f>
        <v/>
      </c>
      <c r="Y107" s="26" t="str">
        <f aca="false">IF($A107="","",COUNTIFS(発注・納品!$B$3:$B$202,$A107,発注・納品!$M$3:$M$202,""))</f>
        <v/>
      </c>
      <c r="Z107" s="27" t="str">
        <f aca="false">IF(N($X107)=0,"",IF(_xlfn.MAXIFS(発注・納品!$M$3:$M$202,発注・納品!$B$3:$B$202,$A107)=0,"",_xlfn.MAXIFS(発注・納品!$M$3:$M$202,発注・納品!$B$3:$B$202,$A107)))</f>
        <v/>
      </c>
      <c r="AA107" s="28" t="str">
        <f aca="false">IF($A107="","",IF(N($X107)=0,"機器なし",IF(N($Y107)&gt;0,"入荷待ち",IF(COUNTIFS(発注・納品!$B$3:$B$202,$A107,発注・納品!$N$3:$N$202,"")&gt;0,"受入待ち","受入完了"))))</f>
        <v/>
      </c>
      <c r="AB107" s="26" t="str">
        <f aca="false">IF($A107="","",COUNTIFS(現地作業!$A$3:$A$202,$A107,現地作業!$L$3:$L$202,"予定"))</f>
        <v/>
      </c>
      <c r="AC107" s="26" t="str">
        <f aca="false">IF($A107="","",COUNTIFS(現地作業!$A$3:$A$202,$A107,現地作業!$L$3:$L$202,"完了"))</f>
        <v/>
      </c>
      <c r="AD107" s="27" t="str">
        <f aca="true">IF(N($AB107)=0,"",IF(_xlfn.MINIFS(現地作業!$C$3:$C$202,現地作業!$A$3:$A$202,$A107,現地作業!$L$3:$L$202,"予定",現地作業!$C$3:$C$202,"&gt;="&amp;TODAY())=0,"",_xlfn.MINIFS(現地作業!$C$3:$C$202,現地作業!$A$3:$A$202,$A107,現地作業!$L$3:$L$202,"予定",現地作業!$C$3:$C$202,"&gt;="&amp;TODAY())))</f>
        <v/>
      </c>
      <c r="AE107" s="39"/>
      <c r="AF107" s="30" t="str">
        <f aca="false">IF($A107="","",SUM(月次工数計画!$G$112:$AD$112))</f>
        <v/>
      </c>
      <c r="AG107" s="30" t="str">
        <f aca="false">IF($A107="","",SUMIFS(工数明細!$G$3:$G$302,工数明細!$B$3:$B$302,$A107))</f>
        <v/>
      </c>
      <c r="AH107" s="31" t="str">
        <f aca="false">IF($AE107="","",$AE107-N($AG107))</f>
        <v/>
      </c>
      <c r="AI107" s="25" t="str">
        <f aca="false">IF(N($AE107)=0,"",$AG107/$AE107)</f>
        <v/>
      </c>
      <c r="AJ107" s="20" t="str">
        <f aca="false">IF(N($AE107)=0,"",IF($AG107&gt;$AE107,"超過",IF($AG107&gt;=$AE107*0.9,"注意","適正")))</f>
        <v/>
      </c>
      <c r="AK107" s="34"/>
    </row>
    <row r="108" customFormat="false" ht="18" hidden="false" customHeight="true" outlineLevel="0" collapsed="false">
      <c r="A108" s="33"/>
      <c r="B108" s="34"/>
      <c r="C108" s="34"/>
      <c r="D108" s="34"/>
      <c r="E108" s="34"/>
      <c r="F108" s="35"/>
      <c r="G108" s="34"/>
      <c r="H108" s="34"/>
      <c r="I108" s="36"/>
      <c r="J108" s="37"/>
      <c r="K108" s="37"/>
      <c r="L108" s="37"/>
      <c r="M108" s="37"/>
      <c r="N108" s="19" t="str">
        <f aca="false">IF($J108="","",YEAR($J108)-IF(MONTH($J108)&lt;マスタ!$B$4,1,0))</f>
        <v/>
      </c>
      <c r="O108" s="20" t="str">
        <f aca="false">IF($J108="","","Q"&amp;(INT(MOD(MONTH($J108)-マスタ!$B$4+12,12)/3)+1))</f>
        <v/>
      </c>
      <c r="P108" s="21" t="str">
        <f aca="true">IF($L108="","",IF($M108&lt;&gt;"",$M108-$L108,IF(TODAY()&gt;$L108,TODAY()-$L108,0)))</f>
        <v/>
      </c>
      <c r="Q108" s="38"/>
      <c r="R108" s="23" t="str">
        <f aca="false">IF($Q108="","",$Q108*N($F108))</f>
        <v/>
      </c>
      <c r="S108" s="38"/>
      <c r="T108" s="24" t="str">
        <f aca="false">IF($A108="","",SUMIFS(発注・納品!$H$3:$H$202,発注・納品!$B$3:$B$202,$A108))</f>
        <v/>
      </c>
      <c r="U108" s="23" t="str">
        <f aca="false">IF($Q108="","",N($S108)+N($T108))</f>
        <v/>
      </c>
      <c r="V108" s="23" t="str">
        <f aca="false">IF($Q108="","",$Q108-N($U108))</f>
        <v/>
      </c>
      <c r="W108" s="25" t="str">
        <f aca="false">IF(N($Q108)=0,"",$V108/$Q108)</f>
        <v/>
      </c>
      <c r="X108" s="26" t="str">
        <f aca="false">IF($A108="","",COUNTIFS(発注・納品!$B$3:$B$202,$A108))</f>
        <v/>
      </c>
      <c r="Y108" s="26" t="str">
        <f aca="false">IF($A108="","",COUNTIFS(発注・納品!$B$3:$B$202,$A108,発注・納品!$M$3:$M$202,""))</f>
        <v/>
      </c>
      <c r="Z108" s="27" t="str">
        <f aca="false">IF(N($X108)=0,"",IF(_xlfn.MAXIFS(発注・納品!$M$3:$M$202,発注・納品!$B$3:$B$202,$A108)=0,"",_xlfn.MAXIFS(発注・納品!$M$3:$M$202,発注・納品!$B$3:$B$202,$A108)))</f>
        <v/>
      </c>
      <c r="AA108" s="28" t="str">
        <f aca="false">IF($A108="","",IF(N($X108)=0,"機器なし",IF(N($Y108)&gt;0,"入荷待ち",IF(COUNTIFS(発注・納品!$B$3:$B$202,$A108,発注・納品!$N$3:$N$202,"")&gt;0,"受入待ち","受入完了"))))</f>
        <v/>
      </c>
      <c r="AB108" s="26" t="str">
        <f aca="false">IF($A108="","",COUNTIFS(現地作業!$A$3:$A$202,$A108,現地作業!$L$3:$L$202,"予定"))</f>
        <v/>
      </c>
      <c r="AC108" s="26" t="str">
        <f aca="false">IF($A108="","",COUNTIFS(現地作業!$A$3:$A$202,$A108,現地作業!$L$3:$L$202,"完了"))</f>
        <v/>
      </c>
      <c r="AD108" s="27" t="str">
        <f aca="true">IF(N($AB108)=0,"",IF(_xlfn.MINIFS(現地作業!$C$3:$C$202,現地作業!$A$3:$A$202,$A108,現地作業!$L$3:$L$202,"予定",現地作業!$C$3:$C$202,"&gt;="&amp;TODAY())=0,"",_xlfn.MINIFS(現地作業!$C$3:$C$202,現地作業!$A$3:$A$202,$A108,現地作業!$L$3:$L$202,"予定",現地作業!$C$3:$C$202,"&gt;="&amp;TODAY())))</f>
        <v/>
      </c>
      <c r="AE108" s="39"/>
      <c r="AF108" s="30" t="str">
        <f aca="false">IF($A108="","",SUM(月次工数計画!$G$113:$AD$113))</f>
        <v/>
      </c>
      <c r="AG108" s="30" t="str">
        <f aca="false">IF($A108="","",SUMIFS(工数明細!$G$3:$G$302,工数明細!$B$3:$B$302,$A108))</f>
        <v/>
      </c>
      <c r="AH108" s="31" t="str">
        <f aca="false">IF($AE108="","",$AE108-N($AG108))</f>
        <v/>
      </c>
      <c r="AI108" s="25" t="str">
        <f aca="false">IF(N($AE108)=0,"",$AG108/$AE108)</f>
        <v/>
      </c>
      <c r="AJ108" s="20" t="str">
        <f aca="false">IF(N($AE108)=0,"",IF($AG108&gt;$AE108,"超過",IF($AG108&gt;=$AE108*0.9,"注意","適正")))</f>
        <v/>
      </c>
      <c r="AK108" s="34"/>
    </row>
    <row r="109" customFormat="false" ht="18" hidden="false" customHeight="true" outlineLevel="0" collapsed="false">
      <c r="A109" s="33"/>
      <c r="B109" s="34"/>
      <c r="C109" s="34"/>
      <c r="D109" s="34"/>
      <c r="E109" s="34"/>
      <c r="F109" s="35"/>
      <c r="G109" s="34"/>
      <c r="H109" s="34"/>
      <c r="I109" s="36"/>
      <c r="J109" s="37"/>
      <c r="K109" s="37"/>
      <c r="L109" s="37"/>
      <c r="M109" s="37"/>
      <c r="N109" s="19" t="str">
        <f aca="false">IF($J109="","",YEAR($J109)-IF(MONTH($J109)&lt;マスタ!$B$4,1,0))</f>
        <v/>
      </c>
      <c r="O109" s="20" t="str">
        <f aca="false">IF($J109="","","Q"&amp;(INT(MOD(MONTH($J109)-マスタ!$B$4+12,12)/3)+1))</f>
        <v/>
      </c>
      <c r="P109" s="21" t="str">
        <f aca="true">IF($L109="","",IF($M109&lt;&gt;"",$M109-$L109,IF(TODAY()&gt;$L109,TODAY()-$L109,0)))</f>
        <v/>
      </c>
      <c r="Q109" s="38"/>
      <c r="R109" s="23" t="str">
        <f aca="false">IF($Q109="","",$Q109*N($F109))</f>
        <v/>
      </c>
      <c r="S109" s="38"/>
      <c r="T109" s="24" t="str">
        <f aca="false">IF($A109="","",SUMIFS(発注・納品!$H$3:$H$202,発注・納品!$B$3:$B$202,$A109))</f>
        <v/>
      </c>
      <c r="U109" s="23" t="str">
        <f aca="false">IF($Q109="","",N($S109)+N($T109))</f>
        <v/>
      </c>
      <c r="V109" s="23" t="str">
        <f aca="false">IF($Q109="","",$Q109-N($U109))</f>
        <v/>
      </c>
      <c r="W109" s="25" t="str">
        <f aca="false">IF(N($Q109)=0,"",$V109/$Q109)</f>
        <v/>
      </c>
      <c r="X109" s="26" t="str">
        <f aca="false">IF($A109="","",COUNTIFS(発注・納品!$B$3:$B$202,$A109))</f>
        <v/>
      </c>
      <c r="Y109" s="26" t="str">
        <f aca="false">IF($A109="","",COUNTIFS(発注・納品!$B$3:$B$202,$A109,発注・納品!$M$3:$M$202,""))</f>
        <v/>
      </c>
      <c r="Z109" s="27" t="str">
        <f aca="false">IF(N($X109)=0,"",IF(_xlfn.MAXIFS(発注・納品!$M$3:$M$202,発注・納品!$B$3:$B$202,$A109)=0,"",_xlfn.MAXIFS(発注・納品!$M$3:$M$202,発注・納品!$B$3:$B$202,$A109)))</f>
        <v/>
      </c>
      <c r="AA109" s="28" t="str">
        <f aca="false">IF($A109="","",IF(N($X109)=0,"機器なし",IF(N($Y109)&gt;0,"入荷待ち",IF(COUNTIFS(発注・納品!$B$3:$B$202,$A109,発注・納品!$N$3:$N$202,"")&gt;0,"受入待ち","受入完了"))))</f>
        <v/>
      </c>
      <c r="AB109" s="26" t="str">
        <f aca="false">IF($A109="","",COUNTIFS(現地作業!$A$3:$A$202,$A109,現地作業!$L$3:$L$202,"予定"))</f>
        <v/>
      </c>
      <c r="AC109" s="26" t="str">
        <f aca="false">IF($A109="","",COUNTIFS(現地作業!$A$3:$A$202,$A109,現地作業!$L$3:$L$202,"完了"))</f>
        <v/>
      </c>
      <c r="AD109" s="27" t="str">
        <f aca="true">IF(N($AB109)=0,"",IF(_xlfn.MINIFS(現地作業!$C$3:$C$202,現地作業!$A$3:$A$202,$A109,現地作業!$L$3:$L$202,"予定",現地作業!$C$3:$C$202,"&gt;="&amp;TODAY())=0,"",_xlfn.MINIFS(現地作業!$C$3:$C$202,現地作業!$A$3:$A$202,$A109,現地作業!$L$3:$L$202,"予定",現地作業!$C$3:$C$202,"&gt;="&amp;TODAY())))</f>
        <v/>
      </c>
      <c r="AE109" s="39"/>
      <c r="AF109" s="30" t="str">
        <f aca="false">IF($A109="","",SUM(月次工数計画!$G$114:$AD$114))</f>
        <v/>
      </c>
      <c r="AG109" s="30" t="str">
        <f aca="false">IF($A109="","",SUMIFS(工数明細!$G$3:$G$302,工数明細!$B$3:$B$302,$A109))</f>
        <v/>
      </c>
      <c r="AH109" s="31" t="str">
        <f aca="false">IF($AE109="","",$AE109-N($AG109))</f>
        <v/>
      </c>
      <c r="AI109" s="25" t="str">
        <f aca="false">IF(N($AE109)=0,"",$AG109/$AE109)</f>
        <v/>
      </c>
      <c r="AJ109" s="20" t="str">
        <f aca="false">IF(N($AE109)=0,"",IF($AG109&gt;$AE109,"超過",IF($AG109&gt;=$AE109*0.9,"注意","適正")))</f>
        <v/>
      </c>
      <c r="AK109" s="34"/>
    </row>
    <row r="110" customFormat="false" ht="18" hidden="false" customHeight="true" outlineLevel="0" collapsed="false">
      <c r="A110" s="33"/>
      <c r="B110" s="34"/>
      <c r="C110" s="34"/>
      <c r="D110" s="34"/>
      <c r="E110" s="34"/>
      <c r="F110" s="35"/>
      <c r="G110" s="34"/>
      <c r="H110" s="34"/>
      <c r="I110" s="36"/>
      <c r="J110" s="37"/>
      <c r="K110" s="37"/>
      <c r="L110" s="37"/>
      <c r="M110" s="37"/>
      <c r="N110" s="19" t="str">
        <f aca="false">IF($J110="","",YEAR($J110)-IF(MONTH($J110)&lt;マスタ!$B$4,1,0))</f>
        <v/>
      </c>
      <c r="O110" s="20" t="str">
        <f aca="false">IF($J110="","","Q"&amp;(INT(MOD(MONTH($J110)-マスタ!$B$4+12,12)/3)+1))</f>
        <v/>
      </c>
      <c r="P110" s="21" t="str">
        <f aca="true">IF($L110="","",IF($M110&lt;&gt;"",$M110-$L110,IF(TODAY()&gt;$L110,TODAY()-$L110,0)))</f>
        <v/>
      </c>
      <c r="Q110" s="38"/>
      <c r="R110" s="23" t="str">
        <f aca="false">IF($Q110="","",$Q110*N($F110))</f>
        <v/>
      </c>
      <c r="S110" s="38"/>
      <c r="T110" s="24" t="str">
        <f aca="false">IF($A110="","",SUMIFS(発注・納品!$H$3:$H$202,発注・納品!$B$3:$B$202,$A110))</f>
        <v/>
      </c>
      <c r="U110" s="23" t="str">
        <f aca="false">IF($Q110="","",N($S110)+N($T110))</f>
        <v/>
      </c>
      <c r="V110" s="23" t="str">
        <f aca="false">IF($Q110="","",$Q110-N($U110))</f>
        <v/>
      </c>
      <c r="W110" s="25" t="str">
        <f aca="false">IF(N($Q110)=0,"",$V110/$Q110)</f>
        <v/>
      </c>
      <c r="X110" s="26" t="str">
        <f aca="false">IF($A110="","",COUNTIFS(発注・納品!$B$3:$B$202,$A110))</f>
        <v/>
      </c>
      <c r="Y110" s="26" t="str">
        <f aca="false">IF($A110="","",COUNTIFS(発注・納品!$B$3:$B$202,$A110,発注・納品!$M$3:$M$202,""))</f>
        <v/>
      </c>
      <c r="Z110" s="27" t="str">
        <f aca="false">IF(N($X110)=0,"",IF(_xlfn.MAXIFS(発注・納品!$M$3:$M$202,発注・納品!$B$3:$B$202,$A110)=0,"",_xlfn.MAXIFS(発注・納品!$M$3:$M$202,発注・納品!$B$3:$B$202,$A110)))</f>
        <v/>
      </c>
      <c r="AA110" s="28" t="str">
        <f aca="false">IF($A110="","",IF(N($X110)=0,"機器なし",IF(N($Y110)&gt;0,"入荷待ち",IF(COUNTIFS(発注・納品!$B$3:$B$202,$A110,発注・納品!$N$3:$N$202,"")&gt;0,"受入待ち","受入完了"))))</f>
        <v/>
      </c>
      <c r="AB110" s="26" t="str">
        <f aca="false">IF($A110="","",COUNTIFS(現地作業!$A$3:$A$202,$A110,現地作業!$L$3:$L$202,"予定"))</f>
        <v/>
      </c>
      <c r="AC110" s="26" t="str">
        <f aca="false">IF($A110="","",COUNTIFS(現地作業!$A$3:$A$202,$A110,現地作業!$L$3:$L$202,"完了"))</f>
        <v/>
      </c>
      <c r="AD110" s="27" t="str">
        <f aca="true">IF(N($AB110)=0,"",IF(_xlfn.MINIFS(現地作業!$C$3:$C$202,現地作業!$A$3:$A$202,$A110,現地作業!$L$3:$L$202,"予定",現地作業!$C$3:$C$202,"&gt;="&amp;TODAY())=0,"",_xlfn.MINIFS(現地作業!$C$3:$C$202,現地作業!$A$3:$A$202,$A110,現地作業!$L$3:$L$202,"予定",現地作業!$C$3:$C$202,"&gt;="&amp;TODAY())))</f>
        <v/>
      </c>
      <c r="AE110" s="39"/>
      <c r="AF110" s="30" t="str">
        <f aca="false">IF($A110="","",SUM(月次工数計画!$G$115:$AD$115))</f>
        <v/>
      </c>
      <c r="AG110" s="30" t="str">
        <f aca="false">IF($A110="","",SUMIFS(工数明細!$G$3:$G$302,工数明細!$B$3:$B$302,$A110))</f>
        <v/>
      </c>
      <c r="AH110" s="31" t="str">
        <f aca="false">IF($AE110="","",$AE110-N($AG110))</f>
        <v/>
      </c>
      <c r="AI110" s="25" t="str">
        <f aca="false">IF(N($AE110)=0,"",$AG110/$AE110)</f>
        <v/>
      </c>
      <c r="AJ110" s="20" t="str">
        <f aca="false">IF(N($AE110)=0,"",IF($AG110&gt;$AE110,"超過",IF($AG110&gt;=$AE110*0.9,"注意","適正")))</f>
        <v/>
      </c>
      <c r="AK110" s="34"/>
    </row>
    <row r="111" customFormat="false" ht="18" hidden="false" customHeight="true" outlineLevel="0" collapsed="false">
      <c r="A111" s="33"/>
      <c r="B111" s="34"/>
      <c r="C111" s="34"/>
      <c r="D111" s="34"/>
      <c r="E111" s="34"/>
      <c r="F111" s="35"/>
      <c r="G111" s="34"/>
      <c r="H111" s="34"/>
      <c r="I111" s="36"/>
      <c r="J111" s="37"/>
      <c r="K111" s="37"/>
      <c r="L111" s="37"/>
      <c r="M111" s="37"/>
      <c r="N111" s="19" t="str">
        <f aca="false">IF($J111="","",YEAR($J111)-IF(MONTH($J111)&lt;マスタ!$B$4,1,0))</f>
        <v/>
      </c>
      <c r="O111" s="20" t="str">
        <f aca="false">IF($J111="","","Q"&amp;(INT(MOD(MONTH($J111)-マスタ!$B$4+12,12)/3)+1))</f>
        <v/>
      </c>
      <c r="P111" s="21" t="str">
        <f aca="true">IF($L111="","",IF($M111&lt;&gt;"",$M111-$L111,IF(TODAY()&gt;$L111,TODAY()-$L111,0)))</f>
        <v/>
      </c>
      <c r="Q111" s="38"/>
      <c r="R111" s="23" t="str">
        <f aca="false">IF($Q111="","",$Q111*N($F111))</f>
        <v/>
      </c>
      <c r="S111" s="38"/>
      <c r="T111" s="24" t="str">
        <f aca="false">IF($A111="","",SUMIFS(発注・納品!$H$3:$H$202,発注・納品!$B$3:$B$202,$A111))</f>
        <v/>
      </c>
      <c r="U111" s="23" t="str">
        <f aca="false">IF($Q111="","",N($S111)+N($T111))</f>
        <v/>
      </c>
      <c r="V111" s="23" t="str">
        <f aca="false">IF($Q111="","",$Q111-N($U111))</f>
        <v/>
      </c>
      <c r="W111" s="25" t="str">
        <f aca="false">IF(N($Q111)=0,"",$V111/$Q111)</f>
        <v/>
      </c>
      <c r="X111" s="26" t="str">
        <f aca="false">IF($A111="","",COUNTIFS(発注・納品!$B$3:$B$202,$A111))</f>
        <v/>
      </c>
      <c r="Y111" s="26" t="str">
        <f aca="false">IF($A111="","",COUNTIFS(発注・納品!$B$3:$B$202,$A111,発注・納品!$M$3:$M$202,""))</f>
        <v/>
      </c>
      <c r="Z111" s="27" t="str">
        <f aca="false">IF(N($X111)=0,"",IF(_xlfn.MAXIFS(発注・納品!$M$3:$M$202,発注・納品!$B$3:$B$202,$A111)=0,"",_xlfn.MAXIFS(発注・納品!$M$3:$M$202,発注・納品!$B$3:$B$202,$A111)))</f>
        <v/>
      </c>
      <c r="AA111" s="28" t="str">
        <f aca="false">IF($A111="","",IF(N($X111)=0,"機器なし",IF(N($Y111)&gt;0,"入荷待ち",IF(COUNTIFS(発注・納品!$B$3:$B$202,$A111,発注・納品!$N$3:$N$202,"")&gt;0,"受入待ち","受入完了"))))</f>
        <v/>
      </c>
      <c r="AB111" s="26" t="str">
        <f aca="false">IF($A111="","",COUNTIFS(現地作業!$A$3:$A$202,$A111,現地作業!$L$3:$L$202,"予定"))</f>
        <v/>
      </c>
      <c r="AC111" s="26" t="str">
        <f aca="false">IF($A111="","",COUNTIFS(現地作業!$A$3:$A$202,$A111,現地作業!$L$3:$L$202,"完了"))</f>
        <v/>
      </c>
      <c r="AD111" s="27" t="str">
        <f aca="true">IF(N($AB111)=0,"",IF(_xlfn.MINIFS(現地作業!$C$3:$C$202,現地作業!$A$3:$A$202,$A111,現地作業!$L$3:$L$202,"予定",現地作業!$C$3:$C$202,"&gt;="&amp;TODAY())=0,"",_xlfn.MINIFS(現地作業!$C$3:$C$202,現地作業!$A$3:$A$202,$A111,現地作業!$L$3:$L$202,"予定",現地作業!$C$3:$C$202,"&gt;="&amp;TODAY())))</f>
        <v/>
      </c>
      <c r="AE111" s="39"/>
      <c r="AF111" s="30" t="str">
        <f aca="false">IF($A111="","",SUM(月次工数計画!$G$116:$AD$116))</f>
        <v/>
      </c>
      <c r="AG111" s="30" t="str">
        <f aca="false">IF($A111="","",SUMIFS(工数明細!$G$3:$G$302,工数明細!$B$3:$B$302,$A111))</f>
        <v/>
      </c>
      <c r="AH111" s="31" t="str">
        <f aca="false">IF($AE111="","",$AE111-N($AG111))</f>
        <v/>
      </c>
      <c r="AI111" s="25" t="str">
        <f aca="false">IF(N($AE111)=0,"",$AG111/$AE111)</f>
        <v/>
      </c>
      <c r="AJ111" s="20" t="str">
        <f aca="false">IF(N($AE111)=0,"",IF($AG111&gt;$AE111,"超過",IF($AG111&gt;=$AE111*0.9,"注意","適正")))</f>
        <v/>
      </c>
      <c r="AK111" s="34"/>
    </row>
    <row r="112" customFormat="false" ht="18" hidden="false" customHeight="true" outlineLevel="0" collapsed="false">
      <c r="A112" s="33"/>
      <c r="B112" s="34"/>
      <c r="C112" s="34"/>
      <c r="D112" s="34"/>
      <c r="E112" s="34"/>
      <c r="F112" s="35"/>
      <c r="G112" s="34"/>
      <c r="H112" s="34"/>
      <c r="I112" s="36"/>
      <c r="J112" s="37"/>
      <c r="K112" s="37"/>
      <c r="L112" s="37"/>
      <c r="M112" s="37"/>
      <c r="N112" s="19" t="str">
        <f aca="false">IF($J112="","",YEAR($J112)-IF(MONTH($J112)&lt;マスタ!$B$4,1,0))</f>
        <v/>
      </c>
      <c r="O112" s="20" t="str">
        <f aca="false">IF($J112="","","Q"&amp;(INT(MOD(MONTH($J112)-マスタ!$B$4+12,12)/3)+1))</f>
        <v/>
      </c>
      <c r="P112" s="21" t="str">
        <f aca="true">IF($L112="","",IF($M112&lt;&gt;"",$M112-$L112,IF(TODAY()&gt;$L112,TODAY()-$L112,0)))</f>
        <v/>
      </c>
      <c r="Q112" s="38"/>
      <c r="R112" s="23" t="str">
        <f aca="false">IF($Q112="","",$Q112*N($F112))</f>
        <v/>
      </c>
      <c r="S112" s="38"/>
      <c r="T112" s="24" t="str">
        <f aca="false">IF($A112="","",SUMIFS(発注・納品!$H$3:$H$202,発注・納品!$B$3:$B$202,$A112))</f>
        <v/>
      </c>
      <c r="U112" s="23" t="str">
        <f aca="false">IF($Q112="","",N($S112)+N($T112))</f>
        <v/>
      </c>
      <c r="V112" s="23" t="str">
        <f aca="false">IF($Q112="","",$Q112-N($U112))</f>
        <v/>
      </c>
      <c r="W112" s="25" t="str">
        <f aca="false">IF(N($Q112)=0,"",$V112/$Q112)</f>
        <v/>
      </c>
      <c r="X112" s="26" t="str">
        <f aca="false">IF($A112="","",COUNTIFS(発注・納品!$B$3:$B$202,$A112))</f>
        <v/>
      </c>
      <c r="Y112" s="26" t="str">
        <f aca="false">IF($A112="","",COUNTIFS(発注・納品!$B$3:$B$202,$A112,発注・納品!$M$3:$M$202,""))</f>
        <v/>
      </c>
      <c r="Z112" s="27" t="str">
        <f aca="false">IF(N($X112)=0,"",IF(_xlfn.MAXIFS(発注・納品!$M$3:$M$202,発注・納品!$B$3:$B$202,$A112)=0,"",_xlfn.MAXIFS(発注・納品!$M$3:$M$202,発注・納品!$B$3:$B$202,$A112)))</f>
        <v/>
      </c>
      <c r="AA112" s="28" t="str">
        <f aca="false">IF($A112="","",IF(N($X112)=0,"機器なし",IF(N($Y112)&gt;0,"入荷待ち",IF(COUNTIFS(発注・納品!$B$3:$B$202,$A112,発注・納品!$N$3:$N$202,"")&gt;0,"受入待ち","受入完了"))))</f>
        <v/>
      </c>
      <c r="AB112" s="26" t="str">
        <f aca="false">IF($A112="","",COUNTIFS(現地作業!$A$3:$A$202,$A112,現地作業!$L$3:$L$202,"予定"))</f>
        <v/>
      </c>
      <c r="AC112" s="26" t="str">
        <f aca="false">IF($A112="","",COUNTIFS(現地作業!$A$3:$A$202,$A112,現地作業!$L$3:$L$202,"完了"))</f>
        <v/>
      </c>
      <c r="AD112" s="27" t="str">
        <f aca="true">IF(N($AB112)=0,"",IF(_xlfn.MINIFS(現地作業!$C$3:$C$202,現地作業!$A$3:$A$202,$A112,現地作業!$L$3:$L$202,"予定",現地作業!$C$3:$C$202,"&gt;="&amp;TODAY())=0,"",_xlfn.MINIFS(現地作業!$C$3:$C$202,現地作業!$A$3:$A$202,$A112,現地作業!$L$3:$L$202,"予定",現地作業!$C$3:$C$202,"&gt;="&amp;TODAY())))</f>
        <v/>
      </c>
      <c r="AE112" s="39"/>
      <c r="AF112" s="30" t="str">
        <f aca="false">IF($A112="","",SUM(月次工数計画!$G$117:$AD$117))</f>
        <v/>
      </c>
      <c r="AG112" s="30" t="str">
        <f aca="false">IF($A112="","",SUMIFS(工数明細!$G$3:$G$302,工数明細!$B$3:$B$302,$A112))</f>
        <v/>
      </c>
      <c r="AH112" s="31" t="str">
        <f aca="false">IF($AE112="","",$AE112-N($AG112))</f>
        <v/>
      </c>
      <c r="AI112" s="25" t="str">
        <f aca="false">IF(N($AE112)=0,"",$AG112/$AE112)</f>
        <v/>
      </c>
      <c r="AJ112" s="20" t="str">
        <f aca="false">IF(N($AE112)=0,"",IF($AG112&gt;$AE112,"超過",IF($AG112&gt;=$AE112*0.9,"注意","適正")))</f>
        <v/>
      </c>
      <c r="AK112" s="34"/>
    </row>
    <row r="113" customFormat="false" ht="18" hidden="false" customHeight="true" outlineLevel="0" collapsed="false">
      <c r="A113" s="33"/>
      <c r="B113" s="34"/>
      <c r="C113" s="34"/>
      <c r="D113" s="34"/>
      <c r="E113" s="34"/>
      <c r="F113" s="35"/>
      <c r="G113" s="34"/>
      <c r="H113" s="34"/>
      <c r="I113" s="36"/>
      <c r="J113" s="37"/>
      <c r="K113" s="37"/>
      <c r="L113" s="37"/>
      <c r="M113" s="37"/>
      <c r="N113" s="19" t="str">
        <f aca="false">IF($J113="","",YEAR($J113)-IF(MONTH($J113)&lt;マスタ!$B$4,1,0))</f>
        <v/>
      </c>
      <c r="O113" s="20" t="str">
        <f aca="false">IF($J113="","","Q"&amp;(INT(MOD(MONTH($J113)-マスタ!$B$4+12,12)/3)+1))</f>
        <v/>
      </c>
      <c r="P113" s="21" t="str">
        <f aca="true">IF($L113="","",IF($M113&lt;&gt;"",$M113-$L113,IF(TODAY()&gt;$L113,TODAY()-$L113,0)))</f>
        <v/>
      </c>
      <c r="Q113" s="38"/>
      <c r="R113" s="23" t="str">
        <f aca="false">IF($Q113="","",$Q113*N($F113))</f>
        <v/>
      </c>
      <c r="S113" s="38"/>
      <c r="T113" s="24" t="str">
        <f aca="false">IF($A113="","",SUMIFS(発注・納品!$H$3:$H$202,発注・納品!$B$3:$B$202,$A113))</f>
        <v/>
      </c>
      <c r="U113" s="23" t="str">
        <f aca="false">IF($Q113="","",N($S113)+N($T113))</f>
        <v/>
      </c>
      <c r="V113" s="23" t="str">
        <f aca="false">IF($Q113="","",$Q113-N($U113))</f>
        <v/>
      </c>
      <c r="W113" s="25" t="str">
        <f aca="false">IF(N($Q113)=0,"",$V113/$Q113)</f>
        <v/>
      </c>
      <c r="X113" s="26" t="str">
        <f aca="false">IF($A113="","",COUNTIFS(発注・納品!$B$3:$B$202,$A113))</f>
        <v/>
      </c>
      <c r="Y113" s="26" t="str">
        <f aca="false">IF($A113="","",COUNTIFS(発注・納品!$B$3:$B$202,$A113,発注・納品!$M$3:$M$202,""))</f>
        <v/>
      </c>
      <c r="Z113" s="27" t="str">
        <f aca="false">IF(N($X113)=0,"",IF(_xlfn.MAXIFS(発注・納品!$M$3:$M$202,発注・納品!$B$3:$B$202,$A113)=0,"",_xlfn.MAXIFS(発注・納品!$M$3:$M$202,発注・納品!$B$3:$B$202,$A113)))</f>
        <v/>
      </c>
      <c r="AA113" s="28" t="str">
        <f aca="false">IF($A113="","",IF(N($X113)=0,"機器なし",IF(N($Y113)&gt;0,"入荷待ち",IF(COUNTIFS(発注・納品!$B$3:$B$202,$A113,発注・納品!$N$3:$N$202,"")&gt;0,"受入待ち","受入完了"))))</f>
        <v/>
      </c>
      <c r="AB113" s="26" t="str">
        <f aca="false">IF($A113="","",COUNTIFS(現地作業!$A$3:$A$202,$A113,現地作業!$L$3:$L$202,"予定"))</f>
        <v/>
      </c>
      <c r="AC113" s="26" t="str">
        <f aca="false">IF($A113="","",COUNTIFS(現地作業!$A$3:$A$202,$A113,現地作業!$L$3:$L$202,"完了"))</f>
        <v/>
      </c>
      <c r="AD113" s="27" t="str">
        <f aca="true">IF(N($AB113)=0,"",IF(_xlfn.MINIFS(現地作業!$C$3:$C$202,現地作業!$A$3:$A$202,$A113,現地作業!$L$3:$L$202,"予定",現地作業!$C$3:$C$202,"&gt;="&amp;TODAY())=0,"",_xlfn.MINIFS(現地作業!$C$3:$C$202,現地作業!$A$3:$A$202,$A113,現地作業!$L$3:$L$202,"予定",現地作業!$C$3:$C$202,"&gt;="&amp;TODAY())))</f>
        <v/>
      </c>
      <c r="AE113" s="39"/>
      <c r="AF113" s="30" t="str">
        <f aca="false">IF($A113="","",SUM(月次工数計画!$G$118:$AD$118))</f>
        <v/>
      </c>
      <c r="AG113" s="30" t="str">
        <f aca="false">IF($A113="","",SUMIFS(工数明細!$G$3:$G$302,工数明細!$B$3:$B$302,$A113))</f>
        <v/>
      </c>
      <c r="AH113" s="31" t="str">
        <f aca="false">IF($AE113="","",$AE113-N($AG113))</f>
        <v/>
      </c>
      <c r="AI113" s="25" t="str">
        <f aca="false">IF(N($AE113)=0,"",$AG113/$AE113)</f>
        <v/>
      </c>
      <c r="AJ113" s="20" t="str">
        <f aca="false">IF(N($AE113)=0,"",IF($AG113&gt;$AE113,"超過",IF($AG113&gt;=$AE113*0.9,"注意","適正")))</f>
        <v/>
      </c>
      <c r="AK113" s="34"/>
    </row>
    <row r="114" customFormat="false" ht="18" hidden="false" customHeight="true" outlineLevel="0" collapsed="false">
      <c r="A114" s="33"/>
      <c r="B114" s="34"/>
      <c r="C114" s="34"/>
      <c r="D114" s="34"/>
      <c r="E114" s="34"/>
      <c r="F114" s="35"/>
      <c r="G114" s="34"/>
      <c r="H114" s="34"/>
      <c r="I114" s="36"/>
      <c r="J114" s="37"/>
      <c r="K114" s="37"/>
      <c r="L114" s="37"/>
      <c r="M114" s="37"/>
      <c r="N114" s="19" t="str">
        <f aca="false">IF($J114="","",YEAR($J114)-IF(MONTH($J114)&lt;マスタ!$B$4,1,0))</f>
        <v/>
      </c>
      <c r="O114" s="20" t="str">
        <f aca="false">IF($J114="","","Q"&amp;(INT(MOD(MONTH($J114)-マスタ!$B$4+12,12)/3)+1))</f>
        <v/>
      </c>
      <c r="P114" s="21" t="str">
        <f aca="true">IF($L114="","",IF($M114&lt;&gt;"",$M114-$L114,IF(TODAY()&gt;$L114,TODAY()-$L114,0)))</f>
        <v/>
      </c>
      <c r="Q114" s="38"/>
      <c r="R114" s="23" t="str">
        <f aca="false">IF($Q114="","",$Q114*N($F114))</f>
        <v/>
      </c>
      <c r="S114" s="38"/>
      <c r="T114" s="24" t="str">
        <f aca="false">IF($A114="","",SUMIFS(発注・納品!$H$3:$H$202,発注・納品!$B$3:$B$202,$A114))</f>
        <v/>
      </c>
      <c r="U114" s="23" t="str">
        <f aca="false">IF($Q114="","",N($S114)+N($T114))</f>
        <v/>
      </c>
      <c r="V114" s="23" t="str">
        <f aca="false">IF($Q114="","",$Q114-N($U114))</f>
        <v/>
      </c>
      <c r="W114" s="25" t="str">
        <f aca="false">IF(N($Q114)=0,"",$V114/$Q114)</f>
        <v/>
      </c>
      <c r="X114" s="26" t="str">
        <f aca="false">IF($A114="","",COUNTIFS(発注・納品!$B$3:$B$202,$A114))</f>
        <v/>
      </c>
      <c r="Y114" s="26" t="str">
        <f aca="false">IF($A114="","",COUNTIFS(発注・納品!$B$3:$B$202,$A114,発注・納品!$M$3:$M$202,""))</f>
        <v/>
      </c>
      <c r="Z114" s="27" t="str">
        <f aca="false">IF(N($X114)=0,"",IF(_xlfn.MAXIFS(発注・納品!$M$3:$M$202,発注・納品!$B$3:$B$202,$A114)=0,"",_xlfn.MAXIFS(発注・納品!$M$3:$M$202,発注・納品!$B$3:$B$202,$A114)))</f>
        <v/>
      </c>
      <c r="AA114" s="28" t="str">
        <f aca="false">IF($A114="","",IF(N($X114)=0,"機器なし",IF(N($Y114)&gt;0,"入荷待ち",IF(COUNTIFS(発注・納品!$B$3:$B$202,$A114,発注・納品!$N$3:$N$202,"")&gt;0,"受入待ち","受入完了"))))</f>
        <v/>
      </c>
      <c r="AB114" s="26" t="str">
        <f aca="false">IF($A114="","",COUNTIFS(現地作業!$A$3:$A$202,$A114,現地作業!$L$3:$L$202,"予定"))</f>
        <v/>
      </c>
      <c r="AC114" s="26" t="str">
        <f aca="false">IF($A114="","",COUNTIFS(現地作業!$A$3:$A$202,$A114,現地作業!$L$3:$L$202,"完了"))</f>
        <v/>
      </c>
      <c r="AD114" s="27" t="str">
        <f aca="true">IF(N($AB114)=0,"",IF(_xlfn.MINIFS(現地作業!$C$3:$C$202,現地作業!$A$3:$A$202,$A114,現地作業!$L$3:$L$202,"予定",現地作業!$C$3:$C$202,"&gt;="&amp;TODAY())=0,"",_xlfn.MINIFS(現地作業!$C$3:$C$202,現地作業!$A$3:$A$202,$A114,現地作業!$L$3:$L$202,"予定",現地作業!$C$3:$C$202,"&gt;="&amp;TODAY())))</f>
        <v/>
      </c>
      <c r="AE114" s="39"/>
      <c r="AF114" s="30" t="str">
        <f aca="false">IF($A114="","",SUM(月次工数計画!$G$119:$AD$119))</f>
        <v/>
      </c>
      <c r="AG114" s="30" t="str">
        <f aca="false">IF($A114="","",SUMIFS(工数明細!$G$3:$G$302,工数明細!$B$3:$B$302,$A114))</f>
        <v/>
      </c>
      <c r="AH114" s="31" t="str">
        <f aca="false">IF($AE114="","",$AE114-N($AG114))</f>
        <v/>
      </c>
      <c r="AI114" s="25" t="str">
        <f aca="false">IF(N($AE114)=0,"",$AG114/$AE114)</f>
        <v/>
      </c>
      <c r="AJ114" s="20" t="str">
        <f aca="false">IF(N($AE114)=0,"",IF($AG114&gt;$AE114,"超過",IF($AG114&gt;=$AE114*0.9,"注意","適正")))</f>
        <v/>
      </c>
      <c r="AK114" s="34"/>
    </row>
    <row r="115" customFormat="false" ht="18" hidden="false" customHeight="true" outlineLevel="0" collapsed="false">
      <c r="A115" s="33"/>
      <c r="B115" s="34"/>
      <c r="C115" s="34"/>
      <c r="D115" s="34"/>
      <c r="E115" s="34"/>
      <c r="F115" s="35"/>
      <c r="G115" s="34"/>
      <c r="H115" s="34"/>
      <c r="I115" s="36"/>
      <c r="J115" s="37"/>
      <c r="K115" s="37"/>
      <c r="L115" s="37"/>
      <c r="M115" s="37"/>
      <c r="N115" s="19" t="str">
        <f aca="false">IF($J115="","",YEAR($J115)-IF(MONTH($J115)&lt;マスタ!$B$4,1,0))</f>
        <v/>
      </c>
      <c r="O115" s="20" t="str">
        <f aca="false">IF($J115="","","Q"&amp;(INT(MOD(MONTH($J115)-マスタ!$B$4+12,12)/3)+1))</f>
        <v/>
      </c>
      <c r="P115" s="21" t="str">
        <f aca="true">IF($L115="","",IF($M115&lt;&gt;"",$M115-$L115,IF(TODAY()&gt;$L115,TODAY()-$L115,0)))</f>
        <v/>
      </c>
      <c r="Q115" s="38"/>
      <c r="R115" s="23" t="str">
        <f aca="false">IF($Q115="","",$Q115*N($F115))</f>
        <v/>
      </c>
      <c r="S115" s="38"/>
      <c r="T115" s="24" t="str">
        <f aca="false">IF($A115="","",SUMIFS(発注・納品!$H$3:$H$202,発注・納品!$B$3:$B$202,$A115))</f>
        <v/>
      </c>
      <c r="U115" s="23" t="str">
        <f aca="false">IF($Q115="","",N($S115)+N($T115))</f>
        <v/>
      </c>
      <c r="V115" s="23" t="str">
        <f aca="false">IF($Q115="","",$Q115-N($U115))</f>
        <v/>
      </c>
      <c r="W115" s="25" t="str">
        <f aca="false">IF(N($Q115)=0,"",$V115/$Q115)</f>
        <v/>
      </c>
      <c r="X115" s="26" t="str">
        <f aca="false">IF($A115="","",COUNTIFS(発注・納品!$B$3:$B$202,$A115))</f>
        <v/>
      </c>
      <c r="Y115" s="26" t="str">
        <f aca="false">IF($A115="","",COUNTIFS(発注・納品!$B$3:$B$202,$A115,発注・納品!$M$3:$M$202,""))</f>
        <v/>
      </c>
      <c r="Z115" s="27" t="str">
        <f aca="false">IF(N($X115)=0,"",IF(_xlfn.MAXIFS(発注・納品!$M$3:$M$202,発注・納品!$B$3:$B$202,$A115)=0,"",_xlfn.MAXIFS(発注・納品!$M$3:$M$202,発注・納品!$B$3:$B$202,$A115)))</f>
        <v/>
      </c>
      <c r="AA115" s="28" t="str">
        <f aca="false">IF($A115="","",IF(N($X115)=0,"機器なし",IF(N($Y115)&gt;0,"入荷待ち",IF(COUNTIFS(発注・納品!$B$3:$B$202,$A115,発注・納品!$N$3:$N$202,"")&gt;0,"受入待ち","受入完了"))))</f>
        <v/>
      </c>
      <c r="AB115" s="26" t="str">
        <f aca="false">IF($A115="","",COUNTIFS(現地作業!$A$3:$A$202,$A115,現地作業!$L$3:$L$202,"予定"))</f>
        <v/>
      </c>
      <c r="AC115" s="26" t="str">
        <f aca="false">IF($A115="","",COUNTIFS(現地作業!$A$3:$A$202,$A115,現地作業!$L$3:$L$202,"完了"))</f>
        <v/>
      </c>
      <c r="AD115" s="27" t="str">
        <f aca="true">IF(N($AB115)=0,"",IF(_xlfn.MINIFS(現地作業!$C$3:$C$202,現地作業!$A$3:$A$202,$A115,現地作業!$L$3:$L$202,"予定",現地作業!$C$3:$C$202,"&gt;="&amp;TODAY())=0,"",_xlfn.MINIFS(現地作業!$C$3:$C$202,現地作業!$A$3:$A$202,$A115,現地作業!$L$3:$L$202,"予定",現地作業!$C$3:$C$202,"&gt;="&amp;TODAY())))</f>
        <v/>
      </c>
      <c r="AE115" s="39"/>
      <c r="AF115" s="30" t="str">
        <f aca="false">IF($A115="","",SUM(月次工数計画!$G$120:$AD$120))</f>
        <v/>
      </c>
      <c r="AG115" s="30" t="str">
        <f aca="false">IF($A115="","",SUMIFS(工数明細!$G$3:$G$302,工数明細!$B$3:$B$302,$A115))</f>
        <v/>
      </c>
      <c r="AH115" s="31" t="str">
        <f aca="false">IF($AE115="","",$AE115-N($AG115))</f>
        <v/>
      </c>
      <c r="AI115" s="25" t="str">
        <f aca="false">IF(N($AE115)=0,"",$AG115/$AE115)</f>
        <v/>
      </c>
      <c r="AJ115" s="20" t="str">
        <f aca="false">IF(N($AE115)=0,"",IF($AG115&gt;$AE115,"超過",IF($AG115&gt;=$AE115*0.9,"注意","適正")))</f>
        <v/>
      </c>
      <c r="AK115" s="34"/>
    </row>
    <row r="116" customFormat="false" ht="18" hidden="false" customHeight="true" outlineLevel="0" collapsed="false">
      <c r="A116" s="33"/>
      <c r="B116" s="34"/>
      <c r="C116" s="34"/>
      <c r="D116" s="34"/>
      <c r="E116" s="34"/>
      <c r="F116" s="35"/>
      <c r="G116" s="34"/>
      <c r="H116" s="34"/>
      <c r="I116" s="36"/>
      <c r="J116" s="37"/>
      <c r="K116" s="37"/>
      <c r="L116" s="37"/>
      <c r="M116" s="37"/>
      <c r="N116" s="19" t="str">
        <f aca="false">IF($J116="","",YEAR($J116)-IF(MONTH($J116)&lt;マスタ!$B$4,1,0))</f>
        <v/>
      </c>
      <c r="O116" s="20" t="str">
        <f aca="false">IF($J116="","","Q"&amp;(INT(MOD(MONTH($J116)-マスタ!$B$4+12,12)/3)+1))</f>
        <v/>
      </c>
      <c r="P116" s="21" t="str">
        <f aca="true">IF($L116="","",IF($M116&lt;&gt;"",$M116-$L116,IF(TODAY()&gt;$L116,TODAY()-$L116,0)))</f>
        <v/>
      </c>
      <c r="Q116" s="38"/>
      <c r="R116" s="23" t="str">
        <f aca="false">IF($Q116="","",$Q116*N($F116))</f>
        <v/>
      </c>
      <c r="S116" s="38"/>
      <c r="T116" s="24" t="str">
        <f aca="false">IF($A116="","",SUMIFS(発注・納品!$H$3:$H$202,発注・納品!$B$3:$B$202,$A116))</f>
        <v/>
      </c>
      <c r="U116" s="23" t="str">
        <f aca="false">IF($Q116="","",N($S116)+N($T116))</f>
        <v/>
      </c>
      <c r="V116" s="23" t="str">
        <f aca="false">IF($Q116="","",$Q116-N($U116))</f>
        <v/>
      </c>
      <c r="W116" s="25" t="str">
        <f aca="false">IF(N($Q116)=0,"",$V116/$Q116)</f>
        <v/>
      </c>
      <c r="X116" s="26" t="str">
        <f aca="false">IF($A116="","",COUNTIFS(発注・納品!$B$3:$B$202,$A116))</f>
        <v/>
      </c>
      <c r="Y116" s="26" t="str">
        <f aca="false">IF($A116="","",COUNTIFS(発注・納品!$B$3:$B$202,$A116,発注・納品!$M$3:$M$202,""))</f>
        <v/>
      </c>
      <c r="Z116" s="27" t="str">
        <f aca="false">IF(N($X116)=0,"",IF(_xlfn.MAXIFS(発注・納品!$M$3:$M$202,発注・納品!$B$3:$B$202,$A116)=0,"",_xlfn.MAXIFS(発注・納品!$M$3:$M$202,発注・納品!$B$3:$B$202,$A116)))</f>
        <v/>
      </c>
      <c r="AA116" s="28" t="str">
        <f aca="false">IF($A116="","",IF(N($X116)=0,"機器なし",IF(N($Y116)&gt;0,"入荷待ち",IF(COUNTIFS(発注・納品!$B$3:$B$202,$A116,発注・納品!$N$3:$N$202,"")&gt;0,"受入待ち","受入完了"))))</f>
        <v/>
      </c>
      <c r="AB116" s="26" t="str">
        <f aca="false">IF($A116="","",COUNTIFS(現地作業!$A$3:$A$202,$A116,現地作業!$L$3:$L$202,"予定"))</f>
        <v/>
      </c>
      <c r="AC116" s="26" t="str">
        <f aca="false">IF($A116="","",COUNTIFS(現地作業!$A$3:$A$202,$A116,現地作業!$L$3:$L$202,"完了"))</f>
        <v/>
      </c>
      <c r="AD116" s="27" t="str">
        <f aca="true">IF(N($AB116)=0,"",IF(_xlfn.MINIFS(現地作業!$C$3:$C$202,現地作業!$A$3:$A$202,$A116,現地作業!$L$3:$L$202,"予定",現地作業!$C$3:$C$202,"&gt;="&amp;TODAY())=0,"",_xlfn.MINIFS(現地作業!$C$3:$C$202,現地作業!$A$3:$A$202,$A116,現地作業!$L$3:$L$202,"予定",現地作業!$C$3:$C$202,"&gt;="&amp;TODAY())))</f>
        <v/>
      </c>
      <c r="AE116" s="39"/>
      <c r="AF116" s="30" t="str">
        <f aca="false">IF($A116="","",SUM(月次工数計画!$G$121:$AD$121))</f>
        <v/>
      </c>
      <c r="AG116" s="30" t="str">
        <f aca="false">IF($A116="","",SUMIFS(工数明細!$G$3:$G$302,工数明細!$B$3:$B$302,$A116))</f>
        <v/>
      </c>
      <c r="AH116" s="31" t="str">
        <f aca="false">IF($AE116="","",$AE116-N($AG116))</f>
        <v/>
      </c>
      <c r="AI116" s="25" t="str">
        <f aca="false">IF(N($AE116)=0,"",$AG116/$AE116)</f>
        <v/>
      </c>
      <c r="AJ116" s="20" t="str">
        <f aca="false">IF(N($AE116)=0,"",IF($AG116&gt;$AE116,"超過",IF($AG116&gt;=$AE116*0.9,"注意","適正")))</f>
        <v/>
      </c>
      <c r="AK116" s="34"/>
    </row>
    <row r="117" customFormat="false" ht="18" hidden="false" customHeight="true" outlineLevel="0" collapsed="false">
      <c r="A117" s="33"/>
      <c r="B117" s="34"/>
      <c r="C117" s="34"/>
      <c r="D117" s="34"/>
      <c r="E117" s="34"/>
      <c r="F117" s="35"/>
      <c r="G117" s="34"/>
      <c r="H117" s="34"/>
      <c r="I117" s="36"/>
      <c r="J117" s="37"/>
      <c r="K117" s="37"/>
      <c r="L117" s="37"/>
      <c r="M117" s="37"/>
      <c r="N117" s="19" t="str">
        <f aca="false">IF($J117="","",YEAR($J117)-IF(MONTH($J117)&lt;マスタ!$B$4,1,0))</f>
        <v/>
      </c>
      <c r="O117" s="20" t="str">
        <f aca="false">IF($J117="","","Q"&amp;(INT(MOD(MONTH($J117)-マスタ!$B$4+12,12)/3)+1))</f>
        <v/>
      </c>
      <c r="P117" s="21" t="str">
        <f aca="true">IF($L117="","",IF($M117&lt;&gt;"",$M117-$L117,IF(TODAY()&gt;$L117,TODAY()-$L117,0)))</f>
        <v/>
      </c>
      <c r="Q117" s="38"/>
      <c r="R117" s="23" t="str">
        <f aca="false">IF($Q117="","",$Q117*N($F117))</f>
        <v/>
      </c>
      <c r="S117" s="38"/>
      <c r="T117" s="24" t="str">
        <f aca="false">IF($A117="","",SUMIFS(発注・納品!$H$3:$H$202,発注・納品!$B$3:$B$202,$A117))</f>
        <v/>
      </c>
      <c r="U117" s="23" t="str">
        <f aca="false">IF($Q117="","",N($S117)+N($T117))</f>
        <v/>
      </c>
      <c r="V117" s="23" t="str">
        <f aca="false">IF($Q117="","",$Q117-N($U117))</f>
        <v/>
      </c>
      <c r="W117" s="25" t="str">
        <f aca="false">IF(N($Q117)=0,"",$V117/$Q117)</f>
        <v/>
      </c>
      <c r="X117" s="26" t="str">
        <f aca="false">IF($A117="","",COUNTIFS(発注・納品!$B$3:$B$202,$A117))</f>
        <v/>
      </c>
      <c r="Y117" s="26" t="str">
        <f aca="false">IF($A117="","",COUNTIFS(発注・納品!$B$3:$B$202,$A117,発注・納品!$M$3:$M$202,""))</f>
        <v/>
      </c>
      <c r="Z117" s="27" t="str">
        <f aca="false">IF(N($X117)=0,"",IF(_xlfn.MAXIFS(発注・納品!$M$3:$M$202,発注・納品!$B$3:$B$202,$A117)=0,"",_xlfn.MAXIFS(発注・納品!$M$3:$M$202,発注・納品!$B$3:$B$202,$A117)))</f>
        <v/>
      </c>
      <c r="AA117" s="28" t="str">
        <f aca="false">IF($A117="","",IF(N($X117)=0,"機器なし",IF(N($Y117)&gt;0,"入荷待ち",IF(COUNTIFS(発注・納品!$B$3:$B$202,$A117,発注・納品!$N$3:$N$202,"")&gt;0,"受入待ち","受入完了"))))</f>
        <v/>
      </c>
      <c r="AB117" s="26" t="str">
        <f aca="false">IF($A117="","",COUNTIFS(現地作業!$A$3:$A$202,$A117,現地作業!$L$3:$L$202,"予定"))</f>
        <v/>
      </c>
      <c r="AC117" s="26" t="str">
        <f aca="false">IF($A117="","",COUNTIFS(現地作業!$A$3:$A$202,$A117,現地作業!$L$3:$L$202,"完了"))</f>
        <v/>
      </c>
      <c r="AD117" s="27" t="str">
        <f aca="true">IF(N($AB117)=0,"",IF(_xlfn.MINIFS(現地作業!$C$3:$C$202,現地作業!$A$3:$A$202,$A117,現地作業!$L$3:$L$202,"予定",現地作業!$C$3:$C$202,"&gt;="&amp;TODAY())=0,"",_xlfn.MINIFS(現地作業!$C$3:$C$202,現地作業!$A$3:$A$202,$A117,現地作業!$L$3:$L$202,"予定",現地作業!$C$3:$C$202,"&gt;="&amp;TODAY())))</f>
        <v/>
      </c>
      <c r="AE117" s="39"/>
      <c r="AF117" s="30" t="str">
        <f aca="false">IF($A117="","",SUM(月次工数計画!$G$122:$AD$122))</f>
        <v/>
      </c>
      <c r="AG117" s="30" t="str">
        <f aca="false">IF($A117="","",SUMIFS(工数明細!$G$3:$G$302,工数明細!$B$3:$B$302,$A117))</f>
        <v/>
      </c>
      <c r="AH117" s="31" t="str">
        <f aca="false">IF($AE117="","",$AE117-N($AG117))</f>
        <v/>
      </c>
      <c r="AI117" s="25" t="str">
        <f aca="false">IF(N($AE117)=0,"",$AG117/$AE117)</f>
        <v/>
      </c>
      <c r="AJ117" s="20" t="str">
        <f aca="false">IF(N($AE117)=0,"",IF($AG117&gt;$AE117,"超過",IF($AG117&gt;=$AE117*0.9,"注意","適正")))</f>
        <v/>
      </c>
      <c r="AK117" s="34"/>
    </row>
    <row r="118" customFormat="false" ht="18" hidden="false" customHeight="true" outlineLevel="0" collapsed="false">
      <c r="A118" s="33"/>
      <c r="B118" s="34"/>
      <c r="C118" s="34"/>
      <c r="D118" s="34"/>
      <c r="E118" s="34"/>
      <c r="F118" s="35"/>
      <c r="G118" s="34"/>
      <c r="H118" s="34"/>
      <c r="I118" s="36"/>
      <c r="J118" s="37"/>
      <c r="K118" s="37"/>
      <c r="L118" s="37"/>
      <c r="M118" s="37"/>
      <c r="N118" s="19" t="str">
        <f aca="false">IF($J118="","",YEAR($J118)-IF(MONTH($J118)&lt;マスタ!$B$4,1,0))</f>
        <v/>
      </c>
      <c r="O118" s="20" t="str">
        <f aca="false">IF($J118="","","Q"&amp;(INT(MOD(MONTH($J118)-マスタ!$B$4+12,12)/3)+1))</f>
        <v/>
      </c>
      <c r="P118" s="21" t="str">
        <f aca="true">IF($L118="","",IF($M118&lt;&gt;"",$M118-$L118,IF(TODAY()&gt;$L118,TODAY()-$L118,0)))</f>
        <v/>
      </c>
      <c r="Q118" s="38"/>
      <c r="R118" s="23" t="str">
        <f aca="false">IF($Q118="","",$Q118*N($F118))</f>
        <v/>
      </c>
      <c r="S118" s="38"/>
      <c r="T118" s="24" t="str">
        <f aca="false">IF($A118="","",SUMIFS(発注・納品!$H$3:$H$202,発注・納品!$B$3:$B$202,$A118))</f>
        <v/>
      </c>
      <c r="U118" s="23" t="str">
        <f aca="false">IF($Q118="","",N($S118)+N($T118))</f>
        <v/>
      </c>
      <c r="V118" s="23" t="str">
        <f aca="false">IF($Q118="","",$Q118-N($U118))</f>
        <v/>
      </c>
      <c r="W118" s="25" t="str">
        <f aca="false">IF(N($Q118)=0,"",$V118/$Q118)</f>
        <v/>
      </c>
      <c r="X118" s="26" t="str">
        <f aca="false">IF($A118="","",COUNTIFS(発注・納品!$B$3:$B$202,$A118))</f>
        <v/>
      </c>
      <c r="Y118" s="26" t="str">
        <f aca="false">IF($A118="","",COUNTIFS(発注・納品!$B$3:$B$202,$A118,発注・納品!$M$3:$M$202,""))</f>
        <v/>
      </c>
      <c r="Z118" s="27" t="str">
        <f aca="false">IF(N($X118)=0,"",IF(_xlfn.MAXIFS(発注・納品!$M$3:$M$202,発注・納品!$B$3:$B$202,$A118)=0,"",_xlfn.MAXIFS(発注・納品!$M$3:$M$202,発注・納品!$B$3:$B$202,$A118)))</f>
        <v/>
      </c>
      <c r="AA118" s="28" t="str">
        <f aca="false">IF($A118="","",IF(N($X118)=0,"機器なし",IF(N($Y118)&gt;0,"入荷待ち",IF(COUNTIFS(発注・納品!$B$3:$B$202,$A118,発注・納品!$N$3:$N$202,"")&gt;0,"受入待ち","受入完了"))))</f>
        <v/>
      </c>
      <c r="AB118" s="26" t="str">
        <f aca="false">IF($A118="","",COUNTIFS(現地作業!$A$3:$A$202,$A118,現地作業!$L$3:$L$202,"予定"))</f>
        <v/>
      </c>
      <c r="AC118" s="26" t="str">
        <f aca="false">IF($A118="","",COUNTIFS(現地作業!$A$3:$A$202,$A118,現地作業!$L$3:$L$202,"完了"))</f>
        <v/>
      </c>
      <c r="AD118" s="27" t="str">
        <f aca="true">IF(N($AB118)=0,"",IF(_xlfn.MINIFS(現地作業!$C$3:$C$202,現地作業!$A$3:$A$202,$A118,現地作業!$L$3:$L$202,"予定",現地作業!$C$3:$C$202,"&gt;="&amp;TODAY())=0,"",_xlfn.MINIFS(現地作業!$C$3:$C$202,現地作業!$A$3:$A$202,$A118,現地作業!$L$3:$L$202,"予定",現地作業!$C$3:$C$202,"&gt;="&amp;TODAY())))</f>
        <v/>
      </c>
      <c r="AE118" s="39"/>
      <c r="AF118" s="30" t="str">
        <f aca="false">IF($A118="","",SUM(月次工数計画!$G$123:$AD$123))</f>
        <v/>
      </c>
      <c r="AG118" s="30" t="str">
        <f aca="false">IF($A118="","",SUMIFS(工数明細!$G$3:$G$302,工数明細!$B$3:$B$302,$A118))</f>
        <v/>
      </c>
      <c r="AH118" s="31" t="str">
        <f aca="false">IF($AE118="","",$AE118-N($AG118))</f>
        <v/>
      </c>
      <c r="AI118" s="25" t="str">
        <f aca="false">IF(N($AE118)=0,"",$AG118/$AE118)</f>
        <v/>
      </c>
      <c r="AJ118" s="20" t="str">
        <f aca="false">IF(N($AE118)=0,"",IF($AG118&gt;$AE118,"超過",IF($AG118&gt;=$AE118*0.9,"注意","適正")))</f>
        <v/>
      </c>
      <c r="AK118" s="34"/>
    </row>
    <row r="119" customFormat="false" ht="18" hidden="false" customHeight="true" outlineLevel="0" collapsed="false">
      <c r="A119" s="33"/>
      <c r="B119" s="34"/>
      <c r="C119" s="34"/>
      <c r="D119" s="34"/>
      <c r="E119" s="34"/>
      <c r="F119" s="35"/>
      <c r="G119" s="34"/>
      <c r="H119" s="34"/>
      <c r="I119" s="36"/>
      <c r="J119" s="37"/>
      <c r="K119" s="37"/>
      <c r="L119" s="37"/>
      <c r="M119" s="37"/>
      <c r="N119" s="19" t="str">
        <f aca="false">IF($J119="","",YEAR($J119)-IF(MONTH($J119)&lt;マスタ!$B$4,1,0))</f>
        <v/>
      </c>
      <c r="O119" s="20" t="str">
        <f aca="false">IF($J119="","","Q"&amp;(INT(MOD(MONTH($J119)-マスタ!$B$4+12,12)/3)+1))</f>
        <v/>
      </c>
      <c r="P119" s="21" t="str">
        <f aca="true">IF($L119="","",IF($M119&lt;&gt;"",$M119-$L119,IF(TODAY()&gt;$L119,TODAY()-$L119,0)))</f>
        <v/>
      </c>
      <c r="Q119" s="38"/>
      <c r="R119" s="23" t="str">
        <f aca="false">IF($Q119="","",$Q119*N($F119))</f>
        <v/>
      </c>
      <c r="S119" s="38"/>
      <c r="T119" s="24" t="str">
        <f aca="false">IF($A119="","",SUMIFS(発注・納品!$H$3:$H$202,発注・納品!$B$3:$B$202,$A119))</f>
        <v/>
      </c>
      <c r="U119" s="23" t="str">
        <f aca="false">IF($Q119="","",N($S119)+N($T119))</f>
        <v/>
      </c>
      <c r="V119" s="23" t="str">
        <f aca="false">IF($Q119="","",$Q119-N($U119))</f>
        <v/>
      </c>
      <c r="W119" s="25" t="str">
        <f aca="false">IF(N($Q119)=0,"",$V119/$Q119)</f>
        <v/>
      </c>
      <c r="X119" s="26" t="str">
        <f aca="false">IF($A119="","",COUNTIFS(発注・納品!$B$3:$B$202,$A119))</f>
        <v/>
      </c>
      <c r="Y119" s="26" t="str">
        <f aca="false">IF($A119="","",COUNTIFS(発注・納品!$B$3:$B$202,$A119,発注・納品!$M$3:$M$202,""))</f>
        <v/>
      </c>
      <c r="Z119" s="27" t="str">
        <f aca="false">IF(N($X119)=0,"",IF(_xlfn.MAXIFS(発注・納品!$M$3:$M$202,発注・納品!$B$3:$B$202,$A119)=0,"",_xlfn.MAXIFS(発注・納品!$M$3:$M$202,発注・納品!$B$3:$B$202,$A119)))</f>
        <v/>
      </c>
      <c r="AA119" s="28" t="str">
        <f aca="false">IF($A119="","",IF(N($X119)=0,"機器なし",IF(N($Y119)&gt;0,"入荷待ち",IF(COUNTIFS(発注・納品!$B$3:$B$202,$A119,発注・納品!$N$3:$N$202,"")&gt;0,"受入待ち","受入完了"))))</f>
        <v/>
      </c>
      <c r="AB119" s="26" t="str">
        <f aca="false">IF($A119="","",COUNTIFS(現地作業!$A$3:$A$202,$A119,現地作業!$L$3:$L$202,"予定"))</f>
        <v/>
      </c>
      <c r="AC119" s="26" t="str">
        <f aca="false">IF($A119="","",COUNTIFS(現地作業!$A$3:$A$202,$A119,現地作業!$L$3:$L$202,"完了"))</f>
        <v/>
      </c>
      <c r="AD119" s="27" t="str">
        <f aca="true">IF(N($AB119)=0,"",IF(_xlfn.MINIFS(現地作業!$C$3:$C$202,現地作業!$A$3:$A$202,$A119,現地作業!$L$3:$L$202,"予定",現地作業!$C$3:$C$202,"&gt;="&amp;TODAY())=0,"",_xlfn.MINIFS(現地作業!$C$3:$C$202,現地作業!$A$3:$A$202,$A119,現地作業!$L$3:$L$202,"予定",現地作業!$C$3:$C$202,"&gt;="&amp;TODAY())))</f>
        <v/>
      </c>
      <c r="AE119" s="39"/>
      <c r="AF119" s="30" t="str">
        <f aca="false">IF($A119="","",SUM(月次工数計画!$G$124:$AD$124))</f>
        <v/>
      </c>
      <c r="AG119" s="30" t="str">
        <f aca="false">IF($A119="","",SUMIFS(工数明細!$G$3:$G$302,工数明細!$B$3:$B$302,$A119))</f>
        <v/>
      </c>
      <c r="AH119" s="31" t="str">
        <f aca="false">IF($AE119="","",$AE119-N($AG119))</f>
        <v/>
      </c>
      <c r="AI119" s="25" t="str">
        <f aca="false">IF(N($AE119)=0,"",$AG119/$AE119)</f>
        <v/>
      </c>
      <c r="AJ119" s="20" t="str">
        <f aca="false">IF(N($AE119)=0,"",IF($AG119&gt;$AE119,"超過",IF($AG119&gt;=$AE119*0.9,"注意","適正")))</f>
        <v/>
      </c>
      <c r="AK119" s="34"/>
    </row>
    <row r="120" customFormat="false" ht="18" hidden="false" customHeight="true" outlineLevel="0" collapsed="false">
      <c r="A120" s="33"/>
      <c r="B120" s="34"/>
      <c r="C120" s="34"/>
      <c r="D120" s="34"/>
      <c r="E120" s="34"/>
      <c r="F120" s="35"/>
      <c r="G120" s="34"/>
      <c r="H120" s="34"/>
      <c r="I120" s="36"/>
      <c r="J120" s="37"/>
      <c r="K120" s="37"/>
      <c r="L120" s="37"/>
      <c r="M120" s="37"/>
      <c r="N120" s="19" t="str">
        <f aca="false">IF($J120="","",YEAR($J120)-IF(MONTH($J120)&lt;マスタ!$B$4,1,0))</f>
        <v/>
      </c>
      <c r="O120" s="20" t="str">
        <f aca="false">IF($J120="","","Q"&amp;(INT(MOD(MONTH($J120)-マスタ!$B$4+12,12)/3)+1))</f>
        <v/>
      </c>
      <c r="P120" s="21" t="str">
        <f aca="true">IF($L120="","",IF($M120&lt;&gt;"",$M120-$L120,IF(TODAY()&gt;$L120,TODAY()-$L120,0)))</f>
        <v/>
      </c>
      <c r="Q120" s="38"/>
      <c r="R120" s="23" t="str">
        <f aca="false">IF($Q120="","",$Q120*N($F120))</f>
        <v/>
      </c>
      <c r="S120" s="38"/>
      <c r="T120" s="24" t="str">
        <f aca="false">IF($A120="","",SUMIFS(発注・納品!$H$3:$H$202,発注・納品!$B$3:$B$202,$A120))</f>
        <v/>
      </c>
      <c r="U120" s="23" t="str">
        <f aca="false">IF($Q120="","",N($S120)+N($T120))</f>
        <v/>
      </c>
      <c r="V120" s="23" t="str">
        <f aca="false">IF($Q120="","",$Q120-N($U120))</f>
        <v/>
      </c>
      <c r="W120" s="25" t="str">
        <f aca="false">IF(N($Q120)=0,"",$V120/$Q120)</f>
        <v/>
      </c>
      <c r="X120" s="26" t="str">
        <f aca="false">IF($A120="","",COUNTIFS(発注・納品!$B$3:$B$202,$A120))</f>
        <v/>
      </c>
      <c r="Y120" s="26" t="str">
        <f aca="false">IF($A120="","",COUNTIFS(発注・納品!$B$3:$B$202,$A120,発注・納品!$M$3:$M$202,""))</f>
        <v/>
      </c>
      <c r="Z120" s="27" t="str">
        <f aca="false">IF(N($X120)=0,"",IF(_xlfn.MAXIFS(発注・納品!$M$3:$M$202,発注・納品!$B$3:$B$202,$A120)=0,"",_xlfn.MAXIFS(発注・納品!$M$3:$M$202,発注・納品!$B$3:$B$202,$A120)))</f>
        <v/>
      </c>
      <c r="AA120" s="28" t="str">
        <f aca="false">IF($A120="","",IF(N($X120)=0,"機器なし",IF(N($Y120)&gt;0,"入荷待ち",IF(COUNTIFS(発注・納品!$B$3:$B$202,$A120,発注・納品!$N$3:$N$202,"")&gt;0,"受入待ち","受入完了"))))</f>
        <v/>
      </c>
      <c r="AB120" s="26" t="str">
        <f aca="false">IF($A120="","",COUNTIFS(現地作業!$A$3:$A$202,$A120,現地作業!$L$3:$L$202,"予定"))</f>
        <v/>
      </c>
      <c r="AC120" s="26" t="str">
        <f aca="false">IF($A120="","",COUNTIFS(現地作業!$A$3:$A$202,$A120,現地作業!$L$3:$L$202,"完了"))</f>
        <v/>
      </c>
      <c r="AD120" s="27" t="str">
        <f aca="true">IF(N($AB120)=0,"",IF(_xlfn.MINIFS(現地作業!$C$3:$C$202,現地作業!$A$3:$A$202,$A120,現地作業!$L$3:$L$202,"予定",現地作業!$C$3:$C$202,"&gt;="&amp;TODAY())=0,"",_xlfn.MINIFS(現地作業!$C$3:$C$202,現地作業!$A$3:$A$202,$A120,現地作業!$L$3:$L$202,"予定",現地作業!$C$3:$C$202,"&gt;="&amp;TODAY())))</f>
        <v/>
      </c>
      <c r="AE120" s="39"/>
      <c r="AF120" s="30" t="str">
        <f aca="false">IF($A120="","",SUM(月次工数計画!$G$125:$AD$125))</f>
        <v/>
      </c>
      <c r="AG120" s="30" t="str">
        <f aca="false">IF($A120="","",SUMIFS(工数明細!$G$3:$G$302,工数明細!$B$3:$B$302,$A120))</f>
        <v/>
      </c>
      <c r="AH120" s="31" t="str">
        <f aca="false">IF($AE120="","",$AE120-N($AG120))</f>
        <v/>
      </c>
      <c r="AI120" s="25" t="str">
        <f aca="false">IF(N($AE120)=0,"",$AG120/$AE120)</f>
        <v/>
      </c>
      <c r="AJ120" s="20" t="str">
        <f aca="false">IF(N($AE120)=0,"",IF($AG120&gt;$AE120,"超過",IF($AG120&gt;=$AE120*0.9,"注意","適正")))</f>
        <v/>
      </c>
      <c r="AK120" s="34"/>
    </row>
    <row r="121" customFormat="false" ht="18" hidden="false" customHeight="true" outlineLevel="0" collapsed="false">
      <c r="A121" s="33"/>
      <c r="B121" s="34"/>
      <c r="C121" s="34"/>
      <c r="D121" s="34"/>
      <c r="E121" s="34"/>
      <c r="F121" s="35"/>
      <c r="G121" s="34"/>
      <c r="H121" s="34"/>
      <c r="I121" s="36"/>
      <c r="J121" s="37"/>
      <c r="K121" s="37"/>
      <c r="L121" s="37"/>
      <c r="M121" s="37"/>
      <c r="N121" s="19" t="str">
        <f aca="false">IF($J121="","",YEAR($J121)-IF(MONTH($J121)&lt;マスタ!$B$4,1,0))</f>
        <v/>
      </c>
      <c r="O121" s="20" t="str">
        <f aca="false">IF($J121="","","Q"&amp;(INT(MOD(MONTH($J121)-マスタ!$B$4+12,12)/3)+1))</f>
        <v/>
      </c>
      <c r="P121" s="21" t="str">
        <f aca="true">IF($L121="","",IF($M121&lt;&gt;"",$M121-$L121,IF(TODAY()&gt;$L121,TODAY()-$L121,0)))</f>
        <v/>
      </c>
      <c r="Q121" s="38"/>
      <c r="R121" s="23" t="str">
        <f aca="false">IF($Q121="","",$Q121*N($F121))</f>
        <v/>
      </c>
      <c r="S121" s="38"/>
      <c r="T121" s="24" t="str">
        <f aca="false">IF($A121="","",SUMIFS(発注・納品!$H$3:$H$202,発注・納品!$B$3:$B$202,$A121))</f>
        <v/>
      </c>
      <c r="U121" s="23" t="str">
        <f aca="false">IF($Q121="","",N($S121)+N($T121))</f>
        <v/>
      </c>
      <c r="V121" s="23" t="str">
        <f aca="false">IF($Q121="","",$Q121-N($U121))</f>
        <v/>
      </c>
      <c r="W121" s="25" t="str">
        <f aca="false">IF(N($Q121)=0,"",$V121/$Q121)</f>
        <v/>
      </c>
      <c r="X121" s="26" t="str">
        <f aca="false">IF($A121="","",COUNTIFS(発注・納品!$B$3:$B$202,$A121))</f>
        <v/>
      </c>
      <c r="Y121" s="26" t="str">
        <f aca="false">IF($A121="","",COUNTIFS(発注・納品!$B$3:$B$202,$A121,発注・納品!$M$3:$M$202,""))</f>
        <v/>
      </c>
      <c r="Z121" s="27" t="str">
        <f aca="false">IF(N($X121)=0,"",IF(_xlfn.MAXIFS(発注・納品!$M$3:$M$202,発注・納品!$B$3:$B$202,$A121)=0,"",_xlfn.MAXIFS(発注・納品!$M$3:$M$202,発注・納品!$B$3:$B$202,$A121)))</f>
        <v/>
      </c>
      <c r="AA121" s="28" t="str">
        <f aca="false">IF($A121="","",IF(N($X121)=0,"機器なし",IF(N($Y121)&gt;0,"入荷待ち",IF(COUNTIFS(発注・納品!$B$3:$B$202,$A121,発注・納品!$N$3:$N$202,"")&gt;0,"受入待ち","受入完了"))))</f>
        <v/>
      </c>
      <c r="AB121" s="26" t="str">
        <f aca="false">IF($A121="","",COUNTIFS(現地作業!$A$3:$A$202,$A121,現地作業!$L$3:$L$202,"予定"))</f>
        <v/>
      </c>
      <c r="AC121" s="26" t="str">
        <f aca="false">IF($A121="","",COUNTIFS(現地作業!$A$3:$A$202,$A121,現地作業!$L$3:$L$202,"完了"))</f>
        <v/>
      </c>
      <c r="AD121" s="27" t="str">
        <f aca="true">IF(N($AB121)=0,"",IF(_xlfn.MINIFS(現地作業!$C$3:$C$202,現地作業!$A$3:$A$202,$A121,現地作業!$L$3:$L$202,"予定",現地作業!$C$3:$C$202,"&gt;="&amp;TODAY())=0,"",_xlfn.MINIFS(現地作業!$C$3:$C$202,現地作業!$A$3:$A$202,$A121,現地作業!$L$3:$L$202,"予定",現地作業!$C$3:$C$202,"&gt;="&amp;TODAY())))</f>
        <v/>
      </c>
      <c r="AE121" s="39"/>
      <c r="AF121" s="30" t="str">
        <f aca="false">IF($A121="","",SUM(月次工数計画!$G$126:$AD$126))</f>
        <v/>
      </c>
      <c r="AG121" s="30" t="str">
        <f aca="false">IF($A121="","",SUMIFS(工数明細!$G$3:$G$302,工数明細!$B$3:$B$302,$A121))</f>
        <v/>
      </c>
      <c r="AH121" s="31" t="str">
        <f aca="false">IF($AE121="","",$AE121-N($AG121))</f>
        <v/>
      </c>
      <c r="AI121" s="25" t="str">
        <f aca="false">IF(N($AE121)=0,"",$AG121/$AE121)</f>
        <v/>
      </c>
      <c r="AJ121" s="20" t="str">
        <f aca="false">IF(N($AE121)=0,"",IF($AG121&gt;$AE121,"超過",IF($AG121&gt;=$AE121*0.9,"注意","適正")))</f>
        <v/>
      </c>
      <c r="AK121" s="34"/>
    </row>
    <row r="122" customFormat="false" ht="18" hidden="false" customHeight="true" outlineLevel="0" collapsed="false">
      <c r="A122" s="33"/>
      <c r="B122" s="34"/>
      <c r="C122" s="34"/>
      <c r="D122" s="34"/>
      <c r="E122" s="34"/>
      <c r="F122" s="35"/>
      <c r="G122" s="34"/>
      <c r="H122" s="34"/>
      <c r="I122" s="36"/>
      <c r="J122" s="37"/>
      <c r="K122" s="37"/>
      <c r="L122" s="37"/>
      <c r="M122" s="37"/>
      <c r="N122" s="19" t="str">
        <f aca="false">IF($J122="","",YEAR($J122)-IF(MONTH($J122)&lt;マスタ!$B$4,1,0))</f>
        <v/>
      </c>
      <c r="O122" s="20" t="str">
        <f aca="false">IF($J122="","","Q"&amp;(INT(MOD(MONTH($J122)-マスタ!$B$4+12,12)/3)+1))</f>
        <v/>
      </c>
      <c r="P122" s="21" t="str">
        <f aca="true">IF($L122="","",IF($M122&lt;&gt;"",$M122-$L122,IF(TODAY()&gt;$L122,TODAY()-$L122,0)))</f>
        <v/>
      </c>
      <c r="Q122" s="38"/>
      <c r="R122" s="23" t="str">
        <f aca="false">IF($Q122="","",$Q122*N($F122))</f>
        <v/>
      </c>
      <c r="S122" s="38"/>
      <c r="T122" s="24" t="str">
        <f aca="false">IF($A122="","",SUMIFS(発注・納品!$H$3:$H$202,発注・納品!$B$3:$B$202,$A122))</f>
        <v/>
      </c>
      <c r="U122" s="23" t="str">
        <f aca="false">IF($Q122="","",N($S122)+N($T122))</f>
        <v/>
      </c>
      <c r="V122" s="23" t="str">
        <f aca="false">IF($Q122="","",$Q122-N($U122))</f>
        <v/>
      </c>
      <c r="W122" s="25" t="str">
        <f aca="false">IF(N($Q122)=0,"",$V122/$Q122)</f>
        <v/>
      </c>
      <c r="X122" s="26" t="str">
        <f aca="false">IF($A122="","",COUNTIFS(発注・納品!$B$3:$B$202,$A122))</f>
        <v/>
      </c>
      <c r="Y122" s="26" t="str">
        <f aca="false">IF($A122="","",COUNTIFS(発注・納品!$B$3:$B$202,$A122,発注・納品!$M$3:$M$202,""))</f>
        <v/>
      </c>
      <c r="Z122" s="27" t="str">
        <f aca="false">IF(N($X122)=0,"",IF(_xlfn.MAXIFS(発注・納品!$M$3:$M$202,発注・納品!$B$3:$B$202,$A122)=0,"",_xlfn.MAXIFS(発注・納品!$M$3:$M$202,発注・納品!$B$3:$B$202,$A122)))</f>
        <v/>
      </c>
      <c r="AA122" s="28" t="str">
        <f aca="false">IF($A122="","",IF(N($X122)=0,"機器なし",IF(N($Y122)&gt;0,"入荷待ち",IF(COUNTIFS(発注・納品!$B$3:$B$202,$A122,発注・納品!$N$3:$N$202,"")&gt;0,"受入待ち","受入完了"))))</f>
        <v/>
      </c>
      <c r="AB122" s="26" t="str">
        <f aca="false">IF($A122="","",COUNTIFS(現地作業!$A$3:$A$202,$A122,現地作業!$L$3:$L$202,"予定"))</f>
        <v/>
      </c>
      <c r="AC122" s="26" t="str">
        <f aca="false">IF($A122="","",COUNTIFS(現地作業!$A$3:$A$202,$A122,現地作業!$L$3:$L$202,"完了"))</f>
        <v/>
      </c>
      <c r="AD122" s="27" t="str">
        <f aca="true">IF(N($AB122)=0,"",IF(_xlfn.MINIFS(現地作業!$C$3:$C$202,現地作業!$A$3:$A$202,$A122,現地作業!$L$3:$L$202,"予定",現地作業!$C$3:$C$202,"&gt;="&amp;TODAY())=0,"",_xlfn.MINIFS(現地作業!$C$3:$C$202,現地作業!$A$3:$A$202,$A122,現地作業!$L$3:$L$202,"予定",現地作業!$C$3:$C$202,"&gt;="&amp;TODAY())))</f>
        <v/>
      </c>
      <c r="AE122" s="39"/>
      <c r="AF122" s="30" t="str">
        <f aca="false">IF($A122="","",SUM(月次工数計画!$G$127:$AD$127))</f>
        <v/>
      </c>
      <c r="AG122" s="30" t="str">
        <f aca="false">IF($A122="","",SUMIFS(工数明細!$G$3:$G$302,工数明細!$B$3:$B$302,$A122))</f>
        <v/>
      </c>
      <c r="AH122" s="31" t="str">
        <f aca="false">IF($AE122="","",$AE122-N($AG122))</f>
        <v/>
      </c>
      <c r="AI122" s="25" t="str">
        <f aca="false">IF(N($AE122)=0,"",$AG122/$AE122)</f>
        <v/>
      </c>
      <c r="AJ122" s="20" t="str">
        <f aca="false">IF(N($AE122)=0,"",IF($AG122&gt;$AE122,"超過",IF($AG122&gt;=$AE122*0.9,"注意","適正")))</f>
        <v/>
      </c>
      <c r="AK122" s="34"/>
    </row>
    <row r="123" customFormat="false" ht="18" hidden="false" customHeight="true" outlineLevel="0" collapsed="false">
      <c r="A123" s="33"/>
      <c r="B123" s="34"/>
      <c r="C123" s="34"/>
      <c r="D123" s="34"/>
      <c r="E123" s="34"/>
      <c r="F123" s="35"/>
      <c r="G123" s="34"/>
      <c r="H123" s="34"/>
      <c r="I123" s="36"/>
      <c r="J123" s="37"/>
      <c r="K123" s="37"/>
      <c r="L123" s="37"/>
      <c r="M123" s="37"/>
      <c r="N123" s="19" t="str">
        <f aca="false">IF($J123="","",YEAR($J123)-IF(MONTH($J123)&lt;マスタ!$B$4,1,0))</f>
        <v/>
      </c>
      <c r="O123" s="20" t="str">
        <f aca="false">IF($J123="","","Q"&amp;(INT(MOD(MONTH($J123)-マスタ!$B$4+12,12)/3)+1))</f>
        <v/>
      </c>
      <c r="P123" s="21" t="str">
        <f aca="true">IF($L123="","",IF($M123&lt;&gt;"",$M123-$L123,IF(TODAY()&gt;$L123,TODAY()-$L123,0)))</f>
        <v/>
      </c>
      <c r="Q123" s="38"/>
      <c r="R123" s="23" t="str">
        <f aca="false">IF($Q123="","",$Q123*N($F123))</f>
        <v/>
      </c>
      <c r="S123" s="38"/>
      <c r="T123" s="24" t="str">
        <f aca="false">IF($A123="","",SUMIFS(発注・納品!$H$3:$H$202,発注・納品!$B$3:$B$202,$A123))</f>
        <v/>
      </c>
      <c r="U123" s="23" t="str">
        <f aca="false">IF($Q123="","",N($S123)+N($T123))</f>
        <v/>
      </c>
      <c r="V123" s="23" t="str">
        <f aca="false">IF($Q123="","",$Q123-N($U123))</f>
        <v/>
      </c>
      <c r="W123" s="25" t="str">
        <f aca="false">IF(N($Q123)=0,"",$V123/$Q123)</f>
        <v/>
      </c>
      <c r="X123" s="26" t="str">
        <f aca="false">IF($A123="","",COUNTIFS(発注・納品!$B$3:$B$202,$A123))</f>
        <v/>
      </c>
      <c r="Y123" s="26" t="str">
        <f aca="false">IF($A123="","",COUNTIFS(発注・納品!$B$3:$B$202,$A123,発注・納品!$M$3:$M$202,""))</f>
        <v/>
      </c>
      <c r="Z123" s="27" t="str">
        <f aca="false">IF(N($X123)=0,"",IF(_xlfn.MAXIFS(発注・納品!$M$3:$M$202,発注・納品!$B$3:$B$202,$A123)=0,"",_xlfn.MAXIFS(発注・納品!$M$3:$M$202,発注・納品!$B$3:$B$202,$A123)))</f>
        <v/>
      </c>
      <c r="AA123" s="28" t="str">
        <f aca="false">IF($A123="","",IF(N($X123)=0,"機器なし",IF(N($Y123)&gt;0,"入荷待ち",IF(COUNTIFS(発注・納品!$B$3:$B$202,$A123,発注・納品!$N$3:$N$202,"")&gt;0,"受入待ち","受入完了"))))</f>
        <v/>
      </c>
      <c r="AB123" s="26" t="str">
        <f aca="false">IF($A123="","",COUNTIFS(現地作業!$A$3:$A$202,$A123,現地作業!$L$3:$L$202,"予定"))</f>
        <v/>
      </c>
      <c r="AC123" s="26" t="str">
        <f aca="false">IF($A123="","",COUNTIFS(現地作業!$A$3:$A$202,$A123,現地作業!$L$3:$L$202,"完了"))</f>
        <v/>
      </c>
      <c r="AD123" s="27" t="str">
        <f aca="true">IF(N($AB123)=0,"",IF(_xlfn.MINIFS(現地作業!$C$3:$C$202,現地作業!$A$3:$A$202,$A123,現地作業!$L$3:$L$202,"予定",現地作業!$C$3:$C$202,"&gt;="&amp;TODAY())=0,"",_xlfn.MINIFS(現地作業!$C$3:$C$202,現地作業!$A$3:$A$202,$A123,現地作業!$L$3:$L$202,"予定",現地作業!$C$3:$C$202,"&gt;="&amp;TODAY())))</f>
        <v/>
      </c>
      <c r="AE123" s="39"/>
      <c r="AF123" s="30" t="str">
        <f aca="false">IF($A123="","",SUM(月次工数計画!$G$128:$AD$128))</f>
        <v/>
      </c>
      <c r="AG123" s="30" t="str">
        <f aca="false">IF($A123="","",SUMIFS(工数明細!$G$3:$G$302,工数明細!$B$3:$B$302,$A123))</f>
        <v/>
      </c>
      <c r="AH123" s="31" t="str">
        <f aca="false">IF($AE123="","",$AE123-N($AG123))</f>
        <v/>
      </c>
      <c r="AI123" s="25" t="str">
        <f aca="false">IF(N($AE123)=0,"",$AG123/$AE123)</f>
        <v/>
      </c>
      <c r="AJ123" s="20" t="str">
        <f aca="false">IF(N($AE123)=0,"",IF($AG123&gt;$AE123,"超過",IF($AG123&gt;=$AE123*0.9,"注意","適正")))</f>
        <v/>
      </c>
      <c r="AK123" s="34"/>
    </row>
    <row r="124" customFormat="false" ht="18" hidden="false" customHeight="true" outlineLevel="0" collapsed="false">
      <c r="A124" s="33"/>
      <c r="B124" s="34"/>
      <c r="C124" s="34"/>
      <c r="D124" s="34"/>
      <c r="E124" s="34"/>
      <c r="F124" s="35"/>
      <c r="G124" s="34"/>
      <c r="H124" s="34"/>
      <c r="I124" s="36"/>
      <c r="J124" s="37"/>
      <c r="K124" s="37"/>
      <c r="L124" s="37"/>
      <c r="M124" s="37"/>
      <c r="N124" s="19" t="str">
        <f aca="false">IF($J124="","",YEAR($J124)-IF(MONTH($J124)&lt;マスタ!$B$4,1,0))</f>
        <v/>
      </c>
      <c r="O124" s="20" t="str">
        <f aca="false">IF($J124="","","Q"&amp;(INT(MOD(MONTH($J124)-マスタ!$B$4+12,12)/3)+1))</f>
        <v/>
      </c>
      <c r="P124" s="21" t="str">
        <f aca="true">IF($L124="","",IF($M124&lt;&gt;"",$M124-$L124,IF(TODAY()&gt;$L124,TODAY()-$L124,0)))</f>
        <v/>
      </c>
      <c r="Q124" s="38"/>
      <c r="R124" s="23" t="str">
        <f aca="false">IF($Q124="","",$Q124*N($F124))</f>
        <v/>
      </c>
      <c r="S124" s="38"/>
      <c r="T124" s="24" t="str">
        <f aca="false">IF($A124="","",SUMIFS(発注・納品!$H$3:$H$202,発注・納品!$B$3:$B$202,$A124))</f>
        <v/>
      </c>
      <c r="U124" s="23" t="str">
        <f aca="false">IF($Q124="","",N($S124)+N($T124))</f>
        <v/>
      </c>
      <c r="V124" s="23" t="str">
        <f aca="false">IF($Q124="","",$Q124-N($U124))</f>
        <v/>
      </c>
      <c r="W124" s="25" t="str">
        <f aca="false">IF(N($Q124)=0,"",$V124/$Q124)</f>
        <v/>
      </c>
      <c r="X124" s="26" t="str">
        <f aca="false">IF($A124="","",COUNTIFS(発注・納品!$B$3:$B$202,$A124))</f>
        <v/>
      </c>
      <c r="Y124" s="26" t="str">
        <f aca="false">IF($A124="","",COUNTIFS(発注・納品!$B$3:$B$202,$A124,発注・納品!$M$3:$M$202,""))</f>
        <v/>
      </c>
      <c r="Z124" s="27" t="str">
        <f aca="false">IF(N($X124)=0,"",IF(_xlfn.MAXIFS(発注・納品!$M$3:$M$202,発注・納品!$B$3:$B$202,$A124)=0,"",_xlfn.MAXIFS(発注・納品!$M$3:$M$202,発注・納品!$B$3:$B$202,$A124)))</f>
        <v/>
      </c>
      <c r="AA124" s="28" t="str">
        <f aca="false">IF($A124="","",IF(N($X124)=0,"機器なし",IF(N($Y124)&gt;0,"入荷待ち",IF(COUNTIFS(発注・納品!$B$3:$B$202,$A124,発注・納品!$N$3:$N$202,"")&gt;0,"受入待ち","受入完了"))))</f>
        <v/>
      </c>
      <c r="AB124" s="26" t="str">
        <f aca="false">IF($A124="","",COUNTIFS(現地作業!$A$3:$A$202,$A124,現地作業!$L$3:$L$202,"予定"))</f>
        <v/>
      </c>
      <c r="AC124" s="26" t="str">
        <f aca="false">IF($A124="","",COUNTIFS(現地作業!$A$3:$A$202,$A124,現地作業!$L$3:$L$202,"完了"))</f>
        <v/>
      </c>
      <c r="AD124" s="27" t="str">
        <f aca="true">IF(N($AB124)=0,"",IF(_xlfn.MINIFS(現地作業!$C$3:$C$202,現地作業!$A$3:$A$202,$A124,現地作業!$L$3:$L$202,"予定",現地作業!$C$3:$C$202,"&gt;="&amp;TODAY())=0,"",_xlfn.MINIFS(現地作業!$C$3:$C$202,現地作業!$A$3:$A$202,$A124,現地作業!$L$3:$L$202,"予定",現地作業!$C$3:$C$202,"&gt;="&amp;TODAY())))</f>
        <v/>
      </c>
      <c r="AE124" s="39"/>
      <c r="AF124" s="30" t="str">
        <f aca="false">IF($A124="","",SUM(月次工数計画!$G$129:$AD$129))</f>
        <v/>
      </c>
      <c r="AG124" s="30" t="str">
        <f aca="false">IF($A124="","",SUMIFS(工数明細!$G$3:$G$302,工数明細!$B$3:$B$302,$A124))</f>
        <v/>
      </c>
      <c r="AH124" s="31" t="str">
        <f aca="false">IF($AE124="","",$AE124-N($AG124))</f>
        <v/>
      </c>
      <c r="AI124" s="25" t="str">
        <f aca="false">IF(N($AE124)=0,"",$AG124/$AE124)</f>
        <v/>
      </c>
      <c r="AJ124" s="20" t="str">
        <f aca="false">IF(N($AE124)=0,"",IF($AG124&gt;$AE124,"超過",IF($AG124&gt;=$AE124*0.9,"注意","適正")))</f>
        <v/>
      </c>
      <c r="AK124" s="34"/>
    </row>
    <row r="125" customFormat="false" ht="18" hidden="false" customHeight="true" outlineLevel="0" collapsed="false">
      <c r="A125" s="33"/>
      <c r="B125" s="34"/>
      <c r="C125" s="34"/>
      <c r="D125" s="34"/>
      <c r="E125" s="34"/>
      <c r="F125" s="35"/>
      <c r="G125" s="34"/>
      <c r="H125" s="34"/>
      <c r="I125" s="36"/>
      <c r="J125" s="37"/>
      <c r="K125" s="37"/>
      <c r="L125" s="37"/>
      <c r="M125" s="37"/>
      <c r="N125" s="19" t="str">
        <f aca="false">IF($J125="","",YEAR($J125)-IF(MONTH($J125)&lt;マスタ!$B$4,1,0))</f>
        <v/>
      </c>
      <c r="O125" s="20" t="str">
        <f aca="false">IF($J125="","","Q"&amp;(INT(MOD(MONTH($J125)-マスタ!$B$4+12,12)/3)+1))</f>
        <v/>
      </c>
      <c r="P125" s="21" t="str">
        <f aca="true">IF($L125="","",IF($M125&lt;&gt;"",$M125-$L125,IF(TODAY()&gt;$L125,TODAY()-$L125,0)))</f>
        <v/>
      </c>
      <c r="Q125" s="38"/>
      <c r="R125" s="23" t="str">
        <f aca="false">IF($Q125="","",$Q125*N($F125))</f>
        <v/>
      </c>
      <c r="S125" s="38"/>
      <c r="T125" s="24" t="str">
        <f aca="false">IF($A125="","",SUMIFS(発注・納品!$H$3:$H$202,発注・納品!$B$3:$B$202,$A125))</f>
        <v/>
      </c>
      <c r="U125" s="23" t="str">
        <f aca="false">IF($Q125="","",N($S125)+N($T125))</f>
        <v/>
      </c>
      <c r="V125" s="23" t="str">
        <f aca="false">IF($Q125="","",$Q125-N($U125))</f>
        <v/>
      </c>
      <c r="W125" s="25" t="str">
        <f aca="false">IF(N($Q125)=0,"",$V125/$Q125)</f>
        <v/>
      </c>
      <c r="X125" s="26" t="str">
        <f aca="false">IF($A125="","",COUNTIFS(発注・納品!$B$3:$B$202,$A125))</f>
        <v/>
      </c>
      <c r="Y125" s="26" t="str">
        <f aca="false">IF($A125="","",COUNTIFS(発注・納品!$B$3:$B$202,$A125,発注・納品!$M$3:$M$202,""))</f>
        <v/>
      </c>
      <c r="Z125" s="27" t="str">
        <f aca="false">IF(N($X125)=0,"",IF(_xlfn.MAXIFS(発注・納品!$M$3:$M$202,発注・納品!$B$3:$B$202,$A125)=0,"",_xlfn.MAXIFS(発注・納品!$M$3:$M$202,発注・納品!$B$3:$B$202,$A125)))</f>
        <v/>
      </c>
      <c r="AA125" s="28" t="str">
        <f aca="false">IF($A125="","",IF(N($X125)=0,"機器なし",IF(N($Y125)&gt;0,"入荷待ち",IF(COUNTIFS(発注・納品!$B$3:$B$202,$A125,発注・納品!$N$3:$N$202,"")&gt;0,"受入待ち","受入完了"))))</f>
        <v/>
      </c>
      <c r="AB125" s="26" t="str">
        <f aca="false">IF($A125="","",COUNTIFS(現地作業!$A$3:$A$202,$A125,現地作業!$L$3:$L$202,"予定"))</f>
        <v/>
      </c>
      <c r="AC125" s="26" t="str">
        <f aca="false">IF($A125="","",COUNTIFS(現地作業!$A$3:$A$202,$A125,現地作業!$L$3:$L$202,"完了"))</f>
        <v/>
      </c>
      <c r="AD125" s="27" t="str">
        <f aca="true">IF(N($AB125)=0,"",IF(_xlfn.MINIFS(現地作業!$C$3:$C$202,現地作業!$A$3:$A$202,$A125,現地作業!$L$3:$L$202,"予定",現地作業!$C$3:$C$202,"&gt;="&amp;TODAY())=0,"",_xlfn.MINIFS(現地作業!$C$3:$C$202,現地作業!$A$3:$A$202,$A125,現地作業!$L$3:$L$202,"予定",現地作業!$C$3:$C$202,"&gt;="&amp;TODAY())))</f>
        <v/>
      </c>
      <c r="AE125" s="39"/>
      <c r="AF125" s="30" t="str">
        <f aca="false">IF($A125="","",SUM(月次工数計画!$G$130:$AD$130))</f>
        <v/>
      </c>
      <c r="AG125" s="30" t="str">
        <f aca="false">IF($A125="","",SUMIFS(工数明細!$G$3:$G$302,工数明細!$B$3:$B$302,$A125))</f>
        <v/>
      </c>
      <c r="AH125" s="31" t="str">
        <f aca="false">IF($AE125="","",$AE125-N($AG125))</f>
        <v/>
      </c>
      <c r="AI125" s="25" t="str">
        <f aca="false">IF(N($AE125)=0,"",$AG125/$AE125)</f>
        <v/>
      </c>
      <c r="AJ125" s="20" t="str">
        <f aca="false">IF(N($AE125)=0,"",IF($AG125&gt;$AE125,"超過",IF($AG125&gt;=$AE125*0.9,"注意","適正")))</f>
        <v/>
      </c>
      <c r="AK125" s="34"/>
    </row>
    <row r="126" customFormat="false" ht="18" hidden="false" customHeight="true" outlineLevel="0" collapsed="false">
      <c r="A126" s="33"/>
      <c r="B126" s="34"/>
      <c r="C126" s="34"/>
      <c r="D126" s="34"/>
      <c r="E126" s="34"/>
      <c r="F126" s="35"/>
      <c r="G126" s="34"/>
      <c r="H126" s="34"/>
      <c r="I126" s="36"/>
      <c r="J126" s="37"/>
      <c r="K126" s="37"/>
      <c r="L126" s="37"/>
      <c r="M126" s="37"/>
      <c r="N126" s="19" t="str">
        <f aca="false">IF($J126="","",YEAR($J126)-IF(MONTH($J126)&lt;マスタ!$B$4,1,0))</f>
        <v/>
      </c>
      <c r="O126" s="20" t="str">
        <f aca="false">IF($J126="","","Q"&amp;(INT(MOD(MONTH($J126)-マスタ!$B$4+12,12)/3)+1))</f>
        <v/>
      </c>
      <c r="P126" s="21" t="str">
        <f aca="true">IF($L126="","",IF($M126&lt;&gt;"",$M126-$L126,IF(TODAY()&gt;$L126,TODAY()-$L126,0)))</f>
        <v/>
      </c>
      <c r="Q126" s="38"/>
      <c r="R126" s="23" t="str">
        <f aca="false">IF($Q126="","",$Q126*N($F126))</f>
        <v/>
      </c>
      <c r="S126" s="38"/>
      <c r="T126" s="24" t="str">
        <f aca="false">IF($A126="","",SUMIFS(発注・納品!$H$3:$H$202,発注・納品!$B$3:$B$202,$A126))</f>
        <v/>
      </c>
      <c r="U126" s="23" t="str">
        <f aca="false">IF($Q126="","",N($S126)+N($T126))</f>
        <v/>
      </c>
      <c r="V126" s="23" t="str">
        <f aca="false">IF($Q126="","",$Q126-N($U126))</f>
        <v/>
      </c>
      <c r="W126" s="25" t="str">
        <f aca="false">IF(N($Q126)=0,"",$V126/$Q126)</f>
        <v/>
      </c>
      <c r="X126" s="26" t="str">
        <f aca="false">IF($A126="","",COUNTIFS(発注・納品!$B$3:$B$202,$A126))</f>
        <v/>
      </c>
      <c r="Y126" s="26" t="str">
        <f aca="false">IF($A126="","",COUNTIFS(発注・納品!$B$3:$B$202,$A126,発注・納品!$M$3:$M$202,""))</f>
        <v/>
      </c>
      <c r="Z126" s="27" t="str">
        <f aca="false">IF(N($X126)=0,"",IF(_xlfn.MAXIFS(発注・納品!$M$3:$M$202,発注・納品!$B$3:$B$202,$A126)=0,"",_xlfn.MAXIFS(発注・納品!$M$3:$M$202,発注・納品!$B$3:$B$202,$A126)))</f>
        <v/>
      </c>
      <c r="AA126" s="28" t="str">
        <f aca="false">IF($A126="","",IF(N($X126)=0,"機器なし",IF(N($Y126)&gt;0,"入荷待ち",IF(COUNTIFS(発注・納品!$B$3:$B$202,$A126,発注・納品!$N$3:$N$202,"")&gt;0,"受入待ち","受入完了"))))</f>
        <v/>
      </c>
      <c r="AB126" s="26" t="str">
        <f aca="false">IF($A126="","",COUNTIFS(現地作業!$A$3:$A$202,$A126,現地作業!$L$3:$L$202,"予定"))</f>
        <v/>
      </c>
      <c r="AC126" s="26" t="str">
        <f aca="false">IF($A126="","",COUNTIFS(現地作業!$A$3:$A$202,$A126,現地作業!$L$3:$L$202,"完了"))</f>
        <v/>
      </c>
      <c r="AD126" s="27" t="str">
        <f aca="true">IF(N($AB126)=0,"",IF(_xlfn.MINIFS(現地作業!$C$3:$C$202,現地作業!$A$3:$A$202,$A126,現地作業!$L$3:$L$202,"予定",現地作業!$C$3:$C$202,"&gt;="&amp;TODAY())=0,"",_xlfn.MINIFS(現地作業!$C$3:$C$202,現地作業!$A$3:$A$202,$A126,現地作業!$L$3:$L$202,"予定",現地作業!$C$3:$C$202,"&gt;="&amp;TODAY())))</f>
        <v/>
      </c>
      <c r="AE126" s="39"/>
      <c r="AF126" s="30" t="str">
        <f aca="false">IF($A126="","",SUM(月次工数計画!$G$131:$AD$131))</f>
        <v/>
      </c>
      <c r="AG126" s="30" t="str">
        <f aca="false">IF($A126="","",SUMIFS(工数明細!$G$3:$G$302,工数明細!$B$3:$B$302,$A126))</f>
        <v/>
      </c>
      <c r="AH126" s="31" t="str">
        <f aca="false">IF($AE126="","",$AE126-N($AG126))</f>
        <v/>
      </c>
      <c r="AI126" s="25" t="str">
        <f aca="false">IF(N($AE126)=0,"",$AG126/$AE126)</f>
        <v/>
      </c>
      <c r="AJ126" s="20" t="str">
        <f aca="false">IF(N($AE126)=0,"",IF($AG126&gt;$AE126,"超過",IF($AG126&gt;=$AE126*0.9,"注意","適正")))</f>
        <v/>
      </c>
      <c r="AK126" s="34"/>
    </row>
    <row r="127" customFormat="false" ht="18" hidden="false" customHeight="true" outlineLevel="0" collapsed="false">
      <c r="A127" s="33"/>
      <c r="B127" s="34"/>
      <c r="C127" s="34"/>
      <c r="D127" s="34"/>
      <c r="E127" s="34"/>
      <c r="F127" s="35"/>
      <c r="G127" s="34"/>
      <c r="H127" s="34"/>
      <c r="I127" s="36"/>
      <c r="J127" s="37"/>
      <c r="K127" s="37"/>
      <c r="L127" s="37"/>
      <c r="M127" s="37"/>
      <c r="N127" s="19" t="str">
        <f aca="false">IF($J127="","",YEAR($J127)-IF(MONTH($J127)&lt;マスタ!$B$4,1,0))</f>
        <v/>
      </c>
      <c r="O127" s="20" t="str">
        <f aca="false">IF($J127="","","Q"&amp;(INT(MOD(MONTH($J127)-マスタ!$B$4+12,12)/3)+1))</f>
        <v/>
      </c>
      <c r="P127" s="21" t="str">
        <f aca="true">IF($L127="","",IF($M127&lt;&gt;"",$M127-$L127,IF(TODAY()&gt;$L127,TODAY()-$L127,0)))</f>
        <v/>
      </c>
      <c r="Q127" s="38"/>
      <c r="R127" s="23" t="str">
        <f aca="false">IF($Q127="","",$Q127*N($F127))</f>
        <v/>
      </c>
      <c r="S127" s="38"/>
      <c r="T127" s="24" t="str">
        <f aca="false">IF($A127="","",SUMIFS(発注・納品!$H$3:$H$202,発注・納品!$B$3:$B$202,$A127))</f>
        <v/>
      </c>
      <c r="U127" s="23" t="str">
        <f aca="false">IF($Q127="","",N($S127)+N($T127))</f>
        <v/>
      </c>
      <c r="V127" s="23" t="str">
        <f aca="false">IF($Q127="","",$Q127-N($U127))</f>
        <v/>
      </c>
      <c r="W127" s="25" t="str">
        <f aca="false">IF(N($Q127)=0,"",$V127/$Q127)</f>
        <v/>
      </c>
      <c r="X127" s="26" t="str">
        <f aca="false">IF($A127="","",COUNTIFS(発注・納品!$B$3:$B$202,$A127))</f>
        <v/>
      </c>
      <c r="Y127" s="26" t="str">
        <f aca="false">IF($A127="","",COUNTIFS(発注・納品!$B$3:$B$202,$A127,発注・納品!$M$3:$M$202,""))</f>
        <v/>
      </c>
      <c r="Z127" s="27" t="str">
        <f aca="false">IF(N($X127)=0,"",IF(_xlfn.MAXIFS(発注・納品!$M$3:$M$202,発注・納品!$B$3:$B$202,$A127)=0,"",_xlfn.MAXIFS(発注・納品!$M$3:$M$202,発注・納品!$B$3:$B$202,$A127)))</f>
        <v/>
      </c>
      <c r="AA127" s="28" t="str">
        <f aca="false">IF($A127="","",IF(N($X127)=0,"機器なし",IF(N($Y127)&gt;0,"入荷待ち",IF(COUNTIFS(発注・納品!$B$3:$B$202,$A127,発注・納品!$N$3:$N$202,"")&gt;0,"受入待ち","受入完了"))))</f>
        <v/>
      </c>
      <c r="AB127" s="26" t="str">
        <f aca="false">IF($A127="","",COUNTIFS(現地作業!$A$3:$A$202,$A127,現地作業!$L$3:$L$202,"予定"))</f>
        <v/>
      </c>
      <c r="AC127" s="26" t="str">
        <f aca="false">IF($A127="","",COUNTIFS(現地作業!$A$3:$A$202,$A127,現地作業!$L$3:$L$202,"完了"))</f>
        <v/>
      </c>
      <c r="AD127" s="27" t="str">
        <f aca="true">IF(N($AB127)=0,"",IF(_xlfn.MINIFS(現地作業!$C$3:$C$202,現地作業!$A$3:$A$202,$A127,現地作業!$L$3:$L$202,"予定",現地作業!$C$3:$C$202,"&gt;="&amp;TODAY())=0,"",_xlfn.MINIFS(現地作業!$C$3:$C$202,現地作業!$A$3:$A$202,$A127,現地作業!$L$3:$L$202,"予定",現地作業!$C$3:$C$202,"&gt;="&amp;TODAY())))</f>
        <v/>
      </c>
      <c r="AE127" s="39"/>
      <c r="AF127" s="30" t="str">
        <f aca="false">IF($A127="","",SUM(月次工数計画!$G$132:$AD$132))</f>
        <v/>
      </c>
      <c r="AG127" s="30" t="str">
        <f aca="false">IF($A127="","",SUMIFS(工数明細!$G$3:$G$302,工数明細!$B$3:$B$302,$A127))</f>
        <v/>
      </c>
      <c r="AH127" s="31" t="str">
        <f aca="false">IF($AE127="","",$AE127-N($AG127))</f>
        <v/>
      </c>
      <c r="AI127" s="25" t="str">
        <f aca="false">IF(N($AE127)=0,"",$AG127/$AE127)</f>
        <v/>
      </c>
      <c r="AJ127" s="20" t="str">
        <f aca="false">IF(N($AE127)=0,"",IF($AG127&gt;$AE127,"超過",IF($AG127&gt;=$AE127*0.9,"注意","適正")))</f>
        <v/>
      </c>
      <c r="AK127" s="34"/>
    </row>
    <row r="128" customFormat="false" ht="18" hidden="false" customHeight="true" outlineLevel="0" collapsed="false">
      <c r="A128" s="33"/>
      <c r="B128" s="34"/>
      <c r="C128" s="34"/>
      <c r="D128" s="34"/>
      <c r="E128" s="34"/>
      <c r="F128" s="35"/>
      <c r="G128" s="34"/>
      <c r="H128" s="34"/>
      <c r="I128" s="36"/>
      <c r="J128" s="37"/>
      <c r="K128" s="37"/>
      <c r="L128" s="37"/>
      <c r="M128" s="37"/>
      <c r="N128" s="19" t="str">
        <f aca="false">IF($J128="","",YEAR($J128)-IF(MONTH($J128)&lt;マスタ!$B$4,1,0))</f>
        <v/>
      </c>
      <c r="O128" s="20" t="str">
        <f aca="false">IF($J128="","","Q"&amp;(INT(MOD(MONTH($J128)-マスタ!$B$4+12,12)/3)+1))</f>
        <v/>
      </c>
      <c r="P128" s="21" t="str">
        <f aca="true">IF($L128="","",IF($M128&lt;&gt;"",$M128-$L128,IF(TODAY()&gt;$L128,TODAY()-$L128,0)))</f>
        <v/>
      </c>
      <c r="Q128" s="38"/>
      <c r="R128" s="23" t="str">
        <f aca="false">IF($Q128="","",$Q128*N($F128))</f>
        <v/>
      </c>
      <c r="S128" s="38"/>
      <c r="T128" s="24" t="str">
        <f aca="false">IF($A128="","",SUMIFS(発注・納品!$H$3:$H$202,発注・納品!$B$3:$B$202,$A128))</f>
        <v/>
      </c>
      <c r="U128" s="23" t="str">
        <f aca="false">IF($Q128="","",N($S128)+N($T128))</f>
        <v/>
      </c>
      <c r="V128" s="23" t="str">
        <f aca="false">IF($Q128="","",$Q128-N($U128))</f>
        <v/>
      </c>
      <c r="W128" s="25" t="str">
        <f aca="false">IF(N($Q128)=0,"",$V128/$Q128)</f>
        <v/>
      </c>
      <c r="X128" s="26" t="str">
        <f aca="false">IF($A128="","",COUNTIFS(発注・納品!$B$3:$B$202,$A128))</f>
        <v/>
      </c>
      <c r="Y128" s="26" t="str">
        <f aca="false">IF($A128="","",COUNTIFS(発注・納品!$B$3:$B$202,$A128,発注・納品!$M$3:$M$202,""))</f>
        <v/>
      </c>
      <c r="Z128" s="27" t="str">
        <f aca="false">IF(N($X128)=0,"",IF(_xlfn.MAXIFS(発注・納品!$M$3:$M$202,発注・納品!$B$3:$B$202,$A128)=0,"",_xlfn.MAXIFS(発注・納品!$M$3:$M$202,発注・納品!$B$3:$B$202,$A128)))</f>
        <v/>
      </c>
      <c r="AA128" s="28" t="str">
        <f aca="false">IF($A128="","",IF(N($X128)=0,"機器なし",IF(N($Y128)&gt;0,"入荷待ち",IF(COUNTIFS(発注・納品!$B$3:$B$202,$A128,発注・納品!$N$3:$N$202,"")&gt;0,"受入待ち","受入完了"))))</f>
        <v/>
      </c>
      <c r="AB128" s="26" t="str">
        <f aca="false">IF($A128="","",COUNTIFS(現地作業!$A$3:$A$202,$A128,現地作業!$L$3:$L$202,"予定"))</f>
        <v/>
      </c>
      <c r="AC128" s="26" t="str">
        <f aca="false">IF($A128="","",COUNTIFS(現地作業!$A$3:$A$202,$A128,現地作業!$L$3:$L$202,"完了"))</f>
        <v/>
      </c>
      <c r="AD128" s="27" t="str">
        <f aca="true">IF(N($AB128)=0,"",IF(_xlfn.MINIFS(現地作業!$C$3:$C$202,現地作業!$A$3:$A$202,$A128,現地作業!$L$3:$L$202,"予定",現地作業!$C$3:$C$202,"&gt;="&amp;TODAY())=0,"",_xlfn.MINIFS(現地作業!$C$3:$C$202,現地作業!$A$3:$A$202,$A128,現地作業!$L$3:$L$202,"予定",現地作業!$C$3:$C$202,"&gt;="&amp;TODAY())))</f>
        <v/>
      </c>
      <c r="AE128" s="39"/>
      <c r="AF128" s="30" t="str">
        <f aca="false">IF($A128="","",SUM(月次工数計画!$G$133:$AD$133))</f>
        <v/>
      </c>
      <c r="AG128" s="30" t="str">
        <f aca="false">IF($A128="","",SUMIFS(工数明細!$G$3:$G$302,工数明細!$B$3:$B$302,$A128))</f>
        <v/>
      </c>
      <c r="AH128" s="31" t="str">
        <f aca="false">IF($AE128="","",$AE128-N($AG128))</f>
        <v/>
      </c>
      <c r="AI128" s="25" t="str">
        <f aca="false">IF(N($AE128)=0,"",$AG128/$AE128)</f>
        <v/>
      </c>
      <c r="AJ128" s="20" t="str">
        <f aca="false">IF(N($AE128)=0,"",IF($AG128&gt;$AE128,"超過",IF($AG128&gt;=$AE128*0.9,"注意","適正")))</f>
        <v/>
      </c>
      <c r="AK128" s="34"/>
    </row>
    <row r="129" customFormat="false" ht="18" hidden="false" customHeight="true" outlineLevel="0" collapsed="false">
      <c r="A129" s="33"/>
      <c r="B129" s="34"/>
      <c r="C129" s="34"/>
      <c r="D129" s="34"/>
      <c r="E129" s="34"/>
      <c r="F129" s="35"/>
      <c r="G129" s="34"/>
      <c r="H129" s="34"/>
      <c r="I129" s="36"/>
      <c r="J129" s="37"/>
      <c r="K129" s="37"/>
      <c r="L129" s="37"/>
      <c r="M129" s="37"/>
      <c r="N129" s="19" t="str">
        <f aca="false">IF($J129="","",YEAR($J129)-IF(MONTH($J129)&lt;マスタ!$B$4,1,0))</f>
        <v/>
      </c>
      <c r="O129" s="20" t="str">
        <f aca="false">IF($J129="","","Q"&amp;(INT(MOD(MONTH($J129)-マスタ!$B$4+12,12)/3)+1))</f>
        <v/>
      </c>
      <c r="P129" s="21" t="str">
        <f aca="true">IF($L129="","",IF($M129&lt;&gt;"",$M129-$L129,IF(TODAY()&gt;$L129,TODAY()-$L129,0)))</f>
        <v/>
      </c>
      <c r="Q129" s="38"/>
      <c r="R129" s="23" t="str">
        <f aca="false">IF($Q129="","",$Q129*N($F129))</f>
        <v/>
      </c>
      <c r="S129" s="38"/>
      <c r="T129" s="24" t="str">
        <f aca="false">IF($A129="","",SUMIFS(発注・納品!$H$3:$H$202,発注・納品!$B$3:$B$202,$A129))</f>
        <v/>
      </c>
      <c r="U129" s="23" t="str">
        <f aca="false">IF($Q129="","",N($S129)+N($T129))</f>
        <v/>
      </c>
      <c r="V129" s="23" t="str">
        <f aca="false">IF($Q129="","",$Q129-N($U129))</f>
        <v/>
      </c>
      <c r="W129" s="25" t="str">
        <f aca="false">IF(N($Q129)=0,"",$V129/$Q129)</f>
        <v/>
      </c>
      <c r="X129" s="26" t="str">
        <f aca="false">IF($A129="","",COUNTIFS(発注・納品!$B$3:$B$202,$A129))</f>
        <v/>
      </c>
      <c r="Y129" s="26" t="str">
        <f aca="false">IF($A129="","",COUNTIFS(発注・納品!$B$3:$B$202,$A129,発注・納品!$M$3:$M$202,""))</f>
        <v/>
      </c>
      <c r="Z129" s="27" t="str">
        <f aca="false">IF(N($X129)=0,"",IF(_xlfn.MAXIFS(発注・納品!$M$3:$M$202,発注・納品!$B$3:$B$202,$A129)=0,"",_xlfn.MAXIFS(発注・納品!$M$3:$M$202,発注・納品!$B$3:$B$202,$A129)))</f>
        <v/>
      </c>
      <c r="AA129" s="28" t="str">
        <f aca="false">IF($A129="","",IF(N($X129)=0,"機器なし",IF(N($Y129)&gt;0,"入荷待ち",IF(COUNTIFS(発注・納品!$B$3:$B$202,$A129,発注・納品!$N$3:$N$202,"")&gt;0,"受入待ち","受入完了"))))</f>
        <v/>
      </c>
      <c r="AB129" s="26" t="str">
        <f aca="false">IF($A129="","",COUNTIFS(現地作業!$A$3:$A$202,$A129,現地作業!$L$3:$L$202,"予定"))</f>
        <v/>
      </c>
      <c r="AC129" s="26" t="str">
        <f aca="false">IF($A129="","",COUNTIFS(現地作業!$A$3:$A$202,$A129,現地作業!$L$3:$L$202,"完了"))</f>
        <v/>
      </c>
      <c r="AD129" s="27" t="str">
        <f aca="true">IF(N($AB129)=0,"",IF(_xlfn.MINIFS(現地作業!$C$3:$C$202,現地作業!$A$3:$A$202,$A129,現地作業!$L$3:$L$202,"予定",現地作業!$C$3:$C$202,"&gt;="&amp;TODAY())=0,"",_xlfn.MINIFS(現地作業!$C$3:$C$202,現地作業!$A$3:$A$202,$A129,現地作業!$L$3:$L$202,"予定",現地作業!$C$3:$C$202,"&gt;="&amp;TODAY())))</f>
        <v/>
      </c>
      <c r="AE129" s="39"/>
      <c r="AF129" s="30" t="str">
        <f aca="false">IF($A129="","",SUM(月次工数計画!$G$134:$AD$134))</f>
        <v/>
      </c>
      <c r="AG129" s="30" t="str">
        <f aca="false">IF($A129="","",SUMIFS(工数明細!$G$3:$G$302,工数明細!$B$3:$B$302,$A129))</f>
        <v/>
      </c>
      <c r="AH129" s="31" t="str">
        <f aca="false">IF($AE129="","",$AE129-N($AG129))</f>
        <v/>
      </c>
      <c r="AI129" s="25" t="str">
        <f aca="false">IF(N($AE129)=0,"",$AG129/$AE129)</f>
        <v/>
      </c>
      <c r="AJ129" s="20" t="str">
        <f aca="false">IF(N($AE129)=0,"",IF($AG129&gt;$AE129,"超過",IF($AG129&gt;=$AE129*0.9,"注意","適正")))</f>
        <v/>
      </c>
      <c r="AK129" s="34"/>
    </row>
    <row r="130" customFormat="false" ht="18" hidden="false" customHeight="true" outlineLevel="0" collapsed="false">
      <c r="A130" s="33"/>
      <c r="B130" s="34"/>
      <c r="C130" s="34"/>
      <c r="D130" s="34"/>
      <c r="E130" s="34"/>
      <c r="F130" s="35"/>
      <c r="G130" s="34"/>
      <c r="H130" s="34"/>
      <c r="I130" s="36"/>
      <c r="J130" s="37"/>
      <c r="K130" s="37"/>
      <c r="L130" s="37"/>
      <c r="M130" s="37"/>
      <c r="N130" s="19" t="str">
        <f aca="false">IF($J130="","",YEAR($J130)-IF(MONTH($J130)&lt;マスタ!$B$4,1,0))</f>
        <v/>
      </c>
      <c r="O130" s="20" t="str">
        <f aca="false">IF($J130="","","Q"&amp;(INT(MOD(MONTH($J130)-マスタ!$B$4+12,12)/3)+1))</f>
        <v/>
      </c>
      <c r="P130" s="21" t="str">
        <f aca="true">IF($L130="","",IF($M130&lt;&gt;"",$M130-$L130,IF(TODAY()&gt;$L130,TODAY()-$L130,0)))</f>
        <v/>
      </c>
      <c r="Q130" s="38"/>
      <c r="R130" s="23" t="str">
        <f aca="false">IF($Q130="","",$Q130*N($F130))</f>
        <v/>
      </c>
      <c r="S130" s="38"/>
      <c r="T130" s="24" t="str">
        <f aca="false">IF($A130="","",SUMIFS(発注・納品!$H$3:$H$202,発注・納品!$B$3:$B$202,$A130))</f>
        <v/>
      </c>
      <c r="U130" s="23" t="str">
        <f aca="false">IF($Q130="","",N($S130)+N($T130))</f>
        <v/>
      </c>
      <c r="V130" s="23" t="str">
        <f aca="false">IF($Q130="","",$Q130-N($U130))</f>
        <v/>
      </c>
      <c r="W130" s="25" t="str">
        <f aca="false">IF(N($Q130)=0,"",$V130/$Q130)</f>
        <v/>
      </c>
      <c r="X130" s="26" t="str">
        <f aca="false">IF($A130="","",COUNTIFS(発注・納品!$B$3:$B$202,$A130))</f>
        <v/>
      </c>
      <c r="Y130" s="26" t="str">
        <f aca="false">IF($A130="","",COUNTIFS(発注・納品!$B$3:$B$202,$A130,発注・納品!$M$3:$M$202,""))</f>
        <v/>
      </c>
      <c r="Z130" s="27" t="str">
        <f aca="false">IF(N($X130)=0,"",IF(_xlfn.MAXIFS(発注・納品!$M$3:$M$202,発注・納品!$B$3:$B$202,$A130)=0,"",_xlfn.MAXIFS(発注・納品!$M$3:$M$202,発注・納品!$B$3:$B$202,$A130)))</f>
        <v/>
      </c>
      <c r="AA130" s="28" t="str">
        <f aca="false">IF($A130="","",IF(N($X130)=0,"機器なし",IF(N($Y130)&gt;0,"入荷待ち",IF(COUNTIFS(発注・納品!$B$3:$B$202,$A130,発注・納品!$N$3:$N$202,"")&gt;0,"受入待ち","受入完了"))))</f>
        <v/>
      </c>
      <c r="AB130" s="26" t="str">
        <f aca="false">IF($A130="","",COUNTIFS(現地作業!$A$3:$A$202,$A130,現地作業!$L$3:$L$202,"予定"))</f>
        <v/>
      </c>
      <c r="AC130" s="26" t="str">
        <f aca="false">IF($A130="","",COUNTIFS(現地作業!$A$3:$A$202,$A130,現地作業!$L$3:$L$202,"完了"))</f>
        <v/>
      </c>
      <c r="AD130" s="27" t="str">
        <f aca="true">IF(N($AB130)=0,"",IF(_xlfn.MINIFS(現地作業!$C$3:$C$202,現地作業!$A$3:$A$202,$A130,現地作業!$L$3:$L$202,"予定",現地作業!$C$3:$C$202,"&gt;="&amp;TODAY())=0,"",_xlfn.MINIFS(現地作業!$C$3:$C$202,現地作業!$A$3:$A$202,$A130,現地作業!$L$3:$L$202,"予定",現地作業!$C$3:$C$202,"&gt;="&amp;TODAY())))</f>
        <v/>
      </c>
      <c r="AE130" s="39"/>
      <c r="AF130" s="30" t="str">
        <f aca="false">IF($A130="","",SUM(月次工数計画!$G$135:$AD$135))</f>
        <v/>
      </c>
      <c r="AG130" s="30" t="str">
        <f aca="false">IF($A130="","",SUMIFS(工数明細!$G$3:$G$302,工数明細!$B$3:$B$302,$A130))</f>
        <v/>
      </c>
      <c r="AH130" s="31" t="str">
        <f aca="false">IF($AE130="","",$AE130-N($AG130))</f>
        <v/>
      </c>
      <c r="AI130" s="25" t="str">
        <f aca="false">IF(N($AE130)=0,"",$AG130/$AE130)</f>
        <v/>
      </c>
      <c r="AJ130" s="20" t="str">
        <f aca="false">IF(N($AE130)=0,"",IF($AG130&gt;$AE130,"超過",IF($AG130&gt;=$AE130*0.9,"注意","適正")))</f>
        <v/>
      </c>
      <c r="AK130" s="34"/>
    </row>
    <row r="131" customFormat="false" ht="18" hidden="false" customHeight="true" outlineLevel="0" collapsed="false">
      <c r="A131" s="33"/>
      <c r="B131" s="34"/>
      <c r="C131" s="34"/>
      <c r="D131" s="34"/>
      <c r="E131" s="34"/>
      <c r="F131" s="35"/>
      <c r="G131" s="34"/>
      <c r="H131" s="34"/>
      <c r="I131" s="36"/>
      <c r="J131" s="37"/>
      <c r="K131" s="37"/>
      <c r="L131" s="37"/>
      <c r="M131" s="37"/>
      <c r="N131" s="19" t="str">
        <f aca="false">IF($J131="","",YEAR($J131)-IF(MONTH($J131)&lt;マスタ!$B$4,1,0))</f>
        <v/>
      </c>
      <c r="O131" s="20" t="str">
        <f aca="false">IF($J131="","","Q"&amp;(INT(MOD(MONTH($J131)-マスタ!$B$4+12,12)/3)+1))</f>
        <v/>
      </c>
      <c r="P131" s="21" t="str">
        <f aca="true">IF($L131="","",IF($M131&lt;&gt;"",$M131-$L131,IF(TODAY()&gt;$L131,TODAY()-$L131,0)))</f>
        <v/>
      </c>
      <c r="Q131" s="38"/>
      <c r="R131" s="23" t="str">
        <f aca="false">IF($Q131="","",$Q131*N($F131))</f>
        <v/>
      </c>
      <c r="S131" s="38"/>
      <c r="T131" s="24" t="str">
        <f aca="false">IF($A131="","",SUMIFS(発注・納品!$H$3:$H$202,発注・納品!$B$3:$B$202,$A131))</f>
        <v/>
      </c>
      <c r="U131" s="23" t="str">
        <f aca="false">IF($Q131="","",N($S131)+N($T131))</f>
        <v/>
      </c>
      <c r="V131" s="23" t="str">
        <f aca="false">IF($Q131="","",$Q131-N($U131))</f>
        <v/>
      </c>
      <c r="W131" s="25" t="str">
        <f aca="false">IF(N($Q131)=0,"",$V131/$Q131)</f>
        <v/>
      </c>
      <c r="X131" s="26" t="str">
        <f aca="false">IF($A131="","",COUNTIFS(発注・納品!$B$3:$B$202,$A131))</f>
        <v/>
      </c>
      <c r="Y131" s="26" t="str">
        <f aca="false">IF($A131="","",COUNTIFS(発注・納品!$B$3:$B$202,$A131,発注・納品!$M$3:$M$202,""))</f>
        <v/>
      </c>
      <c r="Z131" s="27" t="str">
        <f aca="false">IF(N($X131)=0,"",IF(_xlfn.MAXIFS(発注・納品!$M$3:$M$202,発注・納品!$B$3:$B$202,$A131)=0,"",_xlfn.MAXIFS(発注・納品!$M$3:$M$202,発注・納品!$B$3:$B$202,$A131)))</f>
        <v/>
      </c>
      <c r="AA131" s="28" t="str">
        <f aca="false">IF($A131="","",IF(N($X131)=0,"機器なし",IF(N($Y131)&gt;0,"入荷待ち",IF(COUNTIFS(発注・納品!$B$3:$B$202,$A131,発注・納品!$N$3:$N$202,"")&gt;0,"受入待ち","受入完了"))))</f>
        <v/>
      </c>
      <c r="AB131" s="26" t="str">
        <f aca="false">IF($A131="","",COUNTIFS(現地作業!$A$3:$A$202,$A131,現地作業!$L$3:$L$202,"予定"))</f>
        <v/>
      </c>
      <c r="AC131" s="26" t="str">
        <f aca="false">IF($A131="","",COUNTIFS(現地作業!$A$3:$A$202,$A131,現地作業!$L$3:$L$202,"完了"))</f>
        <v/>
      </c>
      <c r="AD131" s="27" t="str">
        <f aca="true">IF(N($AB131)=0,"",IF(_xlfn.MINIFS(現地作業!$C$3:$C$202,現地作業!$A$3:$A$202,$A131,現地作業!$L$3:$L$202,"予定",現地作業!$C$3:$C$202,"&gt;="&amp;TODAY())=0,"",_xlfn.MINIFS(現地作業!$C$3:$C$202,現地作業!$A$3:$A$202,$A131,現地作業!$L$3:$L$202,"予定",現地作業!$C$3:$C$202,"&gt;="&amp;TODAY())))</f>
        <v/>
      </c>
      <c r="AE131" s="39"/>
      <c r="AF131" s="30" t="str">
        <f aca="false">IF($A131="","",SUM(月次工数計画!$G$136:$AD$136))</f>
        <v/>
      </c>
      <c r="AG131" s="30" t="str">
        <f aca="false">IF($A131="","",SUMIFS(工数明細!$G$3:$G$302,工数明細!$B$3:$B$302,$A131))</f>
        <v/>
      </c>
      <c r="AH131" s="31" t="str">
        <f aca="false">IF($AE131="","",$AE131-N($AG131))</f>
        <v/>
      </c>
      <c r="AI131" s="25" t="str">
        <f aca="false">IF(N($AE131)=0,"",$AG131/$AE131)</f>
        <v/>
      </c>
      <c r="AJ131" s="20" t="str">
        <f aca="false">IF(N($AE131)=0,"",IF($AG131&gt;$AE131,"超過",IF($AG131&gt;=$AE131*0.9,"注意","適正")))</f>
        <v/>
      </c>
      <c r="AK131" s="34"/>
    </row>
    <row r="132" customFormat="false" ht="18" hidden="false" customHeight="true" outlineLevel="0" collapsed="false">
      <c r="A132" s="33"/>
      <c r="B132" s="34"/>
      <c r="C132" s="34"/>
      <c r="D132" s="34"/>
      <c r="E132" s="34"/>
      <c r="F132" s="35"/>
      <c r="G132" s="34"/>
      <c r="H132" s="34"/>
      <c r="I132" s="36"/>
      <c r="J132" s="37"/>
      <c r="K132" s="37"/>
      <c r="L132" s="37"/>
      <c r="M132" s="37"/>
      <c r="N132" s="19" t="str">
        <f aca="false">IF($J132="","",YEAR($J132)-IF(MONTH($J132)&lt;マスタ!$B$4,1,0))</f>
        <v/>
      </c>
      <c r="O132" s="20" t="str">
        <f aca="false">IF($J132="","","Q"&amp;(INT(MOD(MONTH($J132)-マスタ!$B$4+12,12)/3)+1))</f>
        <v/>
      </c>
      <c r="P132" s="21" t="str">
        <f aca="true">IF($L132="","",IF($M132&lt;&gt;"",$M132-$L132,IF(TODAY()&gt;$L132,TODAY()-$L132,0)))</f>
        <v/>
      </c>
      <c r="Q132" s="38"/>
      <c r="R132" s="23" t="str">
        <f aca="false">IF($Q132="","",$Q132*N($F132))</f>
        <v/>
      </c>
      <c r="S132" s="38"/>
      <c r="T132" s="24" t="str">
        <f aca="false">IF($A132="","",SUMIFS(発注・納品!$H$3:$H$202,発注・納品!$B$3:$B$202,$A132))</f>
        <v/>
      </c>
      <c r="U132" s="23" t="str">
        <f aca="false">IF($Q132="","",N($S132)+N($T132))</f>
        <v/>
      </c>
      <c r="V132" s="23" t="str">
        <f aca="false">IF($Q132="","",$Q132-N($U132))</f>
        <v/>
      </c>
      <c r="W132" s="25" t="str">
        <f aca="false">IF(N($Q132)=0,"",$V132/$Q132)</f>
        <v/>
      </c>
      <c r="X132" s="26" t="str">
        <f aca="false">IF($A132="","",COUNTIFS(発注・納品!$B$3:$B$202,$A132))</f>
        <v/>
      </c>
      <c r="Y132" s="26" t="str">
        <f aca="false">IF($A132="","",COUNTIFS(発注・納品!$B$3:$B$202,$A132,発注・納品!$M$3:$M$202,""))</f>
        <v/>
      </c>
      <c r="Z132" s="27" t="str">
        <f aca="false">IF(N($X132)=0,"",IF(_xlfn.MAXIFS(発注・納品!$M$3:$M$202,発注・納品!$B$3:$B$202,$A132)=0,"",_xlfn.MAXIFS(発注・納品!$M$3:$M$202,発注・納品!$B$3:$B$202,$A132)))</f>
        <v/>
      </c>
      <c r="AA132" s="28" t="str">
        <f aca="false">IF($A132="","",IF(N($X132)=0,"機器なし",IF(N($Y132)&gt;0,"入荷待ち",IF(COUNTIFS(発注・納品!$B$3:$B$202,$A132,発注・納品!$N$3:$N$202,"")&gt;0,"受入待ち","受入完了"))))</f>
        <v/>
      </c>
      <c r="AB132" s="26" t="str">
        <f aca="false">IF($A132="","",COUNTIFS(現地作業!$A$3:$A$202,$A132,現地作業!$L$3:$L$202,"予定"))</f>
        <v/>
      </c>
      <c r="AC132" s="26" t="str">
        <f aca="false">IF($A132="","",COUNTIFS(現地作業!$A$3:$A$202,$A132,現地作業!$L$3:$L$202,"完了"))</f>
        <v/>
      </c>
      <c r="AD132" s="27" t="str">
        <f aca="true">IF(N($AB132)=0,"",IF(_xlfn.MINIFS(現地作業!$C$3:$C$202,現地作業!$A$3:$A$202,$A132,現地作業!$L$3:$L$202,"予定",現地作業!$C$3:$C$202,"&gt;="&amp;TODAY())=0,"",_xlfn.MINIFS(現地作業!$C$3:$C$202,現地作業!$A$3:$A$202,$A132,現地作業!$L$3:$L$202,"予定",現地作業!$C$3:$C$202,"&gt;="&amp;TODAY())))</f>
        <v/>
      </c>
      <c r="AE132" s="39"/>
      <c r="AF132" s="30" t="str">
        <f aca="false">IF($A132="","",SUM(月次工数計画!$G$137:$AD$137))</f>
        <v/>
      </c>
      <c r="AG132" s="30" t="str">
        <f aca="false">IF($A132="","",SUMIFS(工数明細!$G$3:$G$302,工数明細!$B$3:$B$302,$A132))</f>
        <v/>
      </c>
      <c r="AH132" s="31" t="str">
        <f aca="false">IF($AE132="","",$AE132-N($AG132))</f>
        <v/>
      </c>
      <c r="AI132" s="25" t="str">
        <f aca="false">IF(N($AE132)=0,"",$AG132/$AE132)</f>
        <v/>
      </c>
      <c r="AJ132" s="20" t="str">
        <f aca="false">IF(N($AE132)=0,"",IF($AG132&gt;$AE132,"超過",IF($AG132&gt;=$AE132*0.9,"注意","適正")))</f>
        <v/>
      </c>
      <c r="AK132" s="34"/>
    </row>
    <row r="133" customFormat="false" ht="18" hidden="false" customHeight="true" outlineLevel="0" collapsed="false">
      <c r="A133" s="33"/>
      <c r="B133" s="34"/>
      <c r="C133" s="34"/>
      <c r="D133" s="34"/>
      <c r="E133" s="34"/>
      <c r="F133" s="35"/>
      <c r="G133" s="34"/>
      <c r="H133" s="34"/>
      <c r="I133" s="36"/>
      <c r="J133" s="37"/>
      <c r="K133" s="37"/>
      <c r="L133" s="37"/>
      <c r="M133" s="37"/>
      <c r="N133" s="19" t="str">
        <f aca="false">IF($J133="","",YEAR($J133)-IF(MONTH($J133)&lt;マスタ!$B$4,1,0))</f>
        <v/>
      </c>
      <c r="O133" s="20" t="str">
        <f aca="false">IF($J133="","","Q"&amp;(INT(MOD(MONTH($J133)-マスタ!$B$4+12,12)/3)+1))</f>
        <v/>
      </c>
      <c r="P133" s="21" t="str">
        <f aca="true">IF($L133="","",IF($M133&lt;&gt;"",$M133-$L133,IF(TODAY()&gt;$L133,TODAY()-$L133,0)))</f>
        <v/>
      </c>
      <c r="Q133" s="38"/>
      <c r="R133" s="23" t="str">
        <f aca="false">IF($Q133="","",$Q133*N($F133))</f>
        <v/>
      </c>
      <c r="S133" s="38"/>
      <c r="T133" s="24" t="str">
        <f aca="false">IF($A133="","",SUMIFS(発注・納品!$H$3:$H$202,発注・納品!$B$3:$B$202,$A133))</f>
        <v/>
      </c>
      <c r="U133" s="23" t="str">
        <f aca="false">IF($Q133="","",N($S133)+N($T133))</f>
        <v/>
      </c>
      <c r="V133" s="23" t="str">
        <f aca="false">IF($Q133="","",$Q133-N($U133))</f>
        <v/>
      </c>
      <c r="W133" s="25" t="str">
        <f aca="false">IF(N($Q133)=0,"",$V133/$Q133)</f>
        <v/>
      </c>
      <c r="X133" s="26" t="str">
        <f aca="false">IF($A133="","",COUNTIFS(発注・納品!$B$3:$B$202,$A133))</f>
        <v/>
      </c>
      <c r="Y133" s="26" t="str">
        <f aca="false">IF($A133="","",COUNTIFS(発注・納品!$B$3:$B$202,$A133,発注・納品!$M$3:$M$202,""))</f>
        <v/>
      </c>
      <c r="Z133" s="27" t="str">
        <f aca="false">IF(N($X133)=0,"",IF(_xlfn.MAXIFS(発注・納品!$M$3:$M$202,発注・納品!$B$3:$B$202,$A133)=0,"",_xlfn.MAXIFS(発注・納品!$M$3:$M$202,発注・納品!$B$3:$B$202,$A133)))</f>
        <v/>
      </c>
      <c r="AA133" s="28" t="str">
        <f aca="false">IF($A133="","",IF(N($X133)=0,"機器なし",IF(N($Y133)&gt;0,"入荷待ち",IF(COUNTIFS(発注・納品!$B$3:$B$202,$A133,発注・納品!$N$3:$N$202,"")&gt;0,"受入待ち","受入完了"))))</f>
        <v/>
      </c>
      <c r="AB133" s="26" t="str">
        <f aca="false">IF($A133="","",COUNTIFS(現地作業!$A$3:$A$202,$A133,現地作業!$L$3:$L$202,"予定"))</f>
        <v/>
      </c>
      <c r="AC133" s="26" t="str">
        <f aca="false">IF($A133="","",COUNTIFS(現地作業!$A$3:$A$202,$A133,現地作業!$L$3:$L$202,"完了"))</f>
        <v/>
      </c>
      <c r="AD133" s="27" t="str">
        <f aca="true">IF(N($AB133)=0,"",IF(_xlfn.MINIFS(現地作業!$C$3:$C$202,現地作業!$A$3:$A$202,$A133,現地作業!$L$3:$L$202,"予定",現地作業!$C$3:$C$202,"&gt;="&amp;TODAY())=0,"",_xlfn.MINIFS(現地作業!$C$3:$C$202,現地作業!$A$3:$A$202,$A133,現地作業!$L$3:$L$202,"予定",現地作業!$C$3:$C$202,"&gt;="&amp;TODAY())))</f>
        <v/>
      </c>
      <c r="AE133" s="39"/>
      <c r="AF133" s="30" t="str">
        <f aca="false">IF($A133="","",SUM(月次工数計画!$G$138:$AD$138))</f>
        <v/>
      </c>
      <c r="AG133" s="30" t="str">
        <f aca="false">IF($A133="","",SUMIFS(工数明細!$G$3:$G$302,工数明細!$B$3:$B$302,$A133))</f>
        <v/>
      </c>
      <c r="AH133" s="31" t="str">
        <f aca="false">IF($AE133="","",$AE133-N($AG133))</f>
        <v/>
      </c>
      <c r="AI133" s="25" t="str">
        <f aca="false">IF(N($AE133)=0,"",$AG133/$AE133)</f>
        <v/>
      </c>
      <c r="AJ133" s="20" t="str">
        <f aca="false">IF(N($AE133)=0,"",IF($AG133&gt;$AE133,"超過",IF($AG133&gt;=$AE133*0.9,"注意","適正")))</f>
        <v/>
      </c>
      <c r="AK133" s="34"/>
    </row>
    <row r="134" customFormat="false" ht="18" hidden="false" customHeight="true" outlineLevel="0" collapsed="false">
      <c r="A134" s="33"/>
      <c r="B134" s="34"/>
      <c r="C134" s="34"/>
      <c r="D134" s="34"/>
      <c r="E134" s="34"/>
      <c r="F134" s="35"/>
      <c r="G134" s="34"/>
      <c r="H134" s="34"/>
      <c r="I134" s="36"/>
      <c r="J134" s="37"/>
      <c r="K134" s="37"/>
      <c r="L134" s="37"/>
      <c r="M134" s="37"/>
      <c r="N134" s="19" t="str">
        <f aca="false">IF($J134="","",YEAR($J134)-IF(MONTH($J134)&lt;マスタ!$B$4,1,0))</f>
        <v/>
      </c>
      <c r="O134" s="20" t="str">
        <f aca="false">IF($J134="","","Q"&amp;(INT(MOD(MONTH($J134)-マスタ!$B$4+12,12)/3)+1))</f>
        <v/>
      </c>
      <c r="P134" s="21" t="str">
        <f aca="true">IF($L134="","",IF($M134&lt;&gt;"",$M134-$L134,IF(TODAY()&gt;$L134,TODAY()-$L134,0)))</f>
        <v/>
      </c>
      <c r="Q134" s="38"/>
      <c r="R134" s="23" t="str">
        <f aca="false">IF($Q134="","",$Q134*N($F134))</f>
        <v/>
      </c>
      <c r="S134" s="38"/>
      <c r="T134" s="24" t="str">
        <f aca="false">IF($A134="","",SUMIFS(発注・納品!$H$3:$H$202,発注・納品!$B$3:$B$202,$A134))</f>
        <v/>
      </c>
      <c r="U134" s="23" t="str">
        <f aca="false">IF($Q134="","",N($S134)+N($T134))</f>
        <v/>
      </c>
      <c r="V134" s="23" t="str">
        <f aca="false">IF($Q134="","",$Q134-N($U134))</f>
        <v/>
      </c>
      <c r="W134" s="25" t="str">
        <f aca="false">IF(N($Q134)=0,"",$V134/$Q134)</f>
        <v/>
      </c>
      <c r="X134" s="26" t="str">
        <f aca="false">IF($A134="","",COUNTIFS(発注・納品!$B$3:$B$202,$A134))</f>
        <v/>
      </c>
      <c r="Y134" s="26" t="str">
        <f aca="false">IF($A134="","",COUNTIFS(発注・納品!$B$3:$B$202,$A134,発注・納品!$M$3:$M$202,""))</f>
        <v/>
      </c>
      <c r="Z134" s="27" t="str">
        <f aca="false">IF(N($X134)=0,"",IF(_xlfn.MAXIFS(発注・納品!$M$3:$M$202,発注・納品!$B$3:$B$202,$A134)=0,"",_xlfn.MAXIFS(発注・納品!$M$3:$M$202,発注・納品!$B$3:$B$202,$A134)))</f>
        <v/>
      </c>
      <c r="AA134" s="28" t="str">
        <f aca="false">IF($A134="","",IF(N($X134)=0,"機器なし",IF(N($Y134)&gt;0,"入荷待ち",IF(COUNTIFS(発注・納品!$B$3:$B$202,$A134,発注・納品!$N$3:$N$202,"")&gt;0,"受入待ち","受入完了"))))</f>
        <v/>
      </c>
      <c r="AB134" s="26" t="str">
        <f aca="false">IF($A134="","",COUNTIFS(現地作業!$A$3:$A$202,$A134,現地作業!$L$3:$L$202,"予定"))</f>
        <v/>
      </c>
      <c r="AC134" s="26" t="str">
        <f aca="false">IF($A134="","",COUNTIFS(現地作業!$A$3:$A$202,$A134,現地作業!$L$3:$L$202,"完了"))</f>
        <v/>
      </c>
      <c r="AD134" s="27" t="str">
        <f aca="true">IF(N($AB134)=0,"",IF(_xlfn.MINIFS(現地作業!$C$3:$C$202,現地作業!$A$3:$A$202,$A134,現地作業!$L$3:$L$202,"予定",現地作業!$C$3:$C$202,"&gt;="&amp;TODAY())=0,"",_xlfn.MINIFS(現地作業!$C$3:$C$202,現地作業!$A$3:$A$202,$A134,現地作業!$L$3:$L$202,"予定",現地作業!$C$3:$C$202,"&gt;="&amp;TODAY())))</f>
        <v/>
      </c>
      <c r="AE134" s="39"/>
      <c r="AF134" s="30" t="str">
        <f aca="false">IF($A134="","",SUM(月次工数計画!$G$139:$AD$139))</f>
        <v/>
      </c>
      <c r="AG134" s="30" t="str">
        <f aca="false">IF($A134="","",SUMIFS(工数明細!$G$3:$G$302,工数明細!$B$3:$B$302,$A134))</f>
        <v/>
      </c>
      <c r="AH134" s="31" t="str">
        <f aca="false">IF($AE134="","",$AE134-N($AG134))</f>
        <v/>
      </c>
      <c r="AI134" s="25" t="str">
        <f aca="false">IF(N($AE134)=0,"",$AG134/$AE134)</f>
        <v/>
      </c>
      <c r="AJ134" s="20" t="str">
        <f aca="false">IF(N($AE134)=0,"",IF($AG134&gt;$AE134,"超過",IF($AG134&gt;=$AE134*0.9,"注意","適正")))</f>
        <v/>
      </c>
      <c r="AK134" s="34"/>
    </row>
    <row r="135" customFormat="false" ht="18" hidden="false" customHeight="true" outlineLevel="0" collapsed="false">
      <c r="A135" s="33"/>
      <c r="B135" s="34"/>
      <c r="C135" s="34"/>
      <c r="D135" s="34"/>
      <c r="E135" s="34"/>
      <c r="F135" s="35"/>
      <c r="G135" s="34"/>
      <c r="H135" s="34"/>
      <c r="I135" s="36"/>
      <c r="J135" s="37"/>
      <c r="K135" s="37"/>
      <c r="L135" s="37"/>
      <c r="M135" s="37"/>
      <c r="N135" s="19" t="str">
        <f aca="false">IF($J135="","",YEAR($J135)-IF(MONTH($J135)&lt;マスタ!$B$4,1,0))</f>
        <v/>
      </c>
      <c r="O135" s="20" t="str">
        <f aca="false">IF($J135="","","Q"&amp;(INT(MOD(MONTH($J135)-マスタ!$B$4+12,12)/3)+1))</f>
        <v/>
      </c>
      <c r="P135" s="21" t="str">
        <f aca="true">IF($L135="","",IF($M135&lt;&gt;"",$M135-$L135,IF(TODAY()&gt;$L135,TODAY()-$L135,0)))</f>
        <v/>
      </c>
      <c r="Q135" s="38"/>
      <c r="R135" s="23" t="str">
        <f aca="false">IF($Q135="","",$Q135*N($F135))</f>
        <v/>
      </c>
      <c r="S135" s="38"/>
      <c r="T135" s="24" t="str">
        <f aca="false">IF($A135="","",SUMIFS(発注・納品!$H$3:$H$202,発注・納品!$B$3:$B$202,$A135))</f>
        <v/>
      </c>
      <c r="U135" s="23" t="str">
        <f aca="false">IF($Q135="","",N($S135)+N($T135))</f>
        <v/>
      </c>
      <c r="V135" s="23" t="str">
        <f aca="false">IF($Q135="","",$Q135-N($U135))</f>
        <v/>
      </c>
      <c r="W135" s="25" t="str">
        <f aca="false">IF(N($Q135)=0,"",$V135/$Q135)</f>
        <v/>
      </c>
      <c r="X135" s="26" t="str">
        <f aca="false">IF($A135="","",COUNTIFS(発注・納品!$B$3:$B$202,$A135))</f>
        <v/>
      </c>
      <c r="Y135" s="26" t="str">
        <f aca="false">IF($A135="","",COUNTIFS(発注・納品!$B$3:$B$202,$A135,発注・納品!$M$3:$M$202,""))</f>
        <v/>
      </c>
      <c r="Z135" s="27" t="str">
        <f aca="false">IF(N($X135)=0,"",IF(_xlfn.MAXIFS(発注・納品!$M$3:$M$202,発注・納品!$B$3:$B$202,$A135)=0,"",_xlfn.MAXIFS(発注・納品!$M$3:$M$202,発注・納品!$B$3:$B$202,$A135)))</f>
        <v/>
      </c>
      <c r="AA135" s="28" t="str">
        <f aca="false">IF($A135="","",IF(N($X135)=0,"機器なし",IF(N($Y135)&gt;0,"入荷待ち",IF(COUNTIFS(発注・納品!$B$3:$B$202,$A135,発注・納品!$N$3:$N$202,"")&gt;0,"受入待ち","受入完了"))))</f>
        <v/>
      </c>
      <c r="AB135" s="26" t="str">
        <f aca="false">IF($A135="","",COUNTIFS(現地作業!$A$3:$A$202,$A135,現地作業!$L$3:$L$202,"予定"))</f>
        <v/>
      </c>
      <c r="AC135" s="26" t="str">
        <f aca="false">IF($A135="","",COUNTIFS(現地作業!$A$3:$A$202,$A135,現地作業!$L$3:$L$202,"完了"))</f>
        <v/>
      </c>
      <c r="AD135" s="27" t="str">
        <f aca="true">IF(N($AB135)=0,"",IF(_xlfn.MINIFS(現地作業!$C$3:$C$202,現地作業!$A$3:$A$202,$A135,現地作業!$L$3:$L$202,"予定",現地作業!$C$3:$C$202,"&gt;="&amp;TODAY())=0,"",_xlfn.MINIFS(現地作業!$C$3:$C$202,現地作業!$A$3:$A$202,$A135,現地作業!$L$3:$L$202,"予定",現地作業!$C$3:$C$202,"&gt;="&amp;TODAY())))</f>
        <v/>
      </c>
      <c r="AE135" s="39"/>
      <c r="AF135" s="30" t="str">
        <f aca="false">IF($A135="","",SUM(月次工数計画!$G$140:$AD$140))</f>
        <v/>
      </c>
      <c r="AG135" s="30" t="str">
        <f aca="false">IF($A135="","",SUMIFS(工数明細!$G$3:$G$302,工数明細!$B$3:$B$302,$A135))</f>
        <v/>
      </c>
      <c r="AH135" s="31" t="str">
        <f aca="false">IF($AE135="","",$AE135-N($AG135))</f>
        <v/>
      </c>
      <c r="AI135" s="25" t="str">
        <f aca="false">IF(N($AE135)=0,"",$AG135/$AE135)</f>
        <v/>
      </c>
      <c r="AJ135" s="20" t="str">
        <f aca="false">IF(N($AE135)=0,"",IF($AG135&gt;$AE135,"超過",IF($AG135&gt;=$AE135*0.9,"注意","適正")))</f>
        <v/>
      </c>
      <c r="AK135" s="34"/>
    </row>
    <row r="136" customFormat="false" ht="18" hidden="false" customHeight="true" outlineLevel="0" collapsed="false">
      <c r="A136" s="33"/>
      <c r="B136" s="34"/>
      <c r="C136" s="34"/>
      <c r="D136" s="34"/>
      <c r="E136" s="34"/>
      <c r="F136" s="35"/>
      <c r="G136" s="34"/>
      <c r="H136" s="34"/>
      <c r="I136" s="36"/>
      <c r="J136" s="37"/>
      <c r="K136" s="37"/>
      <c r="L136" s="37"/>
      <c r="M136" s="37"/>
      <c r="N136" s="19" t="str">
        <f aca="false">IF($J136="","",YEAR($J136)-IF(MONTH($J136)&lt;マスタ!$B$4,1,0))</f>
        <v/>
      </c>
      <c r="O136" s="20" t="str">
        <f aca="false">IF($J136="","","Q"&amp;(INT(MOD(MONTH($J136)-マスタ!$B$4+12,12)/3)+1))</f>
        <v/>
      </c>
      <c r="P136" s="21" t="str">
        <f aca="true">IF($L136="","",IF($M136&lt;&gt;"",$M136-$L136,IF(TODAY()&gt;$L136,TODAY()-$L136,0)))</f>
        <v/>
      </c>
      <c r="Q136" s="38"/>
      <c r="R136" s="23" t="str">
        <f aca="false">IF($Q136="","",$Q136*N($F136))</f>
        <v/>
      </c>
      <c r="S136" s="38"/>
      <c r="T136" s="24" t="str">
        <f aca="false">IF($A136="","",SUMIFS(発注・納品!$H$3:$H$202,発注・納品!$B$3:$B$202,$A136))</f>
        <v/>
      </c>
      <c r="U136" s="23" t="str">
        <f aca="false">IF($Q136="","",N($S136)+N($T136))</f>
        <v/>
      </c>
      <c r="V136" s="23" t="str">
        <f aca="false">IF($Q136="","",$Q136-N($U136))</f>
        <v/>
      </c>
      <c r="W136" s="25" t="str">
        <f aca="false">IF(N($Q136)=0,"",$V136/$Q136)</f>
        <v/>
      </c>
      <c r="X136" s="26" t="str">
        <f aca="false">IF($A136="","",COUNTIFS(発注・納品!$B$3:$B$202,$A136))</f>
        <v/>
      </c>
      <c r="Y136" s="26" t="str">
        <f aca="false">IF($A136="","",COUNTIFS(発注・納品!$B$3:$B$202,$A136,発注・納品!$M$3:$M$202,""))</f>
        <v/>
      </c>
      <c r="Z136" s="27" t="str">
        <f aca="false">IF(N($X136)=0,"",IF(_xlfn.MAXIFS(発注・納品!$M$3:$M$202,発注・納品!$B$3:$B$202,$A136)=0,"",_xlfn.MAXIFS(発注・納品!$M$3:$M$202,発注・納品!$B$3:$B$202,$A136)))</f>
        <v/>
      </c>
      <c r="AA136" s="28" t="str">
        <f aca="false">IF($A136="","",IF(N($X136)=0,"機器なし",IF(N($Y136)&gt;0,"入荷待ち",IF(COUNTIFS(発注・納品!$B$3:$B$202,$A136,発注・納品!$N$3:$N$202,"")&gt;0,"受入待ち","受入完了"))))</f>
        <v/>
      </c>
      <c r="AB136" s="26" t="str">
        <f aca="false">IF($A136="","",COUNTIFS(現地作業!$A$3:$A$202,$A136,現地作業!$L$3:$L$202,"予定"))</f>
        <v/>
      </c>
      <c r="AC136" s="26" t="str">
        <f aca="false">IF($A136="","",COUNTIFS(現地作業!$A$3:$A$202,$A136,現地作業!$L$3:$L$202,"完了"))</f>
        <v/>
      </c>
      <c r="AD136" s="27" t="str">
        <f aca="true">IF(N($AB136)=0,"",IF(_xlfn.MINIFS(現地作業!$C$3:$C$202,現地作業!$A$3:$A$202,$A136,現地作業!$L$3:$L$202,"予定",現地作業!$C$3:$C$202,"&gt;="&amp;TODAY())=0,"",_xlfn.MINIFS(現地作業!$C$3:$C$202,現地作業!$A$3:$A$202,$A136,現地作業!$L$3:$L$202,"予定",現地作業!$C$3:$C$202,"&gt;="&amp;TODAY())))</f>
        <v/>
      </c>
      <c r="AE136" s="39"/>
      <c r="AF136" s="30" t="str">
        <f aca="false">IF($A136="","",SUM(月次工数計画!$G$141:$AD$141))</f>
        <v/>
      </c>
      <c r="AG136" s="30" t="str">
        <f aca="false">IF($A136="","",SUMIFS(工数明細!$G$3:$G$302,工数明細!$B$3:$B$302,$A136))</f>
        <v/>
      </c>
      <c r="AH136" s="31" t="str">
        <f aca="false">IF($AE136="","",$AE136-N($AG136))</f>
        <v/>
      </c>
      <c r="AI136" s="25" t="str">
        <f aca="false">IF(N($AE136)=0,"",$AG136/$AE136)</f>
        <v/>
      </c>
      <c r="AJ136" s="20" t="str">
        <f aca="false">IF(N($AE136)=0,"",IF($AG136&gt;$AE136,"超過",IF($AG136&gt;=$AE136*0.9,"注意","適正")))</f>
        <v/>
      </c>
      <c r="AK136" s="34"/>
    </row>
    <row r="137" customFormat="false" ht="18" hidden="false" customHeight="true" outlineLevel="0" collapsed="false">
      <c r="A137" s="33"/>
      <c r="B137" s="34"/>
      <c r="C137" s="34"/>
      <c r="D137" s="34"/>
      <c r="E137" s="34"/>
      <c r="F137" s="35"/>
      <c r="G137" s="34"/>
      <c r="H137" s="34"/>
      <c r="I137" s="36"/>
      <c r="J137" s="37"/>
      <c r="K137" s="37"/>
      <c r="L137" s="37"/>
      <c r="M137" s="37"/>
      <c r="N137" s="19" t="str">
        <f aca="false">IF($J137="","",YEAR($J137)-IF(MONTH($J137)&lt;マスタ!$B$4,1,0))</f>
        <v/>
      </c>
      <c r="O137" s="20" t="str">
        <f aca="false">IF($J137="","","Q"&amp;(INT(MOD(MONTH($J137)-マスタ!$B$4+12,12)/3)+1))</f>
        <v/>
      </c>
      <c r="P137" s="21" t="str">
        <f aca="true">IF($L137="","",IF($M137&lt;&gt;"",$M137-$L137,IF(TODAY()&gt;$L137,TODAY()-$L137,0)))</f>
        <v/>
      </c>
      <c r="Q137" s="38"/>
      <c r="R137" s="23" t="str">
        <f aca="false">IF($Q137="","",$Q137*N($F137))</f>
        <v/>
      </c>
      <c r="S137" s="38"/>
      <c r="T137" s="24" t="str">
        <f aca="false">IF($A137="","",SUMIFS(発注・納品!$H$3:$H$202,発注・納品!$B$3:$B$202,$A137))</f>
        <v/>
      </c>
      <c r="U137" s="23" t="str">
        <f aca="false">IF($Q137="","",N($S137)+N($T137))</f>
        <v/>
      </c>
      <c r="V137" s="23" t="str">
        <f aca="false">IF($Q137="","",$Q137-N($U137))</f>
        <v/>
      </c>
      <c r="W137" s="25" t="str">
        <f aca="false">IF(N($Q137)=0,"",$V137/$Q137)</f>
        <v/>
      </c>
      <c r="X137" s="26" t="str">
        <f aca="false">IF($A137="","",COUNTIFS(発注・納品!$B$3:$B$202,$A137))</f>
        <v/>
      </c>
      <c r="Y137" s="26" t="str">
        <f aca="false">IF($A137="","",COUNTIFS(発注・納品!$B$3:$B$202,$A137,発注・納品!$M$3:$M$202,""))</f>
        <v/>
      </c>
      <c r="Z137" s="27" t="str">
        <f aca="false">IF(N($X137)=0,"",IF(_xlfn.MAXIFS(発注・納品!$M$3:$M$202,発注・納品!$B$3:$B$202,$A137)=0,"",_xlfn.MAXIFS(発注・納品!$M$3:$M$202,発注・納品!$B$3:$B$202,$A137)))</f>
        <v/>
      </c>
      <c r="AA137" s="28" t="str">
        <f aca="false">IF($A137="","",IF(N($X137)=0,"機器なし",IF(N($Y137)&gt;0,"入荷待ち",IF(COUNTIFS(発注・納品!$B$3:$B$202,$A137,発注・納品!$N$3:$N$202,"")&gt;0,"受入待ち","受入完了"))))</f>
        <v/>
      </c>
      <c r="AB137" s="26" t="str">
        <f aca="false">IF($A137="","",COUNTIFS(現地作業!$A$3:$A$202,$A137,現地作業!$L$3:$L$202,"予定"))</f>
        <v/>
      </c>
      <c r="AC137" s="26" t="str">
        <f aca="false">IF($A137="","",COUNTIFS(現地作業!$A$3:$A$202,$A137,現地作業!$L$3:$L$202,"完了"))</f>
        <v/>
      </c>
      <c r="AD137" s="27" t="str">
        <f aca="true">IF(N($AB137)=0,"",IF(_xlfn.MINIFS(現地作業!$C$3:$C$202,現地作業!$A$3:$A$202,$A137,現地作業!$L$3:$L$202,"予定",現地作業!$C$3:$C$202,"&gt;="&amp;TODAY())=0,"",_xlfn.MINIFS(現地作業!$C$3:$C$202,現地作業!$A$3:$A$202,$A137,現地作業!$L$3:$L$202,"予定",現地作業!$C$3:$C$202,"&gt;="&amp;TODAY())))</f>
        <v/>
      </c>
      <c r="AE137" s="39"/>
      <c r="AF137" s="30" t="str">
        <f aca="false">IF($A137="","",SUM(月次工数計画!$G$142:$AD$142))</f>
        <v/>
      </c>
      <c r="AG137" s="30" t="str">
        <f aca="false">IF($A137="","",SUMIFS(工数明細!$G$3:$G$302,工数明細!$B$3:$B$302,$A137))</f>
        <v/>
      </c>
      <c r="AH137" s="31" t="str">
        <f aca="false">IF($AE137="","",$AE137-N($AG137))</f>
        <v/>
      </c>
      <c r="AI137" s="25" t="str">
        <f aca="false">IF(N($AE137)=0,"",$AG137/$AE137)</f>
        <v/>
      </c>
      <c r="AJ137" s="20" t="str">
        <f aca="false">IF(N($AE137)=0,"",IF($AG137&gt;$AE137,"超過",IF($AG137&gt;=$AE137*0.9,"注意","適正")))</f>
        <v/>
      </c>
      <c r="AK137" s="34"/>
    </row>
    <row r="138" customFormat="false" ht="18" hidden="false" customHeight="true" outlineLevel="0" collapsed="false">
      <c r="A138" s="33"/>
      <c r="B138" s="34"/>
      <c r="C138" s="34"/>
      <c r="D138" s="34"/>
      <c r="E138" s="34"/>
      <c r="F138" s="35"/>
      <c r="G138" s="34"/>
      <c r="H138" s="34"/>
      <c r="I138" s="36"/>
      <c r="J138" s="37"/>
      <c r="K138" s="37"/>
      <c r="L138" s="37"/>
      <c r="M138" s="37"/>
      <c r="N138" s="19" t="str">
        <f aca="false">IF($J138="","",YEAR($J138)-IF(MONTH($J138)&lt;マスタ!$B$4,1,0))</f>
        <v/>
      </c>
      <c r="O138" s="20" t="str">
        <f aca="false">IF($J138="","","Q"&amp;(INT(MOD(MONTH($J138)-マスタ!$B$4+12,12)/3)+1))</f>
        <v/>
      </c>
      <c r="P138" s="21" t="str">
        <f aca="true">IF($L138="","",IF($M138&lt;&gt;"",$M138-$L138,IF(TODAY()&gt;$L138,TODAY()-$L138,0)))</f>
        <v/>
      </c>
      <c r="Q138" s="38"/>
      <c r="R138" s="23" t="str">
        <f aca="false">IF($Q138="","",$Q138*N($F138))</f>
        <v/>
      </c>
      <c r="S138" s="38"/>
      <c r="T138" s="24" t="str">
        <f aca="false">IF($A138="","",SUMIFS(発注・納品!$H$3:$H$202,発注・納品!$B$3:$B$202,$A138))</f>
        <v/>
      </c>
      <c r="U138" s="23" t="str">
        <f aca="false">IF($Q138="","",N($S138)+N($T138))</f>
        <v/>
      </c>
      <c r="V138" s="23" t="str">
        <f aca="false">IF($Q138="","",$Q138-N($U138))</f>
        <v/>
      </c>
      <c r="W138" s="25" t="str">
        <f aca="false">IF(N($Q138)=0,"",$V138/$Q138)</f>
        <v/>
      </c>
      <c r="X138" s="26" t="str">
        <f aca="false">IF($A138="","",COUNTIFS(発注・納品!$B$3:$B$202,$A138))</f>
        <v/>
      </c>
      <c r="Y138" s="26" t="str">
        <f aca="false">IF($A138="","",COUNTIFS(発注・納品!$B$3:$B$202,$A138,発注・納品!$M$3:$M$202,""))</f>
        <v/>
      </c>
      <c r="Z138" s="27" t="str">
        <f aca="false">IF(N($X138)=0,"",IF(_xlfn.MAXIFS(発注・納品!$M$3:$M$202,発注・納品!$B$3:$B$202,$A138)=0,"",_xlfn.MAXIFS(発注・納品!$M$3:$M$202,発注・納品!$B$3:$B$202,$A138)))</f>
        <v/>
      </c>
      <c r="AA138" s="28" t="str">
        <f aca="false">IF($A138="","",IF(N($X138)=0,"機器なし",IF(N($Y138)&gt;0,"入荷待ち",IF(COUNTIFS(発注・納品!$B$3:$B$202,$A138,発注・納品!$N$3:$N$202,"")&gt;0,"受入待ち","受入完了"))))</f>
        <v/>
      </c>
      <c r="AB138" s="26" t="str">
        <f aca="false">IF($A138="","",COUNTIFS(現地作業!$A$3:$A$202,$A138,現地作業!$L$3:$L$202,"予定"))</f>
        <v/>
      </c>
      <c r="AC138" s="26" t="str">
        <f aca="false">IF($A138="","",COUNTIFS(現地作業!$A$3:$A$202,$A138,現地作業!$L$3:$L$202,"完了"))</f>
        <v/>
      </c>
      <c r="AD138" s="27" t="str">
        <f aca="true">IF(N($AB138)=0,"",IF(_xlfn.MINIFS(現地作業!$C$3:$C$202,現地作業!$A$3:$A$202,$A138,現地作業!$L$3:$L$202,"予定",現地作業!$C$3:$C$202,"&gt;="&amp;TODAY())=0,"",_xlfn.MINIFS(現地作業!$C$3:$C$202,現地作業!$A$3:$A$202,$A138,現地作業!$L$3:$L$202,"予定",現地作業!$C$3:$C$202,"&gt;="&amp;TODAY())))</f>
        <v/>
      </c>
      <c r="AE138" s="39"/>
      <c r="AF138" s="30" t="str">
        <f aca="false">IF($A138="","",SUM(月次工数計画!$G$143:$AD$143))</f>
        <v/>
      </c>
      <c r="AG138" s="30" t="str">
        <f aca="false">IF($A138="","",SUMIFS(工数明細!$G$3:$G$302,工数明細!$B$3:$B$302,$A138))</f>
        <v/>
      </c>
      <c r="AH138" s="31" t="str">
        <f aca="false">IF($AE138="","",$AE138-N($AG138))</f>
        <v/>
      </c>
      <c r="AI138" s="25" t="str">
        <f aca="false">IF(N($AE138)=0,"",$AG138/$AE138)</f>
        <v/>
      </c>
      <c r="AJ138" s="20" t="str">
        <f aca="false">IF(N($AE138)=0,"",IF($AG138&gt;$AE138,"超過",IF($AG138&gt;=$AE138*0.9,"注意","適正")))</f>
        <v/>
      </c>
      <c r="AK138" s="34"/>
    </row>
    <row r="139" customFormat="false" ht="18" hidden="false" customHeight="true" outlineLevel="0" collapsed="false">
      <c r="A139" s="33"/>
      <c r="B139" s="34"/>
      <c r="C139" s="34"/>
      <c r="D139" s="34"/>
      <c r="E139" s="34"/>
      <c r="F139" s="35"/>
      <c r="G139" s="34"/>
      <c r="H139" s="34"/>
      <c r="I139" s="36"/>
      <c r="J139" s="37"/>
      <c r="K139" s="37"/>
      <c r="L139" s="37"/>
      <c r="M139" s="37"/>
      <c r="N139" s="19" t="str">
        <f aca="false">IF($J139="","",YEAR($J139)-IF(MONTH($J139)&lt;マスタ!$B$4,1,0))</f>
        <v/>
      </c>
      <c r="O139" s="20" t="str">
        <f aca="false">IF($J139="","","Q"&amp;(INT(MOD(MONTH($J139)-マスタ!$B$4+12,12)/3)+1))</f>
        <v/>
      </c>
      <c r="P139" s="21" t="str">
        <f aca="true">IF($L139="","",IF($M139&lt;&gt;"",$M139-$L139,IF(TODAY()&gt;$L139,TODAY()-$L139,0)))</f>
        <v/>
      </c>
      <c r="Q139" s="38"/>
      <c r="R139" s="23" t="str">
        <f aca="false">IF($Q139="","",$Q139*N($F139))</f>
        <v/>
      </c>
      <c r="S139" s="38"/>
      <c r="T139" s="24" t="str">
        <f aca="false">IF($A139="","",SUMIFS(発注・納品!$H$3:$H$202,発注・納品!$B$3:$B$202,$A139))</f>
        <v/>
      </c>
      <c r="U139" s="23" t="str">
        <f aca="false">IF($Q139="","",N($S139)+N($T139))</f>
        <v/>
      </c>
      <c r="V139" s="23" t="str">
        <f aca="false">IF($Q139="","",$Q139-N($U139))</f>
        <v/>
      </c>
      <c r="W139" s="25" t="str">
        <f aca="false">IF(N($Q139)=0,"",$V139/$Q139)</f>
        <v/>
      </c>
      <c r="X139" s="26" t="str">
        <f aca="false">IF($A139="","",COUNTIFS(発注・納品!$B$3:$B$202,$A139))</f>
        <v/>
      </c>
      <c r="Y139" s="26" t="str">
        <f aca="false">IF($A139="","",COUNTIFS(発注・納品!$B$3:$B$202,$A139,発注・納品!$M$3:$M$202,""))</f>
        <v/>
      </c>
      <c r="Z139" s="27" t="str">
        <f aca="false">IF(N($X139)=0,"",IF(_xlfn.MAXIFS(発注・納品!$M$3:$M$202,発注・納品!$B$3:$B$202,$A139)=0,"",_xlfn.MAXIFS(発注・納品!$M$3:$M$202,発注・納品!$B$3:$B$202,$A139)))</f>
        <v/>
      </c>
      <c r="AA139" s="28" t="str">
        <f aca="false">IF($A139="","",IF(N($X139)=0,"機器なし",IF(N($Y139)&gt;0,"入荷待ち",IF(COUNTIFS(発注・納品!$B$3:$B$202,$A139,発注・納品!$N$3:$N$202,"")&gt;0,"受入待ち","受入完了"))))</f>
        <v/>
      </c>
      <c r="AB139" s="26" t="str">
        <f aca="false">IF($A139="","",COUNTIFS(現地作業!$A$3:$A$202,$A139,現地作業!$L$3:$L$202,"予定"))</f>
        <v/>
      </c>
      <c r="AC139" s="26" t="str">
        <f aca="false">IF($A139="","",COUNTIFS(現地作業!$A$3:$A$202,$A139,現地作業!$L$3:$L$202,"完了"))</f>
        <v/>
      </c>
      <c r="AD139" s="27" t="str">
        <f aca="true">IF(N($AB139)=0,"",IF(_xlfn.MINIFS(現地作業!$C$3:$C$202,現地作業!$A$3:$A$202,$A139,現地作業!$L$3:$L$202,"予定",現地作業!$C$3:$C$202,"&gt;="&amp;TODAY())=0,"",_xlfn.MINIFS(現地作業!$C$3:$C$202,現地作業!$A$3:$A$202,$A139,現地作業!$L$3:$L$202,"予定",現地作業!$C$3:$C$202,"&gt;="&amp;TODAY())))</f>
        <v/>
      </c>
      <c r="AE139" s="39"/>
      <c r="AF139" s="30" t="str">
        <f aca="false">IF($A139="","",SUM(月次工数計画!$G$144:$AD$144))</f>
        <v/>
      </c>
      <c r="AG139" s="30" t="str">
        <f aca="false">IF($A139="","",SUMIFS(工数明細!$G$3:$G$302,工数明細!$B$3:$B$302,$A139))</f>
        <v/>
      </c>
      <c r="AH139" s="31" t="str">
        <f aca="false">IF($AE139="","",$AE139-N($AG139))</f>
        <v/>
      </c>
      <c r="AI139" s="25" t="str">
        <f aca="false">IF(N($AE139)=0,"",$AG139/$AE139)</f>
        <v/>
      </c>
      <c r="AJ139" s="20" t="str">
        <f aca="false">IF(N($AE139)=0,"",IF($AG139&gt;$AE139,"超過",IF($AG139&gt;=$AE139*0.9,"注意","適正")))</f>
        <v/>
      </c>
      <c r="AK139" s="34"/>
    </row>
    <row r="140" customFormat="false" ht="18" hidden="false" customHeight="true" outlineLevel="0" collapsed="false">
      <c r="A140" s="33"/>
      <c r="B140" s="34"/>
      <c r="C140" s="34"/>
      <c r="D140" s="34"/>
      <c r="E140" s="34"/>
      <c r="F140" s="35"/>
      <c r="G140" s="34"/>
      <c r="H140" s="34"/>
      <c r="I140" s="36"/>
      <c r="J140" s="37"/>
      <c r="K140" s="37"/>
      <c r="L140" s="37"/>
      <c r="M140" s="37"/>
      <c r="N140" s="19" t="str">
        <f aca="false">IF($J140="","",YEAR($J140)-IF(MONTH($J140)&lt;マスタ!$B$4,1,0))</f>
        <v/>
      </c>
      <c r="O140" s="20" t="str">
        <f aca="false">IF($J140="","","Q"&amp;(INT(MOD(MONTH($J140)-マスタ!$B$4+12,12)/3)+1))</f>
        <v/>
      </c>
      <c r="P140" s="21" t="str">
        <f aca="true">IF($L140="","",IF($M140&lt;&gt;"",$M140-$L140,IF(TODAY()&gt;$L140,TODAY()-$L140,0)))</f>
        <v/>
      </c>
      <c r="Q140" s="38"/>
      <c r="R140" s="23" t="str">
        <f aca="false">IF($Q140="","",$Q140*N($F140))</f>
        <v/>
      </c>
      <c r="S140" s="38"/>
      <c r="T140" s="24" t="str">
        <f aca="false">IF($A140="","",SUMIFS(発注・納品!$H$3:$H$202,発注・納品!$B$3:$B$202,$A140))</f>
        <v/>
      </c>
      <c r="U140" s="23" t="str">
        <f aca="false">IF($Q140="","",N($S140)+N($T140))</f>
        <v/>
      </c>
      <c r="V140" s="23" t="str">
        <f aca="false">IF($Q140="","",$Q140-N($U140))</f>
        <v/>
      </c>
      <c r="W140" s="25" t="str">
        <f aca="false">IF(N($Q140)=0,"",$V140/$Q140)</f>
        <v/>
      </c>
      <c r="X140" s="26" t="str">
        <f aca="false">IF($A140="","",COUNTIFS(発注・納品!$B$3:$B$202,$A140))</f>
        <v/>
      </c>
      <c r="Y140" s="26" t="str">
        <f aca="false">IF($A140="","",COUNTIFS(発注・納品!$B$3:$B$202,$A140,発注・納品!$M$3:$M$202,""))</f>
        <v/>
      </c>
      <c r="Z140" s="27" t="str">
        <f aca="false">IF(N($X140)=0,"",IF(_xlfn.MAXIFS(発注・納品!$M$3:$M$202,発注・納品!$B$3:$B$202,$A140)=0,"",_xlfn.MAXIFS(発注・納品!$M$3:$M$202,発注・納品!$B$3:$B$202,$A140)))</f>
        <v/>
      </c>
      <c r="AA140" s="28" t="str">
        <f aca="false">IF($A140="","",IF(N($X140)=0,"機器なし",IF(N($Y140)&gt;0,"入荷待ち",IF(COUNTIFS(発注・納品!$B$3:$B$202,$A140,発注・納品!$N$3:$N$202,"")&gt;0,"受入待ち","受入完了"))))</f>
        <v/>
      </c>
      <c r="AB140" s="26" t="str">
        <f aca="false">IF($A140="","",COUNTIFS(現地作業!$A$3:$A$202,$A140,現地作業!$L$3:$L$202,"予定"))</f>
        <v/>
      </c>
      <c r="AC140" s="26" t="str">
        <f aca="false">IF($A140="","",COUNTIFS(現地作業!$A$3:$A$202,$A140,現地作業!$L$3:$L$202,"完了"))</f>
        <v/>
      </c>
      <c r="AD140" s="27" t="str">
        <f aca="true">IF(N($AB140)=0,"",IF(_xlfn.MINIFS(現地作業!$C$3:$C$202,現地作業!$A$3:$A$202,$A140,現地作業!$L$3:$L$202,"予定",現地作業!$C$3:$C$202,"&gt;="&amp;TODAY())=0,"",_xlfn.MINIFS(現地作業!$C$3:$C$202,現地作業!$A$3:$A$202,$A140,現地作業!$L$3:$L$202,"予定",現地作業!$C$3:$C$202,"&gt;="&amp;TODAY())))</f>
        <v/>
      </c>
      <c r="AE140" s="39"/>
      <c r="AF140" s="30" t="str">
        <f aca="false">IF($A140="","",SUM(月次工数計画!$G$145:$AD$145))</f>
        <v/>
      </c>
      <c r="AG140" s="30" t="str">
        <f aca="false">IF($A140="","",SUMIFS(工数明細!$G$3:$G$302,工数明細!$B$3:$B$302,$A140))</f>
        <v/>
      </c>
      <c r="AH140" s="31" t="str">
        <f aca="false">IF($AE140="","",$AE140-N($AG140))</f>
        <v/>
      </c>
      <c r="AI140" s="25" t="str">
        <f aca="false">IF(N($AE140)=0,"",$AG140/$AE140)</f>
        <v/>
      </c>
      <c r="AJ140" s="20" t="str">
        <f aca="false">IF(N($AE140)=0,"",IF($AG140&gt;$AE140,"超過",IF($AG140&gt;=$AE140*0.9,"注意","適正")))</f>
        <v/>
      </c>
      <c r="AK140" s="34"/>
    </row>
    <row r="141" customFormat="false" ht="18" hidden="false" customHeight="true" outlineLevel="0" collapsed="false">
      <c r="A141" s="33"/>
      <c r="B141" s="34"/>
      <c r="C141" s="34"/>
      <c r="D141" s="34"/>
      <c r="E141" s="34"/>
      <c r="F141" s="35"/>
      <c r="G141" s="34"/>
      <c r="H141" s="34"/>
      <c r="I141" s="36"/>
      <c r="J141" s="37"/>
      <c r="K141" s="37"/>
      <c r="L141" s="37"/>
      <c r="M141" s="37"/>
      <c r="N141" s="19" t="str">
        <f aca="false">IF($J141="","",YEAR($J141)-IF(MONTH($J141)&lt;マスタ!$B$4,1,0))</f>
        <v/>
      </c>
      <c r="O141" s="20" t="str">
        <f aca="false">IF($J141="","","Q"&amp;(INT(MOD(MONTH($J141)-マスタ!$B$4+12,12)/3)+1))</f>
        <v/>
      </c>
      <c r="P141" s="21" t="str">
        <f aca="true">IF($L141="","",IF($M141&lt;&gt;"",$M141-$L141,IF(TODAY()&gt;$L141,TODAY()-$L141,0)))</f>
        <v/>
      </c>
      <c r="Q141" s="38"/>
      <c r="R141" s="23" t="str">
        <f aca="false">IF($Q141="","",$Q141*N($F141))</f>
        <v/>
      </c>
      <c r="S141" s="38"/>
      <c r="T141" s="24" t="str">
        <f aca="false">IF($A141="","",SUMIFS(発注・納品!$H$3:$H$202,発注・納品!$B$3:$B$202,$A141))</f>
        <v/>
      </c>
      <c r="U141" s="23" t="str">
        <f aca="false">IF($Q141="","",N($S141)+N($T141))</f>
        <v/>
      </c>
      <c r="V141" s="23" t="str">
        <f aca="false">IF($Q141="","",$Q141-N($U141))</f>
        <v/>
      </c>
      <c r="W141" s="25" t="str">
        <f aca="false">IF(N($Q141)=0,"",$V141/$Q141)</f>
        <v/>
      </c>
      <c r="X141" s="26" t="str">
        <f aca="false">IF($A141="","",COUNTIFS(発注・納品!$B$3:$B$202,$A141))</f>
        <v/>
      </c>
      <c r="Y141" s="26" t="str">
        <f aca="false">IF($A141="","",COUNTIFS(発注・納品!$B$3:$B$202,$A141,発注・納品!$M$3:$M$202,""))</f>
        <v/>
      </c>
      <c r="Z141" s="27" t="str">
        <f aca="false">IF(N($X141)=0,"",IF(_xlfn.MAXIFS(発注・納品!$M$3:$M$202,発注・納品!$B$3:$B$202,$A141)=0,"",_xlfn.MAXIFS(発注・納品!$M$3:$M$202,発注・納品!$B$3:$B$202,$A141)))</f>
        <v/>
      </c>
      <c r="AA141" s="28" t="str">
        <f aca="false">IF($A141="","",IF(N($X141)=0,"機器なし",IF(N($Y141)&gt;0,"入荷待ち",IF(COUNTIFS(発注・納品!$B$3:$B$202,$A141,発注・納品!$N$3:$N$202,"")&gt;0,"受入待ち","受入完了"))))</f>
        <v/>
      </c>
      <c r="AB141" s="26" t="str">
        <f aca="false">IF($A141="","",COUNTIFS(現地作業!$A$3:$A$202,$A141,現地作業!$L$3:$L$202,"予定"))</f>
        <v/>
      </c>
      <c r="AC141" s="26" t="str">
        <f aca="false">IF($A141="","",COUNTIFS(現地作業!$A$3:$A$202,$A141,現地作業!$L$3:$L$202,"完了"))</f>
        <v/>
      </c>
      <c r="AD141" s="27" t="str">
        <f aca="true">IF(N($AB141)=0,"",IF(_xlfn.MINIFS(現地作業!$C$3:$C$202,現地作業!$A$3:$A$202,$A141,現地作業!$L$3:$L$202,"予定",現地作業!$C$3:$C$202,"&gt;="&amp;TODAY())=0,"",_xlfn.MINIFS(現地作業!$C$3:$C$202,現地作業!$A$3:$A$202,$A141,現地作業!$L$3:$L$202,"予定",現地作業!$C$3:$C$202,"&gt;="&amp;TODAY())))</f>
        <v/>
      </c>
      <c r="AE141" s="39"/>
      <c r="AF141" s="30" t="str">
        <f aca="false">IF($A141="","",SUM(月次工数計画!$G$146:$AD$146))</f>
        <v/>
      </c>
      <c r="AG141" s="30" t="str">
        <f aca="false">IF($A141="","",SUMIFS(工数明細!$G$3:$G$302,工数明細!$B$3:$B$302,$A141))</f>
        <v/>
      </c>
      <c r="AH141" s="31" t="str">
        <f aca="false">IF($AE141="","",$AE141-N($AG141))</f>
        <v/>
      </c>
      <c r="AI141" s="25" t="str">
        <f aca="false">IF(N($AE141)=0,"",$AG141/$AE141)</f>
        <v/>
      </c>
      <c r="AJ141" s="20" t="str">
        <f aca="false">IF(N($AE141)=0,"",IF($AG141&gt;$AE141,"超過",IF($AG141&gt;=$AE141*0.9,"注意","適正")))</f>
        <v/>
      </c>
      <c r="AK141" s="34"/>
    </row>
    <row r="142" customFormat="false" ht="18" hidden="false" customHeight="true" outlineLevel="0" collapsed="false">
      <c r="A142" s="33"/>
      <c r="B142" s="34"/>
      <c r="C142" s="34"/>
      <c r="D142" s="34"/>
      <c r="E142" s="34"/>
      <c r="F142" s="35"/>
      <c r="G142" s="34"/>
      <c r="H142" s="34"/>
      <c r="I142" s="36"/>
      <c r="J142" s="37"/>
      <c r="K142" s="37"/>
      <c r="L142" s="37"/>
      <c r="M142" s="37"/>
      <c r="N142" s="19" t="str">
        <f aca="false">IF($J142="","",YEAR($J142)-IF(MONTH($J142)&lt;マスタ!$B$4,1,0))</f>
        <v/>
      </c>
      <c r="O142" s="20" t="str">
        <f aca="false">IF($J142="","","Q"&amp;(INT(MOD(MONTH($J142)-マスタ!$B$4+12,12)/3)+1))</f>
        <v/>
      </c>
      <c r="P142" s="21" t="str">
        <f aca="true">IF($L142="","",IF($M142&lt;&gt;"",$M142-$L142,IF(TODAY()&gt;$L142,TODAY()-$L142,0)))</f>
        <v/>
      </c>
      <c r="Q142" s="38"/>
      <c r="R142" s="23" t="str">
        <f aca="false">IF($Q142="","",$Q142*N($F142))</f>
        <v/>
      </c>
      <c r="S142" s="38"/>
      <c r="T142" s="24" t="str">
        <f aca="false">IF($A142="","",SUMIFS(発注・納品!$H$3:$H$202,発注・納品!$B$3:$B$202,$A142))</f>
        <v/>
      </c>
      <c r="U142" s="23" t="str">
        <f aca="false">IF($Q142="","",N($S142)+N($T142))</f>
        <v/>
      </c>
      <c r="V142" s="23" t="str">
        <f aca="false">IF($Q142="","",$Q142-N($U142))</f>
        <v/>
      </c>
      <c r="W142" s="25" t="str">
        <f aca="false">IF(N($Q142)=0,"",$V142/$Q142)</f>
        <v/>
      </c>
      <c r="X142" s="26" t="str">
        <f aca="false">IF($A142="","",COUNTIFS(発注・納品!$B$3:$B$202,$A142))</f>
        <v/>
      </c>
      <c r="Y142" s="26" t="str">
        <f aca="false">IF($A142="","",COUNTIFS(発注・納品!$B$3:$B$202,$A142,発注・納品!$M$3:$M$202,""))</f>
        <v/>
      </c>
      <c r="Z142" s="27" t="str">
        <f aca="false">IF(N($X142)=0,"",IF(_xlfn.MAXIFS(発注・納品!$M$3:$M$202,発注・納品!$B$3:$B$202,$A142)=0,"",_xlfn.MAXIFS(発注・納品!$M$3:$M$202,発注・納品!$B$3:$B$202,$A142)))</f>
        <v/>
      </c>
      <c r="AA142" s="28" t="str">
        <f aca="false">IF($A142="","",IF(N($X142)=0,"機器なし",IF(N($Y142)&gt;0,"入荷待ち",IF(COUNTIFS(発注・納品!$B$3:$B$202,$A142,発注・納品!$N$3:$N$202,"")&gt;0,"受入待ち","受入完了"))))</f>
        <v/>
      </c>
      <c r="AB142" s="26" t="str">
        <f aca="false">IF($A142="","",COUNTIFS(現地作業!$A$3:$A$202,$A142,現地作業!$L$3:$L$202,"予定"))</f>
        <v/>
      </c>
      <c r="AC142" s="26" t="str">
        <f aca="false">IF($A142="","",COUNTIFS(現地作業!$A$3:$A$202,$A142,現地作業!$L$3:$L$202,"完了"))</f>
        <v/>
      </c>
      <c r="AD142" s="27" t="str">
        <f aca="true">IF(N($AB142)=0,"",IF(_xlfn.MINIFS(現地作業!$C$3:$C$202,現地作業!$A$3:$A$202,$A142,現地作業!$L$3:$L$202,"予定",現地作業!$C$3:$C$202,"&gt;="&amp;TODAY())=0,"",_xlfn.MINIFS(現地作業!$C$3:$C$202,現地作業!$A$3:$A$202,$A142,現地作業!$L$3:$L$202,"予定",現地作業!$C$3:$C$202,"&gt;="&amp;TODAY())))</f>
        <v/>
      </c>
      <c r="AE142" s="39"/>
      <c r="AF142" s="30" t="str">
        <f aca="false">IF($A142="","",SUM(月次工数計画!$G$147:$AD$147))</f>
        <v/>
      </c>
      <c r="AG142" s="30" t="str">
        <f aca="false">IF($A142="","",SUMIFS(工数明細!$G$3:$G$302,工数明細!$B$3:$B$302,$A142))</f>
        <v/>
      </c>
      <c r="AH142" s="31" t="str">
        <f aca="false">IF($AE142="","",$AE142-N($AG142))</f>
        <v/>
      </c>
      <c r="AI142" s="25" t="str">
        <f aca="false">IF(N($AE142)=0,"",$AG142/$AE142)</f>
        <v/>
      </c>
      <c r="AJ142" s="20" t="str">
        <f aca="false">IF(N($AE142)=0,"",IF($AG142&gt;$AE142,"超過",IF($AG142&gt;=$AE142*0.9,"注意","適正")))</f>
        <v/>
      </c>
      <c r="AK142" s="34"/>
    </row>
    <row r="143" customFormat="false" ht="18" hidden="false" customHeight="true" outlineLevel="0" collapsed="false">
      <c r="A143" s="33"/>
      <c r="B143" s="34"/>
      <c r="C143" s="34"/>
      <c r="D143" s="34"/>
      <c r="E143" s="34"/>
      <c r="F143" s="35"/>
      <c r="G143" s="34"/>
      <c r="H143" s="34"/>
      <c r="I143" s="36"/>
      <c r="J143" s="37"/>
      <c r="K143" s="37"/>
      <c r="L143" s="37"/>
      <c r="M143" s="37"/>
      <c r="N143" s="19" t="str">
        <f aca="false">IF($J143="","",YEAR($J143)-IF(MONTH($J143)&lt;マスタ!$B$4,1,0))</f>
        <v/>
      </c>
      <c r="O143" s="20" t="str">
        <f aca="false">IF($J143="","","Q"&amp;(INT(MOD(MONTH($J143)-マスタ!$B$4+12,12)/3)+1))</f>
        <v/>
      </c>
      <c r="P143" s="21" t="str">
        <f aca="true">IF($L143="","",IF($M143&lt;&gt;"",$M143-$L143,IF(TODAY()&gt;$L143,TODAY()-$L143,0)))</f>
        <v/>
      </c>
      <c r="Q143" s="38"/>
      <c r="R143" s="23" t="str">
        <f aca="false">IF($Q143="","",$Q143*N($F143))</f>
        <v/>
      </c>
      <c r="S143" s="38"/>
      <c r="T143" s="24" t="str">
        <f aca="false">IF($A143="","",SUMIFS(発注・納品!$H$3:$H$202,発注・納品!$B$3:$B$202,$A143))</f>
        <v/>
      </c>
      <c r="U143" s="23" t="str">
        <f aca="false">IF($Q143="","",N($S143)+N($T143))</f>
        <v/>
      </c>
      <c r="V143" s="23" t="str">
        <f aca="false">IF($Q143="","",$Q143-N($U143))</f>
        <v/>
      </c>
      <c r="W143" s="25" t="str">
        <f aca="false">IF(N($Q143)=0,"",$V143/$Q143)</f>
        <v/>
      </c>
      <c r="X143" s="26" t="str">
        <f aca="false">IF($A143="","",COUNTIFS(発注・納品!$B$3:$B$202,$A143))</f>
        <v/>
      </c>
      <c r="Y143" s="26" t="str">
        <f aca="false">IF($A143="","",COUNTIFS(発注・納品!$B$3:$B$202,$A143,発注・納品!$M$3:$M$202,""))</f>
        <v/>
      </c>
      <c r="Z143" s="27" t="str">
        <f aca="false">IF(N($X143)=0,"",IF(_xlfn.MAXIFS(発注・納品!$M$3:$M$202,発注・納品!$B$3:$B$202,$A143)=0,"",_xlfn.MAXIFS(発注・納品!$M$3:$M$202,発注・納品!$B$3:$B$202,$A143)))</f>
        <v/>
      </c>
      <c r="AA143" s="28" t="str">
        <f aca="false">IF($A143="","",IF(N($X143)=0,"機器なし",IF(N($Y143)&gt;0,"入荷待ち",IF(COUNTIFS(発注・納品!$B$3:$B$202,$A143,発注・納品!$N$3:$N$202,"")&gt;0,"受入待ち","受入完了"))))</f>
        <v/>
      </c>
      <c r="AB143" s="26" t="str">
        <f aca="false">IF($A143="","",COUNTIFS(現地作業!$A$3:$A$202,$A143,現地作業!$L$3:$L$202,"予定"))</f>
        <v/>
      </c>
      <c r="AC143" s="26" t="str">
        <f aca="false">IF($A143="","",COUNTIFS(現地作業!$A$3:$A$202,$A143,現地作業!$L$3:$L$202,"完了"))</f>
        <v/>
      </c>
      <c r="AD143" s="27" t="str">
        <f aca="true">IF(N($AB143)=0,"",IF(_xlfn.MINIFS(現地作業!$C$3:$C$202,現地作業!$A$3:$A$202,$A143,現地作業!$L$3:$L$202,"予定",現地作業!$C$3:$C$202,"&gt;="&amp;TODAY())=0,"",_xlfn.MINIFS(現地作業!$C$3:$C$202,現地作業!$A$3:$A$202,$A143,現地作業!$L$3:$L$202,"予定",現地作業!$C$3:$C$202,"&gt;="&amp;TODAY())))</f>
        <v/>
      </c>
      <c r="AE143" s="39"/>
      <c r="AF143" s="30" t="str">
        <f aca="false">IF($A143="","",SUM(月次工数計画!$G$148:$AD$148))</f>
        <v/>
      </c>
      <c r="AG143" s="30" t="str">
        <f aca="false">IF($A143="","",SUMIFS(工数明細!$G$3:$G$302,工数明細!$B$3:$B$302,$A143))</f>
        <v/>
      </c>
      <c r="AH143" s="31" t="str">
        <f aca="false">IF($AE143="","",$AE143-N($AG143))</f>
        <v/>
      </c>
      <c r="AI143" s="25" t="str">
        <f aca="false">IF(N($AE143)=0,"",$AG143/$AE143)</f>
        <v/>
      </c>
      <c r="AJ143" s="20" t="str">
        <f aca="false">IF(N($AE143)=0,"",IF($AG143&gt;$AE143,"超過",IF($AG143&gt;=$AE143*0.9,"注意","適正")))</f>
        <v/>
      </c>
      <c r="AK143" s="34"/>
    </row>
    <row r="144" customFormat="false" ht="18" hidden="false" customHeight="true" outlineLevel="0" collapsed="false">
      <c r="A144" s="33"/>
      <c r="B144" s="34"/>
      <c r="C144" s="34"/>
      <c r="D144" s="34"/>
      <c r="E144" s="34"/>
      <c r="F144" s="35"/>
      <c r="G144" s="34"/>
      <c r="H144" s="34"/>
      <c r="I144" s="36"/>
      <c r="J144" s="37"/>
      <c r="K144" s="37"/>
      <c r="L144" s="37"/>
      <c r="M144" s="37"/>
      <c r="N144" s="19" t="str">
        <f aca="false">IF($J144="","",YEAR($J144)-IF(MONTH($J144)&lt;マスタ!$B$4,1,0))</f>
        <v/>
      </c>
      <c r="O144" s="20" t="str">
        <f aca="false">IF($J144="","","Q"&amp;(INT(MOD(MONTH($J144)-マスタ!$B$4+12,12)/3)+1))</f>
        <v/>
      </c>
      <c r="P144" s="21" t="str">
        <f aca="true">IF($L144="","",IF($M144&lt;&gt;"",$M144-$L144,IF(TODAY()&gt;$L144,TODAY()-$L144,0)))</f>
        <v/>
      </c>
      <c r="Q144" s="38"/>
      <c r="R144" s="23" t="str">
        <f aca="false">IF($Q144="","",$Q144*N($F144))</f>
        <v/>
      </c>
      <c r="S144" s="38"/>
      <c r="T144" s="24" t="str">
        <f aca="false">IF($A144="","",SUMIFS(発注・納品!$H$3:$H$202,発注・納品!$B$3:$B$202,$A144))</f>
        <v/>
      </c>
      <c r="U144" s="23" t="str">
        <f aca="false">IF($Q144="","",N($S144)+N($T144))</f>
        <v/>
      </c>
      <c r="V144" s="23" t="str">
        <f aca="false">IF($Q144="","",$Q144-N($U144))</f>
        <v/>
      </c>
      <c r="W144" s="25" t="str">
        <f aca="false">IF(N($Q144)=0,"",$V144/$Q144)</f>
        <v/>
      </c>
      <c r="X144" s="26" t="str">
        <f aca="false">IF($A144="","",COUNTIFS(発注・納品!$B$3:$B$202,$A144))</f>
        <v/>
      </c>
      <c r="Y144" s="26" t="str">
        <f aca="false">IF($A144="","",COUNTIFS(発注・納品!$B$3:$B$202,$A144,発注・納品!$M$3:$M$202,""))</f>
        <v/>
      </c>
      <c r="Z144" s="27" t="str">
        <f aca="false">IF(N($X144)=0,"",IF(_xlfn.MAXIFS(発注・納品!$M$3:$M$202,発注・納品!$B$3:$B$202,$A144)=0,"",_xlfn.MAXIFS(発注・納品!$M$3:$M$202,発注・納品!$B$3:$B$202,$A144)))</f>
        <v/>
      </c>
      <c r="AA144" s="28" t="str">
        <f aca="false">IF($A144="","",IF(N($X144)=0,"機器なし",IF(N($Y144)&gt;0,"入荷待ち",IF(COUNTIFS(発注・納品!$B$3:$B$202,$A144,発注・納品!$N$3:$N$202,"")&gt;0,"受入待ち","受入完了"))))</f>
        <v/>
      </c>
      <c r="AB144" s="26" t="str">
        <f aca="false">IF($A144="","",COUNTIFS(現地作業!$A$3:$A$202,$A144,現地作業!$L$3:$L$202,"予定"))</f>
        <v/>
      </c>
      <c r="AC144" s="26" t="str">
        <f aca="false">IF($A144="","",COUNTIFS(現地作業!$A$3:$A$202,$A144,現地作業!$L$3:$L$202,"完了"))</f>
        <v/>
      </c>
      <c r="AD144" s="27" t="str">
        <f aca="true">IF(N($AB144)=0,"",IF(_xlfn.MINIFS(現地作業!$C$3:$C$202,現地作業!$A$3:$A$202,$A144,現地作業!$L$3:$L$202,"予定",現地作業!$C$3:$C$202,"&gt;="&amp;TODAY())=0,"",_xlfn.MINIFS(現地作業!$C$3:$C$202,現地作業!$A$3:$A$202,$A144,現地作業!$L$3:$L$202,"予定",現地作業!$C$3:$C$202,"&gt;="&amp;TODAY())))</f>
        <v/>
      </c>
      <c r="AE144" s="39"/>
      <c r="AF144" s="30" t="str">
        <f aca="false">IF($A144="","",SUM(月次工数計画!$G$149:$AD$149))</f>
        <v/>
      </c>
      <c r="AG144" s="30" t="str">
        <f aca="false">IF($A144="","",SUMIFS(工数明細!$G$3:$G$302,工数明細!$B$3:$B$302,$A144))</f>
        <v/>
      </c>
      <c r="AH144" s="31" t="str">
        <f aca="false">IF($AE144="","",$AE144-N($AG144))</f>
        <v/>
      </c>
      <c r="AI144" s="25" t="str">
        <f aca="false">IF(N($AE144)=0,"",$AG144/$AE144)</f>
        <v/>
      </c>
      <c r="AJ144" s="20" t="str">
        <f aca="false">IF(N($AE144)=0,"",IF($AG144&gt;$AE144,"超過",IF($AG144&gt;=$AE144*0.9,"注意","適正")))</f>
        <v/>
      </c>
      <c r="AK144" s="34"/>
    </row>
    <row r="145" customFormat="false" ht="18" hidden="false" customHeight="true" outlineLevel="0" collapsed="false">
      <c r="A145" s="33"/>
      <c r="B145" s="34"/>
      <c r="C145" s="34"/>
      <c r="D145" s="34"/>
      <c r="E145" s="34"/>
      <c r="F145" s="35"/>
      <c r="G145" s="34"/>
      <c r="H145" s="34"/>
      <c r="I145" s="36"/>
      <c r="J145" s="37"/>
      <c r="K145" s="37"/>
      <c r="L145" s="37"/>
      <c r="M145" s="37"/>
      <c r="N145" s="19" t="str">
        <f aca="false">IF($J145="","",YEAR($J145)-IF(MONTH($J145)&lt;マスタ!$B$4,1,0))</f>
        <v/>
      </c>
      <c r="O145" s="20" t="str">
        <f aca="false">IF($J145="","","Q"&amp;(INT(MOD(MONTH($J145)-マスタ!$B$4+12,12)/3)+1))</f>
        <v/>
      </c>
      <c r="P145" s="21" t="str">
        <f aca="true">IF($L145="","",IF($M145&lt;&gt;"",$M145-$L145,IF(TODAY()&gt;$L145,TODAY()-$L145,0)))</f>
        <v/>
      </c>
      <c r="Q145" s="38"/>
      <c r="R145" s="23" t="str">
        <f aca="false">IF($Q145="","",$Q145*N($F145))</f>
        <v/>
      </c>
      <c r="S145" s="38"/>
      <c r="T145" s="24" t="str">
        <f aca="false">IF($A145="","",SUMIFS(発注・納品!$H$3:$H$202,発注・納品!$B$3:$B$202,$A145))</f>
        <v/>
      </c>
      <c r="U145" s="23" t="str">
        <f aca="false">IF($Q145="","",N($S145)+N($T145))</f>
        <v/>
      </c>
      <c r="V145" s="23" t="str">
        <f aca="false">IF($Q145="","",$Q145-N($U145))</f>
        <v/>
      </c>
      <c r="W145" s="25" t="str">
        <f aca="false">IF(N($Q145)=0,"",$V145/$Q145)</f>
        <v/>
      </c>
      <c r="X145" s="26" t="str">
        <f aca="false">IF($A145="","",COUNTIFS(発注・納品!$B$3:$B$202,$A145))</f>
        <v/>
      </c>
      <c r="Y145" s="26" t="str">
        <f aca="false">IF($A145="","",COUNTIFS(発注・納品!$B$3:$B$202,$A145,発注・納品!$M$3:$M$202,""))</f>
        <v/>
      </c>
      <c r="Z145" s="27" t="str">
        <f aca="false">IF(N($X145)=0,"",IF(_xlfn.MAXIFS(発注・納品!$M$3:$M$202,発注・納品!$B$3:$B$202,$A145)=0,"",_xlfn.MAXIFS(発注・納品!$M$3:$M$202,発注・納品!$B$3:$B$202,$A145)))</f>
        <v/>
      </c>
      <c r="AA145" s="28" t="str">
        <f aca="false">IF($A145="","",IF(N($X145)=0,"機器なし",IF(N($Y145)&gt;0,"入荷待ち",IF(COUNTIFS(発注・納品!$B$3:$B$202,$A145,発注・納品!$N$3:$N$202,"")&gt;0,"受入待ち","受入完了"))))</f>
        <v/>
      </c>
      <c r="AB145" s="26" t="str">
        <f aca="false">IF($A145="","",COUNTIFS(現地作業!$A$3:$A$202,$A145,現地作業!$L$3:$L$202,"予定"))</f>
        <v/>
      </c>
      <c r="AC145" s="26" t="str">
        <f aca="false">IF($A145="","",COUNTIFS(現地作業!$A$3:$A$202,$A145,現地作業!$L$3:$L$202,"完了"))</f>
        <v/>
      </c>
      <c r="AD145" s="27" t="str">
        <f aca="true">IF(N($AB145)=0,"",IF(_xlfn.MINIFS(現地作業!$C$3:$C$202,現地作業!$A$3:$A$202,$A145,現地作業!$L$3:$L$202,"予定",現地作業!$C$3:$C$202,"&gt;="&amp;TODAY())=0,"",_xlfn.MINIFS(現地作業!$C$3:$C$202,現地作業!$A$3:$A$202,$A145,現地作業!$L$3:$L$202,"予定",現地作業!$C$3:$C$202,"&gt;="&amp;TODAY())))</f>
        <v/>
      </c>
      <c r="AE145" s="39"/>
      <c r="AF145" s="30" t="str">
        <f aca="false">IF($A145="","",SUM(月次工数計画!$G$150:$AD$150))</f>
        <v/>
      </c>
      <c r="AG145" s="30" t="str">
        <f aca="false">IF($A145="","",SUMIFS(工数明細!$G$3:$G$302,工数明細!$B$3:$B$302,$A145))</f>
        <v/>
      </c>
      <c r="AH145" s="31" t="str">
        <f aca="false">IF($AE145="","",$AE145-N($AG145))</f>
        <v/>
      </c>
      <c r="AI145" s="25" t="str">
        <f aca="false">IF(N($AE145)=0,"",$AG145/$AE145)</f>
        <v/>
      </c>
      <c r="AJ145" s="20" t="str">
        <f aca="false">IF(N($AE145)=0,"",IF($AG145&gt;$AE145,"超過",IF($AG145&gt;=$AE145*0.9,"注意","適正")))</f>
        <v/>
      </c>
      <c r="AK145" s="34"/>
    </row>
    <row r="146" customFormat="false" ht="18" hidden="false" customHeight="true" outlineLevel="0" collapsed="false">
      <c r="A146" s="33"/>
      <c r="B146" s="34"/>
      <c r="C146" s="34"/>
      <c r="D146" s="34"/>
      <c r="E146" s="34"/>
      <c r="F146" s="35"/>
      <c r="G146" s="34"/>
      <c r="H146" s="34"/>
      <c r="I146" s="36"/>
      <c r="J146" s="37"/>
      <c r="K146" s="37"/>
      <c r="L146" s="37"/>
      <c r="M146" s="37"/>
      <c r="N146" s="19" t="str">
        <f aca="false">IF($J146="","",YEAR($J146)-IF(MONTH($J146)&lt;マスタ!$B$4,1,0))</f>
        <v/>
      </c>
      <c r="O146" s="20" t="str">
        <f aca="false">IF($J146="","","Q"&amp;(INT(MOD(MONTH($J146)-マスタ!$B$4+12,12)/3)+1))</f>
        <v/>
      </c>
      <c r="P146" s="21" t="str">
        <f aca="true">IF($L146="","",IF($M146&lt;&gt;"",$M146-$L146,IF(TODAY()&gt;$L146,TODAY()-$L146,0)))</f>
        <v/>
      </c>
      <c r="Q146" s="38"/>
      <c r="R146" s="23" t="str">
        <f aca="false">IF($Q146="","",$Q146*N($F146))</f>
        <v/>
      </c>
      <c r="S146" s="38"/>
      <c r="T146" s="24" t="str">
        <f aca="false">IF($A146="","",SUMIFS(発注・納品!$H$3:$H$202,発注・納品!$B$3:$B$202,$A146))</f>
        <v/>
      </c>
      <c r="U146" s="23" t="str">
        <f aca="false">IF($Q146="","",N($S146)+N($T146))</f>
        <v/>
      </c>
      <c r="V146" s="23" t="str">
        <f aca="false">IF($Q146="","",$Q146-N($U146))</f>
        <v/>
      </c>
      <c r="W146" s="25" t="str">
        <f aca="false">IF(N($Q146)=0,"",$V146/$Q146)</f>
        <v/>
      </c>
      <c r="X146" s="26" t="str">
        <f aca="false">IF($A146="","",COUNTIFS(発注・納品!$B$3:$B$202,$A146))</f>
        <v/>
      </c>
      <c r="Y146" s="26" t="str">
        <f aca="false">IF($A146="","",COUNTIFS(発注・納品!$B$3:$B$202,$A146,発注・納品!$M$3:$M$202,""))</f>
        <v/>
      </c>
      <c r="Z146" s="27" t="str">
        <f aca="false">IF(N($X146)=0,"",IF(_xlfn.MAXIFS(発注・納品!$M$3:$M$202,発注・納品!$B$3:$B$202,$A146)=0,"",_xlfn.MAXIFS(発注・納品!$M$3:$M$202,発注・納品!$B$3:$B$202,$A146)))</f>
        <v/>
      </c>
      <c r="AA146" s="28" t="str">
        <f aca="false">IF($A146="","",IF(N($X146)=0,"機器なし",IF(N($Y146)&gt;0,"入荷待ち",IF(COUNTIFS(発注・納品!$B$3:$B$202,$A146,発注・納品!$N$3:$N$202,"")&gt;0,"受入待ち","受入完了"))))</f>
        <v/>
      </c>
      <c r="AB146" s="26" t="str">
        <f aca="false">IF($A146="","",COUNTIFS(現地作業!$A$3:$A$202,$A146,現地作業!$L$3:$L$202,"予定"))</f>
        <v/>
      </c>
      <c r="AC146" s="26" t="str">
        <f aca="false">IF($A146="","",COUNTIFS(現地作業!$A$3:$A$202,$A146,現地作業!$L$3:$L$202,"完了"))</f>
        <v/>
      </c>
      <c r="AD146" s="27" t="str">
        <f aca="true">IF(N($AB146)=0,"",IF(_xlfn.MINIFS(現地作業!$C$3:$C$202,現地作業!$A$3:$A$202,$A146,現地作業!$L$3:$L$202,"予定",現地作業!$C$3:$C$202,"&gt;="&amp;TODAY())=0,"",_xlfn.MINIFS(現地作業!$C$3:$C$202,現地作業!$A$3:$A$202,$A146,現地作業!$L$3:$L$202,"予定",現地作業!$C$3:$C$202,"&gt;="&amp;TODAY())))</f>
        <v/>
      </c>
      <c r="AE146" s="39"/>
      <c r="AF146" s="30" t="str">
        <f aca="false">IF($A146="","",SUM(月次工数計画!$G$151:$AD$151))</f>
        <v/>
      </c>
      <c r="AG146" s="30" t="str">
        <f aca="false">IF($A146="","",SUMIFS(工数明細!$G$3:$G$302,工数明細!$B$3:$B$302,$A146))</f>
        <v/>
      </c>
      <c r="AH146" s="31" t="str">
        <f aca="false">IF($AE146="","",$AE146-N($AG146))</f>
        <v/>
      </c>
      <c r="AI146" s="25" t="str">
        <f aca="false">IF(N($AE146)=0,"",$AG146/$AE146)</f>
        <v/>
      </c>
      <c r="AJ146" s="20" t="str">
        <f aca="false">IF(N($AE146)=0,"",IF($AG146&gt;$AE146,"超過",IF($AG146&gt;=$AE146*0.9,"注意","適正")))</f>
        <v/>
      </c>
      <c r="AK146" s="34"/>
    </row>
    <row r="147" customFormat="false" ht="18" hidden="false" customHeight="true" outlineLevel="0" collapsed="false">
      <c r="A147" s="33"/>
      <c r="B147" s="34"/>
      <c r="C147" s="34"/>
      <c r="D147" s="34"/>
      <c r="E147" s="34"/>
      <c r="F147" s="35"/>
      <c r="G147" s="34"/>
      <c r="H147" s="34"/>
      <c r="I147" s="36"/>
      <c r="J147" s="37"/>
      <c r="K147" s="37"/>
      <c r="L147" s="37"/>
      <c r="M147" s="37"/>
      <c r="N147" s="19" t="str">
        <f aca="false">IF($J147="","",YEAR($J147)-IF(MONTH($J147)&lt;マスタ!$B$4,1,0))</f>
        <v/>
      </c>
      <c r="O147" s="20" t="str">
        <f aca="false">IF($J147="","","Q"&amp;(INT(MOD(MONTH($J147)-マスタ!$B$4+12,12)/3)+1))</f>
        <v/>
      </c>
      <c r="P147" s="21" t="str">
        <f aca="true">IF($L147="","",IF($M147&lt;&gt;"",$M147-$L147,IF(TODAY()&gt;$L147,TODAY()-$L147,0)))</f>
        <v/>
      </c>
      <c r="Q147" s="38"/>
      <c r="R147" s="23" t="str">
        <f aca="false">IF($Q147="","",$Q147*N($F147))</f>
        <v/>
      </c>
      <c r="S147" s="38"/>
      <c r="T147" s="24" t="str">
        <f aca="false">IF($A147="","",SUMIFS(発注・納品!$H$3:$H$202,発注・納品!$B$3:$B$202,$A147))</f>
        <v/>
      </c>
      <c r="U147" s="23" t="str">
        <f aca="false">IF($Q147="","",N($S147)+N($T147))</f>
        <v/>
      </c>
      <c r="V147" s="23" t="str">
        <f aca="false">IF($Q147="","",$Q147-N($U147))</f>
        <v/>
      </c>
      <c r="W147" s="25" t="str">
        <f aca="false">IF(N($Q147)=0,"",$V147/$Q147)</f>
        <v/>
      </c>
      <c r="X147" s="26" t="str">
        <f aca="false">IF($A147="","",COUNTIFS(発注・納品!$B$3:$B$202,$A147))</f>
        <v/>
      </c>
      <c r="Y147" s="26" t="str">
        <f aca="false">IF($A147="","",COUNTIFS(発注・納品!$B$3:$B$202,$A147,発注・納品!$M$3:$M$202,""))</f>
        <v/>
      </c>
      <c r="Z147" s="27" t="str">
        <f aca="false">IF(N($X147)=0,"",IF(_xlfn.MAXIFS(発注・納品!$M$3:$M$202,発注・納品!$B$3:$B$202,$A147)=0,"",_xlfn.MAXIFS(発注・納品!$M$3:$M$202,発注・納品!$B$3:$B$202,$A147)))</f>
        <v/>
      </c>
      <c r="AA147" s="28" t="str">
        <f aca="false">IF($A147="","",IF(N($X147)=0,"機器なし",IF(N($Y147)&gt;0,"入荷待ち",IF(COUNTIFS(発注・納品!$B$3:$B$202,$A147,発注・納品!$N$3:$N$202,"")&gt;0,"受入待ち","受入完了"))))</f>
        <v/>
      </c>
      <c r="AB147" s="26" t="str">
        <f aca="false">IF($A147="","",COUNTIFS(現地作業!$A$3:$A$202,$A147,現地作業!$L$3:$L$202,"予定"))</f>
        <v/>
      </c>
      <c r="AC147" s="26" t="str">
        <f aca="false">IF($A147="","",COUNTIFS(現地作業!$A$3:$A$202,$A147,現地作業!$L$3:$L$202,"完了"))</f>
        <v/>
      </c>
      <c r="AD147" s="27" t="str">
        <f aca="true">IF(N($AB147)=0,"",IF(_xlfn.MINIFS(現地作業!$C$3:$C$202,現地作業!$A$3:$A$202,$A147,現地作業!$L$3:$L$202,"予定",現地作業!$C$3:$C$202,"&gt;="&amp;TODAY())=0,"",_xlfn.MINIFS(現地作業!$C$3:$C$202,現地作業!$A$3:$A$202,$A147,現地作業!$L$3:$L$202,"予定",現地作業!$C$3:$C$202,"&gt;="&amp;TODAY())))</f>
        <v/>
      </c>
      <c r="AE147" s="39"/>
      <c r="AF147" s="30" t="str">
        <f aca="false">IF($A147="","",SUM(月次工数計画!$G$152:$AD$152))</f>
        <v/>
      </c>
      <c r="AG147" s="30" t="str">
        <f aca="false">IF($A147="","",SUMIFS(工数明細!$G$3:$G$302,工数明細!$B$3:$B$302,$A147))</f>
        <v/>
      </c>
      <c r="AH147" s="31" t="str">
        <f aca="false">IF($AE147="","",$AE147-N($AG147))</f>
        <v/>
      </c>
      <c r="AI147" s="25" t="str">
        <f aca="false">IF(N($AE147)=0,"",$AG147/$AE147)</f>
        <v/>
      </c>
      <c r="AJ147" s="20" t="str">
        <f aca="false">IF(N($AE147)=0,"",IF($AG147&gt;$AE147,"超過",IF($AG147&gt;=$AE147*0.9,"注意","適正")))</f>
        <v/>
      </c>
      <c r="AK147" s="34"/>
    </row>
    <row r="148" customFormat="false" ht="18" hidden="false" customHeight="true" outlineLevel="0" collapsed="false">
      <c r="A148" s="33"/>
      <c r="B148" s="34"/>
      <c r="C148" s="34"/>
      <c r="D148" s="34"/>
      <c r="E148" s="34"/>
      <c r="F148" s="35"/>
      <c r="G148" s="34"/>
      <c r="H148" s="34"/>
      <c r="I148" s="36"/>
      <c r="J148" s="37"/>
      <c r="K148" s="37"/>
      <c r="L148" s="37"/>
      <c r="M148" s="37"/>
      <c r="N148" s="19" t="str">
        <f aca="false">IF($J148="","",YEAR($J148)-IF(MONTH($J148)&lt;マスタ!$B$4,1,0))</f>
        <v/>
      </c>
      <c r="O148" s="20" t="str">
        <f aca="false">IF($J148="","","Q"&amp;(INT(MOD(MONTH($J148)-マスタ!$B$4+12,12)/3)+1))</f>
        <v/>
      </c>
      <c r="P148" s="21" t="str">
        <f aca="true">IF($L148="","",IF($M148&lt;&gt;"",$M148-$L148,IF(TODAY()&gt;$L148,TODAY()-$L148,0)))</f>
        <v/>
      </c>
      <c r="Q148" s="38"/>
      <c r="R148" s="23" t="str">
        <f aca="false">IF($Q148="","",$Q148*N($F148))</f>
        <v/>
      </c>
      <c r="S148" s="38"/>
      <c r="T148" s="24" t="str">
        <f aca="false">IF($A148="","",SUMIFS(発注・納品!$H$3:$H$202,発注・納品!$B$3:$B$202,$A148))</f>
        <v/>
      </c>
      <c r="U148" s="23" t="str">
        <f aca="false">IF($Q148="","",N($S148)+N($T148))</f>
        <v/>
      </c>
      <c r="V148" s="23" t="str">
        <f aca="false">IF($Q148="","",$Q148-N($U148))</f>
        <v/>
      </c>
      <c r="W148" s="25" t="str">
        <f aca="false">IF(N($Q148)=0,"",$V148/$Q148)</f>
        <v/>
      </c>
      <c r="X148" s="26" t="str">
        <f aca="false">IF($A148="","",COUNTIFS(発注・納品!$B$3:$B$202,$A148))</f>
        <v/>
      </c>
      <c r="Y148" s="26" t="str">
        <f aca="false">IF($A148="","",COUNTIFS(発注・納品!$B$3:$B$202,$A148,発注・納品!$M$3:$M$202,""))</f>
        <v/>
      </c>
      <c r="Z148" s="27" t="str">
        <f aca="false">IF(N($X148)=0,"",IF(_xlfn.MAXIFS(発注・納品!$M$3:$M$202,発注・納品!$B$3:$B$202,$A148)=0,"",_xlfn.MAXIFS(発注・納品!$M$3:$M$202,発注・納品!$B$3:$B$202,$A148)))</f>
        <v/>
      </c>
      <c r="AA148" s="28" t="str">
        <f aca="false">IF($A148="","",IF(N($X148)=0,"機器なし",IF(N($Y148)&gt;0,"入荷待ち",IF(COUNTIFS(発注・納品!$B$3:$B$202,$A148,発注・納品!$N$3:$N$202,"")&gt;0,"受入待ち","受入完了"))))</f>
        <v/>
      </c>
      <c r="AB148" s="26" t="str">
        <f aca="false">IF($A148="","",COUNTIFS(現地作業!$A$3:$A$202,$A148,現地作業!$L$3:$L$202,"予定"))</f>
        <v/>
      </c>
      <c r="AC148" s="26" t="str">
        <f aca="false">IF($A148="","",COUNTIFS(現地作業!$A$3:$A$202,$A148,現地作業!$L$3:$L$202,"完了"))</f>
        <v/>
      </c>
      <c r="AD148" s="27" t="str">
        <f aca="true">IF(N($AB148)=0,"",IF(_xlfn.MINIFS(現地作業!$C$3:$C$202,現地作業!$A$3:$A$202,$A148,現地作業!$L$3:$L$202,"予定",現地作業!$C$3:$C$202,"&gt;="&amp;TODAY())=0,"",_xlfn.MINIFS(現地作業!$C$3:$C$202,現地作業!$A$3:$A$202,$A148,現地作業!$L$3:$L$202,"予定",現地作業!$C$3:$C$202,"&gt;="&amp;TODAY())))</f>
        <v/>
      </c>
      <c r="AE148" s="39"/>
      <c r="AF148" s="30" t="str">
        <f aca="false">IF($A148="","",SUM(月次工数計画!$G$153:$AD$153))</f>
        <v/>
      </c>
      <c r="AG148" s="30" t="str">
        <f aca="false">IF($A148="","",SUMIFS(工数明細!$G$3:$G$302,工数明細!$B$3:$B$302,$A148))</f>
        <v/>
      </c>
      <c r="AH148" s="31" t="str">
        <f aca="false">IF($AE148="","",$AE148-N($AG148))</f>
        <v/>
      </c>
      <c r="AI148" s="25" t="str">
        <f aca="false">IF(N($AE148)=0,"",$AG148/$AE148)</f>
        <v/>
      </c>
      <c r="AJ148" s="20" t="str">
        <f aca="false">IF(N($AE148)=0,"",IF($AG148&gt;$AE148,"超過",IF($AG148&gt;=$AE148*0.9,"注意","適正")))</f>
        <v/>
      </c>
      <c r="AK148" s="34"/>
    </row>
    <row r="149" customFormat="false" ht="18" hidden="false" customHeight="true" outlineLevel="0" collapsed="false">
      <c r="A149" s="33"/>
      <c r="B149" s="34"/>
      <c r="C149" s="34"/>
      <c r="D149" s="34"/>
      <c r="E149" s="34"/>
      <c r="F149" s="35"/>
      <c r="G149" s="34"/>
      <c r="H149" s="34"/>
      <c r="I149" s="36"/>
      <c r="J149" s="37"/>
      <c r="K149" s="37"/>
      <c r="L149" s="37"/>
      <c r="M149" s="37"/>
      <c r="N149" s="19" t="str">
        <f aca="false">IF($J149="","",YEAR($J149)-IF(MONTH($J149)&lt;マスタ!$B$4,1,0))</f>
        <v/>
      </c>
      <c r="O149" s="20" t="str">
        <f aca="false">IF($J149="","","Q"&amp;(INT(MOD(MONTH($J149)-マスタ!$B$4+12,12)/3)+1))</f>
        <v/>
      </c>
      <c r="P149" s="21" t="str">
        <f aca="true">IF($L149="","",IF($M149&lt;&gt;"",$M149-$L149,IF(TODAY()&gt;$L149,TODAY()-$L149,0)))</f>
        <v/>
      </c>
      <c r="Q149" s="38"/>
      <c r="R149" s="23" t="str">
        <f aca="false">IF($Q149="","",$Q149*N($F149))</f>
        <v/>
      </c>
      <c r="S149" s="38"/>
      <c r="T149" s="24" t="str">
        <f aca="false">IF($A149="","",SUMIFS(発注・納品!$H$3:$H$202,発注・納品!$B$3:$B$202,$A149))</f>
        <v/>
      </c>
      <c r="U149" s="23" t="str">
        <f aca="false">IF($Q149="","",N($S149)+N($T149))</f>
        <v/>
      </c>
      <c r="V149" s="23" t="str">
        <f aca="false">IF($Q149="","",$Q149-N($U149))</f>
        <v/>
      </c>
      <c r="W149" s="25" t="str">
        <f aca="false">IF(N($Q149)=0,"",$V149/$Q149)</f>
        <v/>
      </c>
      <c r="X149" s="26" t="str">
        <f aca="false">IF($A149="","",COUNTIFS(発注・納品!$B$3:$B$202,$A149))</f>
        <v/>
      </c>
      <c r="Y149" s="26" t="str">
        <f aca="false">IF($A149="","",COUNTIFS(発注・納品!$B$3:$B$202,$A149,発注・納品!$M$3:$M$202,""))</f>
        <v/>
      </c>
      <c r="Z149" s="27" t="str">
        <f aca="false">IF(N($X149)=0,"",IF(_xlfn.MAXIFS(発注・納品!$M$3:$M$202,発注・納品!$B$3:$B$202,$A149)=0,"",_xlfn.MAXIFS(発注・納品!$M$3:$M$202,発注・納品!$B$3:$B$202,$A149)))</f>
        <v/>
      </c>
      <c r="AA149" s="28" t="str">
        <f aca="false">IF($A149="","",IF(N($X149)=0,"機器なし",IF(N($Y149)&gt;0,"入荷待ち",IF(COUNTIFS(発注・納品!$B$3:$B$202,$A149,発注・納品!$N$3:$N$202,"")&gt;0,"受入待ち","受入完了"))))</f>
        <v/>
      </c>
      <c r="AB149" s="26" t="str">
        <f aca="false">IF($A149="","",COUNTIFS(現地作業!$A$3:$A$202,$A149,現地作業!$L$3:$L$202,"予定"))</f>
        <v/>
      </c>
      <c r="AC149" s="26" t="str">
        <f aca="false">IF($A149="","",COUNTIFS(現地作業!$A$3:$A$202,$A149,現地作業!$L$3:$L$202,"完了"))</f>
        <v/>
      </c>
      <c r="AD149" s="27" t="str">
        <f aca="true">IF(N($AB149)=0,"",IF(_xlfn.MINIFS(現地作業!$C$3:$C$202,現地作業!$A$3:$A$202,$A149,現地作業!$L$3:$L$202,"予定",現地作業!$C$3:$C$202,"&gt;="&amp;TODAY())=0,"",_xlfn.MINIFS(現地作業!$C$3:$C$202,現地作業!$A$3:$A$202,$A149,現地作業!$L$3:$L$202,"予定",現地作業!$C$3:$C$202,"&gt;="&amp;TODAY())))</f>
        <v/>
      </c>
      <c r="AE149" s="39"/>
      <c r="AF149" s="30" t="str">
        <f aca="false">IF($A149="","",SUM(月次工数計画!$G$154:$AD$154))</f>
        <v/>
      </c>
      <c r="AG149" s="30" t="str">
        <f aca="false">IF($A149="","",SUMIFS(工数明細!$G$3:$G$302,工数明細!$B$3:$B$302,$A149))</f>
        <v/>
      </c>
      <c r="AH149" s="31" t="str">
        <f aca="false">IF($AE149="","",$AE149-N($AG149))</f>
        <v/>
      </c>
      <c r="AI149" s="25" t="str">
        <f aca="false">IF(N($AE149)=0,"",$AG149/$AE149)</f>
        <v/>
      </c>
      <c r="AJ149" s="20" t="str">
        <f aca="false">IF(N($AE149)=0,"",IF($AG149&gt;$AE149,"超過",IF($AG149&gt;=$AE149*0.9,"注意","適正")))</f>
        <v/>
      </c>
      <c r="AK149" s="34"/>
    </row>
    <row r="150" customFormat="false" ht="18" hidden="false" customHeight="true" outlineLevel="0" collapsed="false">
      <c r="A150" s="33"/>
      <c r="B150" s="34"/>
      <c r="C150" s="34"/>
      <c r="D150" s="34"/>
      <c r="E150" s="34"/>
      <c r="F150" s="35"/>
      <c r="G150" s="34"/>
      <c r="H150" s="34"/>
      <c r="I150" s="36"/>
      <c r="J150" s="37"/>
      <c r="K150" s="37"/>
      <c r="L150" s="37"/>
      <c r="M150" s="37"/>
      <c r="N150" s="19" t="str">
        <f aca="false">IF($J150="","",YEAR($J150)-IF(MONTH($J150)&lt;マスタ!$B$4,1,0))</f>
        <v/>
      </c>
      <c r="O150" s="20" t="str">
        <f aca="false">IF($J150="","","Q"&amp;(INT(MOD(MONTH($J150)-マスタ!$B$4+12,12)/3)+1))</f>
        <v/>
      </c>
      <c r="P150" s="21" t="str">
        <f aca="true">IF($L150="","",IF($M150&lt;&gt;"",$M150-$L150,IF(TODAY()&gt;$L150,TODAY()-$L150,0)))</f>
        <v/>
      </c>
      <c r="Q150" s="38"/>
      <c r="R150" s="23" t="str">
        <f aca="false">IF($Q150="","",$Q150*N($F150))</f>
        <v/>
      </c>
      <c r="S150" s="38"/>
      <c r="T150" s="24" t="str">
        <f aca="false">IF($A150="","",SUMIFS(発注・納品!$H$3:$H$202,発注・納品!$B$3:$B$202,$A150))</f>
        <v/>
      </c>
      <c r="U150" s="23" t="str">
        <f aca="false">IF($Q150="","",N($S150)+N($T150))</f>
        <v/>
      </c>
      <c r="V150" s="23" t="str">
        <f aca="false">IF($Q150="","",$Q150-N($U150))</f>
        <v/>
      </c>
      <c r="W150" s="25" t="str">
        <f aca="false">IF(N($Q150)=0,"",$V150/$Q150)</f>
        <v/>
      </c>
      <c r="X150" s="26" t="str">
        <f aca="false">IF($A150="","",COUNTIFS(発注・納品!$B$3:$B$202,$A150))</f>
        <v/>
      </c>
      <c r="Y150" s="26" t="str">
        <f aca="false">IF($A150="","",COUNTIFS(発注・納品!$B$3:$B$202,$A150,発注・納品!$M$3:$M$202,""))</f>
        <v/>
      </c>
      <c r="Z150" s="27" t="str">
        <f aca="false">IF(N($X150)=0,"",IF(_xlfn.MAXIFS(発注・納品!$M$3:$M$202,発注・納品!$B$3:$B$202,$A150)=0,"",_xlfn.MAXIFS(発注・納品!$M$3:$M$202,発注・納品!$B$3:$B$202,$A150)))</f>
        <v/>
      </c>
      <c r="AA150" s="28" t="str">
        <f aca="false">IF($A150="","",IF(N($X150)=0,"機器なし",IF(N($Y150)&gt;0,"入荷待ち",IF(COUNTIFS(発注・納品!$B$3:$B$202,$A150,発注・納品!$N$3:$N$202,"")&gt;0,"受入待ち","受入完了"))))</f>
        <v/>
      </c>
      <c r="AB150" s="26" t="str">
        <f aca="false">IF($A150="","",COUNTIFS(現地作業!$A$3:$A$202,$A150,現地作業!$L$3:$L$202,"予定"))</f>
        <v/>
      </c>
      <c r="AC150" s="26" t="str">
        <f aca="false">IF($A150="","",COUNTIFS(現地作業!$A$3:$A$202,$A150,現地作業!$L$3:$L$202,"完了"))</f>
        <v/>
      </c>
      <c r="AD150" s="27" t="str">
        <f aca="true">IF(N($AB150)=0,"",IF(_xlfn.MINIFS(現地作業!$C$3:$C$202,現地作業!$A$3:$A$202,$A150,現地作業!$L$3:$L$202,"予定",現地作業!$C$3:$C$202,"&gt;="&amp;TODAY())=0,"",_xlfn.MINIFS(現地作業!$C$3:$C$202,現地作業!$A$3:$A$202,$A150,現地作業!$L$3:$L$202,"予定",現地作業!$C$3:$C$202,"&gt;="&amp;TODAY())))</f>
        <v/>
      </c>
      <c r="AE150" s="39"/>
      <c r="AF150" s="30" t="str">
        <f aca="false">IF($A150="","",SUM(月次工数計画!$G$155:$AD$155))</f>
        <v/>
      </c>
      <c r="AG150" s="30" t="str">
        <f aca="false">IF($A150="","",SUMIFS(工数明細!$G$3:$G$302,工数明細!$B$3:$B$302,$A150))</f>
        <v/>
      </c>
      <c r="AH150" s="31" t="str">
        <f aca="false">IF($AE150="","",$AE150-N($AG150))</f>
        <v/>
      </c>
      <c r="AI150" s="25" t="str">
        <f aca="false">IF(N($AE150)=0,"",$AG150/$AE150)</f>
        <v/>
      </c>
      <c r="AJ150" s="20" t="str">
        <f aca="false">IF(N($AE150)=0,"",IF($AG150&gt;$AE150,"超過",IF($AG150&gt;=$AE150*0.9,"注意","適正")))</f>
        <v/>
      </c>
      <c r="AK150" s="34"/>
    </row>
    <row r="151" customFormat="false" ht="18" hidden="false" customHeight="true" outlineLevel="0" collapsed="false">
      <c r="A151" s="33"/>
      <c r="B151" s="34"/>
      <c r="C151" s="34"/>
      <c r="D151" s="34"/>
      <c r="E151" s="34"/>
      <c r="F151" s="35"/>
      <c r="G151" s="34"/>
      <c r="H151" s="34"/>
      <c r="I151" s="36"/>
      <c r="J151" s="37"/>
      <c r="K151" s="37"/>
      <c r="L151" s="37"/>
      <c r="M151" s="37"/>
      <c r="N151" s="19" t="str">
        <f aca="false">IF($J151="","",YEAR($J151)-IF(MONTH($J151)&lt;マスタ!$B$4,1,0))</f>
        <v/>
      </c>
      <c r="O151" s="20" t="str">
        <f aca="false">IF($J151="","","Q"&amp;(INT(MOD(MONTH($J151)-マスタ!$B$4+12,12)/3)+1))</f>
        <v/>
      </c>
      <c r="P151" s="21" t="str">
        <f aca="true">IF($L151="","",IF($M151&lt;&gt;"",$M151-$L151,IF(TODAY()&gt;$L151,TODAY()-$L151,0)))</f>
        <v/>
      </c>
      <c r="Q151" s="38"/>
      <c r="R151" s="23" t="str">
        <f aca="false">IF($Q151="","",$Q151*N($F151))</f>
        <v/>
      </c>
      <c r="S151" s="38"/>
      <c r="T151" s="24" t="str">
        <f aca="false">IF($A151="","",SUMIFS(発注・納品!$H$3:$H$202,発注・納品!$B$3:$B$202,$A151))</f>
        <v/>
      </c>
      <c r="U151" s="23" t="str">
        <f aca="false">IF($Q151="","",N($S151)+N($T151))</f>
        <v/>
      </c>
      <c r="V151" s="23" t="str">
        <f aca="false">IF($Q151="","",$Q151-N($U151))</f>
        <v/>
      </c>
      <c r="W151" s="25" t="str">
        <f aca="false">IF(N($Q151)=0,"",$V151/$Q151)</f>
        <v/>
      </c>
      <c r="X151" s="26" t="str">
        <f aca="false">IF($A151="","",COUNTIFS(発注・納品!$B$3:$B$202,$A151))</f>
        <v/>
      </c>
      <c r="Y151" s="26" t="str">
        <f aca="false">IF($A151="","",COUNTIFS(発注・納品!$B$3:$B$202,$A151,発注・納品!$M$3:$M$202,""))</f>
        <v/>
      </c>
      <c r="Z151" s="27" t="str">
        <f aca="false">IF(N($X151)=0,"",IF(_xlfn.MAXIFS(発注・納品!$M$3:$M$202,発注・納品!$B$3:$B$202,$A151)=0,"",_xlfn.MAXIFS(発注・納品!$M$3:$M$202,発注・納品!$B$3:$B$202,$A151)))</f>
        <v/>
      </c>
      <c r="AA151" s="28" t="str">
        <f aca="false">IF($A151="","",IF(N($X151)=0,"機器なし",IF(N($Y151)&gt;0,"入荷待ち",IF(COUNTIFS(発注・納品!$B$3:$B$202,$A151,発注・納品!$N$3:$N$202,"")&gt;0,"受入待ち","受入完了"))))</f>
        <v/>
      </c>
      <c r="AB151" s="26" t="str">
        <f aca="false">IF($A151="","",COUNTIFS(現地作業!$A$3:$A$202,$A151,現地作業!$L$3:$L$202,"予定"))</f>
        <v/>
      </c>
      <c r="AC151" s="26" t="str">
        <f aca="false">IF($A151="","",COUNTIFS(現地作業!$A$3:$A$202,$A151,現地作業!$L$3:$L$202,"完了"))</f>
        <v/>
      </c>
      <c r="AD151" s="27" t="str">
        <f aca="true">IF(N($AB151)=0,"",IF(_xlfn.MINIFS(現地作業!$C$3:$C$202,現地作業!$A$3:$A$202,$A151,現地作業!$L$3:$L$202,"予定",現地作業!$C$3:$C$202,"&gt;="&amp;TODAY())=0,"",_xlfn.MINIFS(現地作業!$C$3:$C$202,現地作業!$A$3:$A$202,$A151,現地作業!$L$3:$L$202,"予定",現地作業!$C$3:$C$202,"&gt;="&amp;TODAY())))</f>
        <v/>
      </c>
      <c r="AE151" s="39"/>
      <c r="AF151" s="30" t="str">
        <f aca="false">IF($A151="","",SUM(月次工数計画!$G$156:$AD$156))</f>
        <v/>
      </c>
      <c r="AG151" s="30" t="str">
        <f aca="false">IF($A151="","",SUMIFS(工数明細!$G$3:$G$302,工数明細!$B$3:$B$302,$A151))</f>
        <v/>
      </c>
      <c r="AH151" s="31" t="str">
        <f aca="false">IF($AE151="","",$AE151-N($AG151))</f>
        <v/>
      </c>
      <c r="AI151" s="25" t="str">
        <f aca="false">IF(N($AE151)=0,"",$AG151/$AE151)</f>
        <v/>
      </c>
      <c r="AJ151" s="20" t="str">
        <f aca="false">IF(N($AE151)=0,"",IF($AG151&gt;$AE151,"超過",IF($AG151&gt;=$AE151*0.9,"注意","適正")))</f>
        <v/>
      </c>
      <c r="AK151" s="34"/>
    </row>
    <row r="152" customFormat="false" ht="18" hidden="false" customHeight="true" outlineLevel="0" collapsed="false">
      <c r="A152" s="33"/>
      <c r="B152" s="34"/>
      <c r="C152" s="34"/>
      <c r="D152" s="34"/>
      <c r="E152" s="34"/>
      <c r="F152" s="35"/>
      <c r="G152" s="34"/>
      <c r="H152" s="34"/>
      <c r="I152" s="36"/>
      <c r="J152" s="37"/>
      <c r="K152" s="37"/>
      <c r="L152" s="37"/>
      <c r="M152" s="37"/>
      <c r="N152" s="19" t="str">
        <f aca="false">IF($J152="","",YEAR($J152)-IF(MONTH($J152)&lt;マスタ!$B$4,1,0))</f>
        <v/>
      </c>
      <c r="O152" s="20" t="str">
        <f aca="false">IF($J152="","","Q"&amp;(INT(MOD(MONTH($J152)-マスタ!$B$4+12,12)/3)+1))</f>
        <v/>
      </c>
      <c r="P152" s="21" t="str">
        <f aca="true">IF($L152="","",IF($M152&lt;&gt;"",$M152-$L152,IF(TODAY()&gt;$L152,TODAY()-$L152,0)))</f>
        <v/>
      </c>
      <c r="Q152" s="38"/>
      <c r="R152" s="23" t="str">
        <f aca="false">IF($Q152="","",$Q152*N($F152))</f>
        <v/>
      </c>
      <c r="S152" s="38"/>
      <c r="T152" s="24" t="str">
        <f aca="false">IF($A152="","",SUMIFS(発注・納品!$H$3:$H$202,発注・納品!$B$3:$B$202,$A152))</f>
        <v/>
      </c>
      <c r="U152" s="23" t="str">
        <f aca="false">IF($Q152="","",N($S152)+N($T152))</f>
        <v/>
      </c>
      <c r="V152" s="23" t="str">
        <f aca="false">IF($Q152="","",$Q152-N($U152))</f>
        <v/>
      </c>
      <c r="W152" s="25" t="str">
        <f aca="false">IF(N($Q152)=0,"",$V152/$Q152)</f>
        <v/>
      </c>
      <c r="X152" s="26" t="str">
        <f aca="false">IF($A152="","",COUNTIFS(発注・納品!$B$3:$B$202,$A152))</f>
        <v/>
      </c>
      <c r="Y152" s="26" t="str">
        <f aca="false">IF($A152="","",COUNTIFS(発注・納品!$B$3:$B$202,$A152,発注・納品!$M$3:$M$202,""))</f>
        <v/>
      </c>
      <c r="Z152" s="27" t="str">
        <f aca="false">IF(N($X152)=0,"",IF(_xlfn.MAXIFS(発注・納品!$M$3:$M$202,発注・納品!$B$3:$B$202,$A152)=0,"",_xlfn.MAXIFS(発注・納品!$M$3:$M$202,発注・納品!$B$3:$B$202,$A152)))</f>
        <v/>
      </c>
      <c r="AA152" s="28" t="str">
        <f aca="false">IF($A152="","",IF(N($X152)=0,"機器なし",IF(N($Y152)&gt;0,"入荷待ち",IF(COUNTIFS(発注・納品!$B$3:$B$202,$A152,発注・納品!$N$3:$N$202,"")&gt;0,"受入待ち","受入完了"))))</f>
        <v/>
      </c>
      <c r="AB152" s="26" t="str">
        <f aca="false">IF($A152="","",COUNTIFS(現地作業!$A$3:$A$202,$A152,現地作業!$L$3:$L$202,"予定"))</f>
        <v/>
      </c>
      <c r="AC152" s="26" t="str">
        <f aca="false">IF($A152="","",COUNTIFS(現地作業!$A$3:$A$202,$A152,現地作業!$L$3:$L$202,"完了"))</f>
        <v/>
      </c>
      <c r="AD152" s="27" t="str">
        <f aca="true">IF(N($AB152)=0,"",IF(_xlfn.MINIFS(現地作業!$C$3:$C$202,現地作業!$A$3:$A$202,$A152,現地作業!$L$3:$L$202,"予定",現地作業!$C$3:$C$202,"&gt;="&amp;TODAY())=0,"",_xlfn.MINIFS(現地作業!$C$3:$C$202,現地作業!$A$3:$A$202,$A152,現地作業!$L$3:$L$202,"予定",現地作業!$C$3:$C$202,"&gt;="&amp;TODAY())))</f>
        <v/>
      </c>
      <c r="AE152" s="39"/>
      <c r="AF152" s="30" t="str">
        <f aca="false">IF($A152="","",SUM(月次工数計画!$G$157:$AD$157))</f>
        <v/>
      </c>
      <c r="AG152" s="30" t="str">
        <f aca="false">IF($A152="","",SUMIFS(工数明細!$G$3:$G$302,工数明細!$B$3:$B$302,$A152))</f>
        <v/>
      </c>
      <c r="AH152" s="31" t="str">
        <f aca="false">IF($AE152="","",$AE152-N($AG152))</f>
        <v/>
      </c>
      <c r="AI152" s="25" t="str">
        <f aca="false">IF(N($AE152)=0,"",$AG152/$AE152)</f>
        <v/>
      </c>
      <c r="AJ152" s="20" t="str">
        <f aca="false">IF(N($AE152)=0,"",IF($AG152&gt;$AE152,"超過",IF($AG152&gt;=$AE152*0.9,"注意","適正")))</f>
        <v/>
      </c>
      <c r="AK152" s="34"/>
    </row>
    <row r="153" customFormat="false" ht="18" hidden="false" customHeight="true" outlineLevel="0" collapsed="false">
      <c r="A153" s="33"/>
      <c r="B153" s="34"/>
      <c r="C153" s="34"/>
      <c r="D153" s="34"/>
      <c r="E153" s="34"/>
      <c r="F153" s="35"/>
      <c r="G153" s="34"/>
      <c r="H153" s="34"/>
      <c r="I153" s="36"/>
      <c r="J153" s="37"/>
      <c r="K153" s="37"/>
      <c r="L153" s="37"/>
      <c r="M153" s="37"/>
      <c r="N153" s="19" t="str">
        <f aca="false">IF($J153="","",YEAR($J153)-IF(MONTH($J153)&lt;マスタ!$B$4,1,0))</f>
        <v/>
      </c>
      <c r="O153" s="20" t="str">
        <f aca="false">IF($J153="","","Q"&amp;(INT(MOD(MONTH($J153)-マスタ!$B$4+12,12)/3)+1))</f>
        <v/>
      </c>
      <c r="P153" s="21" t="str">
        <f aca="true">IF($L153="","",IF($M153&lt;&gt;"",$M153-$L153,IF(TODAY()&gt;$L153,TODAY()-$L153,0)))</f>
        <v/>
      </c>
      <c r="Q153" s="38"/>
      <c r="R153" s="23" t="str">
        <f aca="false">IF($Q153="","",$Q153*N($F153))</f>
        <v/>
      </c>
      <c r="S153" s="38"/>
      <c r="T153" s="24" t="str">
        <f aca="false">IF($A153="","",SUMIFS(発注・納品!$H$3:$H$202,発注・納品!$B$3:$B$202,$A153))</f>
        <v/>
      </c>
      <c r="U153" s="23" t="str">
        <f aca="false">IF($Q153="","",N($S153)+N($T153))</f>
        <v/>
      </c>
      <c r="V153" s="23" t="str">
        <f aca="false">IF($Q153="","",$Q153-N($U153))</f>
        <v/>
      </c>
      <c r="W153" s="25" t="str">
        <f aca="false">IF(N($Q153)=0,"",$V153/$Q153)</f>
        <v/>
      </c>
      <c r="X153" s="26" t="str">
        <f aca="false">IF($A153="","",COUNTIFS(発注・納品!$B$3:$B$202,$A153))</f>
        <v/>
      </c>
      <c r="Y153" s="26" t="str">
        <f aca="false">IF($A153="","",COUNTIFS(発注・納品!$B$3:$B$202,$A153,発注・納品!$M$3:$M$202,""))</f>
        <v/>
      </c>
      <c r="Z153" s="27" t="str">
        <f aca="false">IF(N($X153)=0,"",IF(_xlfn.MAXIFS(発注・納品!$M$3:$M$202,発注・納品!$B$3:$B$202,$A153)=0,"",_xlfn.MAXIFS(発注・納品!$M$3:$M$202,発注・納品!$B$3:$B$202,$A153)))</f>
        <v/>
      </c>
      <c r="AA153" s="28" t="str">
        <f aca="false">IF($A153="","",IF(N($X153)=0,"機器なし",IF(N($Y153)&gt;0,"入荷待ち",IF(COUNTIFS(発注・納品!$B$3:$B$202,$A153,発注・納品!$N$3:$N$202,"")&gt;0,"受入待ち","受入完了"))))</f>
        <v/>
      </c>
      <c r="AB153" s="26" t="str">
        <f aca="false">IF($A153="","",COUNTIFS(現地作業!$A$3:$A$202,$A153,現地作業!$L$3:$L$202,"予定"))</f>
        <v/>
      </c>
      <c r="AC153" s="26" t="str">
        <f aca="false">IF($A153="","",COUNTIFS(現地作業!$A$3:$A$202,$A153,現地作業!$L$3:$L$202,"完了"))</f>
        <v/>
      </c>
      <c r="AD153" s="27" t="str">
        <f aca="true">IF(N($AB153)=0,"",IF(_xlfn.MINIFS(現地作業!$C$3:$C$202,現地作業!$A$3:$A$202,$A153,現地作業!$L$3:$L$202,"予定",現地作業!$C$3:$C$202,"&gt;="&amp;TODAY())=0,"",_xlfn.MINIFS(現地作業!$C$3:$C$202,現地作業!$A$3:$A$202,$A153,現地作業!$L$3:$L$202,"予定",現地作業!$C$3:$C$202,"&gt;="&amp;TODAY())))</f>
        <v/>
      </c>
      <c r="AE153" s="39"/>
      <c r="AF153" s="30" t="str">
        <f aca="false">IF($A153="","",SUM(月次工数計画!$G$158:$AD$158))</f>
        <v/>
      </c>
      <c r="AG153" s="30" t="str">
        <f aca="false">IF($A153="","",SUMIFS(工数明細!$G$3:$G$302,工数明細!$B$3:$B$302,$A153))</f>
        <v/>
      </c>
      <c r="AH153" s="31" t="str">
        <f aca="false">IF($AE153="","",$AE153-N($AG153))</f>
        <v/>
      </c>
      <c r="AI153" s="25" t="str">
        <f aca="false">IF(N($AE153)=0,"",$AG153/$AE153)</f>
        <v/>
      </c>
      <c r="AJ153" s="20" t="str">
        <f aca="false">IF(N($AE153)=0,"",IF($AG153&gt;$AE153,"超過",IF($AG153&gt;=$AE153*0.9,"注意","適正")))</f>
        <v/>
      </c>
      <c r="AK153" s="34"/>
    </row>
    <row r="154" customFormat="false" ht="18" hidden="false" customHeight="true" outlineLevel="0" collapsed="false">
      <c r="A154" s="33"/>
      <c r="B154" s="34"/>
      <c r="C154" s="34"/>
      <c r="D154" s="34"/>
      <c r="E154" s="34"/>
      <c r="F154" s="35"/>
      <c r="G154" s="34"/>
      <c r="H154" s="34"/>
      <c r="I154" s="36"/>
      <c r="J154" s="37"/>
      <c r="K154" s="37"/>
      <c r="L154" s="37"/>
      <c r="M154" s="37"/>
      <c r="N154" s="19" t="str">
        <f aca="false">IF($J154="","",YEAR($J154)-IF(MONTH($J154)&lt;マスタ!$B$4,1,0))</f>
        <v/>
      </c>
      <c r="O154" s="20" t="str">
        <f aca="false">IF($J154="","","Q"&amp;(INT(MOD(MONTH($J154)-マスタ!$B$4+12,12)/3)+1))</f>
        <v/>
      </c>
      <c r="P154" s="21" t="str">
        <f aca="true">IF($L154="","",IF($M154&lt;&gt;"",$M154-$L154,IF(TODAY()&gt;$L154,TODAY()-$L154,0)))</f>
        <v/>
      </c>
      <c r="Q154" s="38"/>
      <c r="R154" s="23" t="str">
        <f aca="false">IF($Q154="","",$Q154*N($F154))</f>
        <v/>
      </c>
      <c r="S154" s="38"/>
      <c r="T154" s="24" t="str">
        <f aca="false">IF($A154="","",SUMIFS(発注・納品!$H$3:$H$202,発注・納品!$B$3:$B$202,$A154))</f>
        <v/>
      </c>
      <c r="U154" s="23" t="str">
        <f aca="false">IF($Q154="","",N($S154)+N($T154))</f>
        <v/>
      </c>
      <c r="V154" s="23" t="str">
        <f aca="false">IF($Q154="","",$Q154-N($U154))</f>
        <v/>
      </c>
      <c r="W154" s="25" t="str">
        <f aca="false">IF(N($Q154)=0,"",$V154/$Q154)</f>
        <v/>
      </c>
      <c r="X154" s="26" t="str">
        <f aca="false">IF($A154="","",COUNTIFS(発注・納品!$B$3:$B$202,$A154))</f>
        <v/>
      </c>
      <c r="Y154" s="26" t="str">
        <f aca="false">IF($A154="","",COUNTIFS(発注・納品!$B$3:$B$202,$A154,発注・納品!$M$3:$M$202,""))</f>
        <v/>
      </c>
      <c r="Z154" s="27" t="str">
        <f aca="false">IF(N($X154)=0,"",IF(_xlfn.MAXIFS(発注・納品!$M$3:$M$202,発注・納品!$B$3:$B$202,$A154)=0,"",_xlfn.MAXIFS(発注・納品!$M$3:$M$202,発注・納品!$B$3:$B$202,$A154)))</f>
        <v/>
      </c>
      <c r="AA154" s="28" t="str">
        <f aca="false">IF($A154="","",IF(N($X154)=0,"機器なし",IF(N($Y154)&gt;0,"入荷待ち",IF(COUNTIFS(発注・納品!$B$3:$B$202,$A154,発注・納品!$N$3:$N$202,"")&gt;0,"受入待ち","受入完了"))))</f>
        <v/>
      </c>
      <c r="AB154" s="26" t="str">
        <f aca="false">IF($A154="","",COUNTIFS(現地作業!$A$3:$A$202,$A154,現地作業!$L$3:$L$202,"予定"))</f>
        <v/>
      </c>
      <c r="AC154" s="26" t="str">
        <f aca="false">IF($A154="","",COUNTIFS(現地作業!$A$3:$A$202,$A154,現地作業!$L$3:$L$202,"完了"))</f>
        <v/>
      </c>
      <c r="AD154" s="27" t="str">
        <f aca="true">IF(N($AB154)=0,"",IF(_xlfn.MINIFS(現地作業!$C$3:$C$202,現地作業!$A$3:$A$202,$A154,現地作業!$L$3:$L$202,"予定",現地作業!$C$3:$C$202,"&gt;="&amp;TODAY())=0,"",_xlfn.MINIFS(現地作業!$C$3:$C$202,現地作業!$A$3:$A$202,$A154,現地作業!$L$3:$L$202,"予定",現地作業!$C$3:$C$202,"&gt;="&amp;TODAY())))</f>
        <v/>
      </c>
      <c r="AE154" s="39"/>
      <c r="AF154" s="30" t="str">
        <f aca="false">IF($A154="","",SUM(月次工数計画!$G$159:$AD$159))</f>
        <v/>
      </c>
      <c r="AG154" s="30" t="str">
        <f aca="false">IF($A154="","",SUMIFS(工数明細!$G$3:$G$302,工数明細!$B$3:$B$302,$A154))</f>
        <v/>
      </c>
      <c r="AH154" s="31" t="str">
        <f aca="false">IF($AE154="","",$AE154-N($AG154))</f>
        <v/>
      </c>
      <c r="AI154" s="25" t="str">
        <f aca="false">IF(N($AE154)=0,"",$AG154/$AE154)</f>
        <v/>
      </c>
      <c r="AJ154" s="20" t="str">
        <f aca="false">IF(N($AE154)=0,"",IF($AG154&gt;$AE154,"超過",IF($AG154&gt;=$AE154*0.9,"注意","適正")))</f>
        <v/>
      </c>
      <c r="AK154" s="34"/>
    </row>
    <row r="155" customFormat="false" ht="18" hidden="false" customHeight="true" outlineLevel="0" collapsed="false">
      <c r="A155" s="33"/>
      <c r="B155" s="34"/>
      <c r="C155" s="34"/>
      <c r="D155" s="34"/>
      <c r="E155" s="34"/>
      <c r="F155" s="35"/>
      <c r="G155" s="34"/>
      <c r="H155" s="34"/>
      <c r="I155" s="36"/>
      <c r="J155" s="37"/>
      <c r="K155" s="37"/>
      <c r="L155" s="37"/>
      <c r="M155" s="37"/>
      <c r="N155" s="19" t="str">
        <f aca="false">IF($J155="","",YEAR($J155)-IF(MONTH($J155)&lt;マスタ!$B$4,1,0))</f>
        <v/>
      </c>
      <c r="O155" s="20" t="str">
        <f aca="false">IF($J155="","","Q"&amp;(INT(MOD(MONTH($J155)-マスタ!$B$4+12,12)/3)+1))</f>
        <v/>
      </c>
      <c r="P155" s="21" t="str">
        <f aca="true">IF($L155="","",IF($M155&lt;&gt;"",$M155-$L155,IF(TODAY()&gt;$L155,TODAY()-$L155,0)))</f>
        <v/>
      </c>
      <c r="Q155" s="38"/>
      <c r="R155" s="23" t="str">
        <f aca="false">IF($Q155="","",$Q155*N($F155))</f>
        <v/>
      </c>
      <c r="S155" s="38"/>
      <c r="T155" s="24" t="str">
        <f aca="false">IF($A155="","",SUMIFS(発注・納品!$H$3:$H$202,発注・納品!$B$3:$B$202,$A155))</f>
        <v/>
      </c>
      <c r="U155" s="23" t="str">
        <f aca="false">IF($Q155="","",N($S155)+N($T155))</f>
        <v/>
      </c>
      <c r="V155" s="23" t="str">
        <f aca="false">IF($Q155="","",$Q155-N($U155))</f>
        <v/>
      </c>
      <c r="W155" s="25" t="str">
        <f aca="false">IF(N($Q155)=0,"",$V155/$Q155)</f>
        <v/>
      </c>
      <c r="X155" s="26" t="str">
        <f aca="false">IF($A155="","",COUNTIFS(発注・納品!$B$3:$B$202,$A155))</f>
        <v/>
      </c>
      <c r="Y155" s="26" t="str">
        <f aca="false">IF($A155="","",COUNTIFS(発注・納品!$B$3:$B$202,$A155,発注・納品!$M$3:$M$202,""))</f>
        <v/>
      </c>
      <c r="Z155" s="27" t="str">
        <f aca="false">IF(N($X155)=0,"",IF(_xlfn.MAXIFS(発注・納品!$M$3:$M$202,発注・納品!$B$3:$B$202,$A155)=0,"",_xlfn.MAXIFS(発注・納品!$M$3:$M$202,発注・納品!$B$3:$B$202,$A155)))</f>
        <v/>
      </c>
      <c r="AA155" s="28" t="str">
        <f aca="false">IF($A155="","",IF(N($X155)=0,"機器なし",IF(N($Y155)&gt;0,"入荷待ち",IF(COUNTIFS(発注・納品!$B$3:$B$202,$A155,発注・納品!$N$3:$N$202,"")&gt;0,"受入待ち","受入完了"))))</f>
        <v/>
      </c>
      <c r="AB155" s="26" t="str">
        <f aca="false">IF($A155="","",COUNTIFS(現地作業!$A$3:$A$202,$A155,現地作業!$L$3:$L$202,"予定"))</f>
        <v/>
      </c>
      <c r="AC155" s="26" t="str">
        <f aca="false">IF($A155="","",COUNTIFS(現地作業!$A$3:$A$202,$A155,現地作業!$L$3:$L$202,"完了"))</f>
        <v/>
      </c>
      <c r="AD155" s="27" t="str">
        <f aca="true">IF(N($AB155)=0,"",IF(_xlfn.MINIFS(現地作業!$C$3:$C$202,現地作業!$A$3:$A$202,$A155,現地作業!$L$3:$L$202,"予定",現地作業!$C$3:$C$202,"&gt;="&amp;TODAY())=0,"",_xlfn.MINIFS(現地作業!$C$3:$C$202,現地作業!$A$3:$A$202,$A155,現地作業!$L$3:$L$202,"予定",現地作業!$C$3:$C$202,"&gt;="&amp;TODAY())))</f>
        <v/>
      </c>
      <c r="AE155" s="39"/>
      <c r="AF155" s="30" t="str">
        <f aca="false">IF($A155="","",SUM(月次工数計画!$G$160:$AD$160))</f>
        <v/>
      </c>
      <c r="AG155" s="30" t="str">
        <f aca="false">IF($A155="","",SUMIFS(工数明細!$G$3:$G$302,工数明細!$B$3:$B$302,$A155))</f>
        <v/>
      </c>
      <c r="AH155" s="31" t="str">
        <f aca="false">IF($AE155="","",$AE155-N($AG155))</f>
        <v/>
      </c>
      <c r="AI155" s="25" t="str">
        <f aca="false">IF(N($AE155)=0,"",$AG155/$AE155)</f>
        <v/>
      </c>
      <c r="AJ155" s="20" t="str">
        <f aca="false">IF(N($AE155)=0,"",IF($AG155&gt;$AE155,"超過",IF($AG155&gt;=$AE155*0.9,"注意","適正")))</f>
        <v/>
      </c>
      <c r="AK155" s="34"/>
    </row>
    <row r="156" customFormat="false" ht="18" hidden="false" customHeight="true" outlineLevel="0" collapsed="false">
      <c r="A156" s="33"/>
      <c r="B156" s="34"/>
      <c r="C156" s="34"/>
      <c r="D156" s="34"/>
      <c r="E156" s="34"/>
      <c r="F156" s="35"/>
      <c r="G156" s="34"/>
      <c r="H156" s="34"/>
      <c r="I156" s="36"/>
      <c r="J156" s="37"/>
      <c r="K156" s="37"/>
      <c r="L156" s="37"/>
      <c r="M156" s="37"/>
      <c r="N156" s="19" t="str">
        <f aca="false">IF($J156="","",YEAR($J156)-IF(MONTH($J156)&lt;マスタ!$B$4,1,0))</f>
        <v/>
      </c>
      <c r="O156" s="20" t="str">
        <f aca="false">IF($J156="","","Q"&amp;(INT(MOD(MONTH($J156)-マスタ!$B$4+12,12)/3)+1))</f>
        <v/>
      </c>
      <c r="P156" s="21" t="str">
        <f aca="true">IF($L156="","",IF($M156&lt;&gt;"",$M156-$L156,IF(TODAY()&gt;$L156,TODAY()-$L156,0)))</f>
        <v/>
      </c>
      <c r="Q156" s="38"/>
      <c r="R156" s="23" t="str">
        <f aca="false">IF($Q156="","",$Q156*N($F156))</f>
        <v/>
      </c>
      <c r="S156" s="38"/>
      <c r="T156" s="24" t="str">
        <f aca="false">IF($A156="","",SUMIFS(発注・納品!$H$3:$H$202,発注・納品!$B$3:$B$202,$A156))</f>
        <v/>
      </c>
      <c r="U156" s="23" t="str">
        <f aca="false">IF($Q156="","",N($S156)+N($T156))</f>
        <v/>
      </c>
      <c r="V156" s="23" t="str">
        <f aca="false">IF($Q156="","",$Q156-N($U156))</f>
        <v/>
      </c>
      <c r="W156" s="25" t="str">
        <f aca="false">IF(N($Q156)=0,"",$V156/$Q156)</f>
        <v/>
      </c>
      <c r="X156" s="26" t="str">
        <f aca="false">IF($A156="","",COUNTIFS(発注・納品!$B$3:$B$202,$A156))</f>
        <v/>
      </c>
      <c r="Y156" s="26" t="str">
        <f aca="false">IF($A156="","",COUNTIFS(発注・納品!$B$3:$B$202,$A156,発注・納品!$M$3:$M$202,""))</f>
        <v/>
      </c>
      <c r="Z156" s="27" t="str">
        <f aca="false">IF(N($X156)=0,"",IF(_xlfn.MAXIFS(発注・納品!$M$3:$M$202,発注・納品!$B$3:$B$202,$A156)=0,"",_xlfn.MAXIFS(発注・納品!$M$3:$M$202,発注・納品!$B$3:$B$202,$A156)))</f>
        <v/>
      </c>
      <c r="AA156" s="28" t="str">
        <f aca="false">IF($A156="","",IF(N($X156)=0,"機器なし",IF(N($Y156)&gt;0,"入荷待ち",IF(COUNTIFS(発注・納品!$B$3:$B$202,$A156,発注・納品!$N$3:$N$202,"")&gt;0,"受入待ち","受入完了"))))</f>
        <v/>
      </c>
      <c r="AB156" s="26" t="str">
        <f aca="false">IF($A156="","",COUNTIFS(現地作業!$A$3:$A$202,$A156,現地作業!$L$3:$L$202,"予定"))</f>
        <v/>
      </c>
      <c r="AC156" s="26" t="str">
        <f aca="false">IF($A156="","",COUNTIFS(現地作業!$A$3:$A$202,$A156,現地作業!$L$3:$L$202,"完了"))</f>
        <v/>
      </c>
      <c r="AD156" s="27" t="str">
        <f aca="true">IF(N($AB156)=0,"",IF(_xlfn.MINIFS(現地作業!$C$3:$C$202,現地作業!$A$3:$A$202,$A156,現地作業!$L$3:$L$202,"予定",現地作業!$C$3:$C$202,"&gt;="&amp;TODAY())=0,"",_xlfn.MINIFS(現地作業!$C$3:$C$202,現地作業!$A$3:$A$202,$A156,現地作業!$L$3:$L$202,"予定",現地作業!$C$3:$C$202,"&gt;="&amp;TODAY())))</f>
        <v/>
      </c>
      <c r="AE156" s="39"/>
      <c r="AF156" s="30" t="str">
        <f aca="false">IF($A156="","",SUM(月次工数計画!$G$161:$AD$161))</f>
        <v/>
      </c>
      <c r="AG156" s="30" t="str">
        <f aca="false">IF($A156="","",SUMIFS(工数明細!$G$3:$G$302,工数明細!$B$3:$B$302,$A156))</f>
        <v/>
      </c>
      <c r="AH156" s="31" t="str">
        <f aca="false">IF($AE156="","",$AE156-N($AG156))</f>
        <v/>
      </c>
      <c r="AI156" s="25" t="str">
        <f aca="false">IF(N($AE156)=0,"",$AG156/$AE156)</f>
        <v/>
      </c>
      <c r="AJ156" s="20" t="str">
        <f aca="false">IF(N($AE156)=0,"",IF($AG156&gt;$AE156,"超過",IF($AG156&gt;=$AE156*0.9,"注意","適正")))</f>
        <v/>
      </c>
      <c r="AK156" s="34"/>
    </row>
    <row r="157" customFormat="false" ht="18" hidden="false" customHeight="true" outlineLevel="0" collapsed="false">
      <c r="A157" s="33"/>
      <c r="B157" s="34"/>
      <c r="C157" s="34"/>
      <c r="D157" s="34"/>
      <c r="E157" s="34"/>
      <c r="F157" s="35"/>
      <c r="G157" s="34"/>
      <c r="H157" s="34"/>
      <c r="I157" s="36"/>
      <c r="J157" s="37"/>
      <c r="K157" s="37"/>
      <c r="L157" s="37"/>
      <c r="M157" s="37"/>
      <c r="N157" s="19" t="str">
        <f aca="false">IF($J157="","",YEAR($J157)-IF(MONTH($J157)&lt;マスタ!$B$4,1,0))</f>
        <v/>
      </c>
      <c r="O157" s="20" t="str">
        <f aca="false">IF($J157="","","Q"&amp;(INT(MOD(MONTH($J157)-マスタ!$B$4+12,12)/3)+1))</f>
        <v/>
      </c>
      <c r="P157" s="21" t="str">
        <f aca="true">IF($L157="","",IF($M157&lt;&gt;"",$M157-$L157,IF(TODAY()&gt;$L157,TODAY()-$L157,0)))</f>
        <v/>
      </c>
      <c r="Q157" s="38"/>
      <c r="R157" s="23" t="str">
        <f aca="false">IF($Q157="","",$Q157*N($F157))</f>
        <v/>
      </c>
      <c r="S157" s="38"/>
      <c r="T157" s="24" t="str">
        <f aca="false">IF($A157="","",SUMIFS(発注・納品!$H$3:$H$202,発注・納品!$B$3:$B$202,$A157))</f>
        <v/>
      </c>
      <c r="U157" s="23" t="str">
        <f aca="false">IF($Q157="","",N($S157)+N($T157))</f>
        <v/>
      </c>
      <c r="V157" s="23" t="str">
        <f aca="false">IF($Q157="","",$Q157-N($U157))</f>
        <v/>
      </c>
      <c r="W157" s="25" t="str">
        <f aca="false">IF(N($Q157)=0,"",$V157/$Q157)</f>
        <v/>
      </c>
      <c r="X157" s="26" t="str">
        <f aca="false">IF($A157="","",COUNTIFS(発注・納品!$B$3:$B$202,$A157))</f>
        <v/>
      </c>
      <c r="Y157" s="26" t="str">
        <f aca="false">IF($A157="","",COUNTIFS(発注・納品!$B$3:$B$202,$A157,発注・納品!$M$3:$M$202,""))</f>
        <v/>
      </c>
      <c r="Z157" s="27" t="str">
        <f aca="false">IF(N($X157)=0,"",IF(_xlfn.MAXIFS(発注・納品!$M$3:$M$202,発注・納品!$B$3:$B$202,$A157)=0,"",_xlfn.MAXIFS(発注・納品!$M$3:$M$202,発注・納品!$B$3:$B$202,$A157)))</f>
        <v/>
      </c>
      <c r="AA157" s="28" t="str">
        <f aca="false">IF($A157="","",IF(N($X157)=0,"機器なし",IF(N($Y157)&gt;0,"入荷待ち",IF(COUNTIFS(発注・納品!$B$3:$B$202,$A157,発注・納品!$N$3:$N$202,"")&gt;0,"受入待ち","受入完了"))))</f>
        <v/>
      </c>
      <c r="AB157" s="26" t="str">
        <f aca="false">IF($A157="","",COUNTIFS(現地作業!$A$3:$A$202,$A157,現地作業!$L$3:$L$202,"予定"))</f>
        <v/>
      </c>
      <c r="AC157" s="26" t="str">
        <f aca="false">IF($A157="","",COUNTIFS(現地作業!$A$3:$A$202,$A157,現地作業!$L$3:$L$202,"完了"))</f>
        <v/>
      </c>
      <c r="AD157" s="27" t="str">
        <f aca="true">IF(N($AB157)=0,"",IF(_xlfn.MINIFS(現地作業!$C$3:$C$202,現地作業!$A$3:$A$202,$A157,現地作業!$L$3:$L$202,"予定",現地作業!$C$3:$C$202,"&gt;="&amp;TODAY())=0,"",_xlfn.MINIFS(現地作業!$C$3:$C$202,現地作業!$A$3:$A$202,$A157,現地作業!$L$3:$L$202,"予定",現地作業!$C$3:$C$202,"&gt;="&amp;TODAY())))</f>
        <v/>
      </c>
      <c r="AE157" s="39"/>
      <c r="AF157" s="30" t="str">
        <f aca="false">IF($A157="","",SUM(月次工数計画!$G$162:$AD$162))</f>
        <v/>
      </c>
      <c r="AG157" s="30" t="str">
        <f aca="false">IF($A157="","",SUMIFS(工数明細!$G$3:$G$302,工数明細!$B$3:$B$302,$A157))</f>
        <v/>
      </c>
      <c r="AH157" s="31" t="str">
        <f aca="false">IF($AE157="","",$AE157-N($AG157))</f>
        <v/>
      </c>
      <c r="AI157" s="25" t="str">
        <f aca="false">IF(N($AE157)=0,"",$AG157/$AE157)</f>
        <v/>
      </c>
      <c r="AJ157" s="20" t="str">
        <f aca="false">IF(N($AE157)=0,"",IF($AG157&gt;$AE157,"超過",IF($AG157&gt;=$AE157*0.9,"注意","適正")))</f>
        <v/>
      </c>
      <c r="AK157" s="34"/>
    </row>
    <row r="158" customFormat="false" ht="18" hidden="false" customHeight="true" outlineLevel="0" collapsed="false">
      <c r="A158" s="33"/>
      <c r="B158" s="34"/>
      <c r="C158" s="34"/>
      <c r="D158" s="34"/>
      <c r="E158" s="34"/>
      <c r="F158" s="35"/>
      <c r="G158" s="34"/>
      <c r="H158" s="34"/>
      <c r="I158" s="36"/>
      <c r="J158" s="37"/>
      <c r="K158" s="37"/>
      <c r="L158" s="37"/>
      <c r="M158" s="37"/>
      <c r="N158" s="19" t="str">
        <f aca="false">IF($J158="","",YEAR($J158)-IF(MONTH($J158)&lt;マスタ!$B$4,1,0))</f>
        <v/>
      </c>
      <c r="O158" s="20" t="str">
        <f aca="false">IF($J158="","","Q"&amp;(INT(MOD(MONTH($J158)-マスタ!$B$4+12,12)/3)+1))</f>
        <v/>
      </c>
      <c r="P158" s="21" t="str">
        <f aca="true">IF($L158="","",IF($M158&lt;&gt;"",$M158-$L158,IF(TODAY()&gt;$L158,TODAY()-$L158,0)))</f>
        <v/>
      </c>
      <c r="Q158" s="38"/>
      <c r="R158" s="23" t="str">
        <f aca="false">IF($Q158="","",$Q158*N($F158))</f>
        <v/>
      </c>
      <c r="S158" s="38"/>
      <c r="T158" s="24" t="str">
        <f aca="false">IF($A158="","",SUMIFS(発注・納品!$H$3:$H$202,発注・納品!$B$3:$B$202,$A158))</f>
        <v/>
      </c>
      <c r="U158" s="23" t="str">
        <f aca="false">IF($Q158="","",N($S158)+N($T158))</f>
        <v/>
      </c>
      <c r="V158" s="23" t="str">
        <f aca="false">IF($Q158="","",$Q158-N($U158))</f>
        <v/>
      </c>
      <c r="W158" s="25" t="str">
        <f aca="false">IF(N($Q158)=0,"",$V158/$Q158)</f>
        <v/>
      </c>
      <c r="X158" s="26" t="str">
        <f aca="false">IF($A158="","",COUNTIFS(発注・納品!$B$3:$B$202,$A158))</f>
        <v/>
      </c>
      <c r="Y158" s="26" t="str">
        <f aca="false">IF($A158="","",COUNTIFS(発注・納品!$B$3:$B$202,$A158,発注・納品!$M$3:$M$202,""))</f>
        <v/>
      </c>
      <c r="Z158" s="27" t="str">
        <f aca="false">IF(N($X158)=0,"",IF(_xlfn.MAXIFS(発注・納品!$M$3:$M$202,発注・納品!$B$3:$B$202,$A158)=0,"",_xlfn.MAXIFS(発注・納品!$M$3:$M$202,発注・納品!$B$3:$B$202,$A158)))</f>
        <v/>
      </c>
      <c r="AA158" s="28" t="str">
        <f aca="false">IF($A158="","",IF(N($X158)=0,"機器なし",IF(N($Y158)&gt;0,"入荷待ち",IF(COUNTIFS(発注・納品!$B$3:$B$202,$A158,発注・納品!$N$3:$N$202,"")&gt;0,"受入待ち","受入完了"))))</f>
        <v/>
      </c>
      <c r="AB158" s="26" t="str">
        <f aca="false">IF($A158="","",COUNTIFS(現地作業!$A$3:$A$202,$A158,現地作業!$L$3:$L$202,"予定"))</f>
        <v/>
      </c>
      <c r="AC158" s="26" t="str">
        <f aca="false">IF($A158="","",COUNTIFS(現地作業!$A$3:$A$202,$A158,現地作業!$L$3:$L$202,"完了"))</f>
        <v/>
      </c>
      <c r="AD158" s="27" t="str">
        <f aca="true">IF(N($AB158)=0,"",IF(_xlfn.MINIFS(現地作業!$C$3:$C$202,現地作業!$A$3:$A$202,$A158,現地作業!$L$3:$L$202,"予定",現地作業!$C$3:$C$202,"&gt;="&amp;TODAY())=0,"",_xlfn.MINIFS(現地作業!$C$3:$C$202,現地作業!$A$3:$A$202,$A158,現地作業!$L$3:$L$202,"予定",現地作業!$C$3:$C$202,"&gt;="&amp;TODAY())))</f>
        <v/>
      </c>
      <c r="AE158" s="39"/>
      <c r="AF158" s="30" t="str">
        <f aca="false">IF($A158="","",SUM(月次工数計画!$G$163:$AD$163))</f>
        <v/>
      </c>
      <c r="AG158" s="30" t="str">
        <f aca="false">IF($A158="","",SUMIFS(工数明細!$G$3:$G$302,工数明細!$B$3:$B$302,$A158))</f>
        <v/>
      </c>
      <c r="AH158" s="31" t="str">
        <f aca="false">IF($AE158="","",$AE158-N($AG158))</f>
        <v/>
      </c>
      <c r="AI158" s="25" t="str">
        <f aca="false">IF(N($AE158)=0,"",$AG158/$AE158)</f>
        <v/>
      </c>
      <c r="AJ158" s="20" t="str">
        <f aca="false">IF(N($AE158)=0,"",IF($AG158&gt;$AE158,"超過",IF($AG158&gt;=$AE158*0.9,"注意","適正")))</f>
        <v/>
      </c>
      <c r="AK158" s="34"/>
    </row>
    <row r="159" customFormat="false" ht="18" hidden="false" customHeight="true" outlineLevel="0" collapsed="false">
      <c r="A159" s="33"/>
      <c r="B159" s="34"/>
      <c r="C159" s="34"/>
      <c r="D159" s="34"/>
      <c r="E159" s="34"/>
      <c r="F159" s="35"/>
      <c r="G159" s="34"/>
      <c r="H159" s="34"/>
      <c r="I159" s="36"/>
      <c r="J159" s="37"/>
      <c r="K159" s="37"/>
      <c r="L159" s="37"/>
      <c r="M159" s="37"/>
      <c r="N159" s="19" t="str">
        <f aca="false">IF($J159="","",YEAR($J159)-IF(MONTH($J159)&lt;マスタ!$B$4,1,0))</f>
        <v/>
      </c>
      <c r="O159" s="20" t="str">
        <f aca="false">IF($J159="","","Q"&amp;(INT(MOD(MONTH($J159)-マスタ!$B$4+12,12)/3)+1))</f>
        <v/>
      </c>
      <c r="P159" s="21" t="str">
        <f aca="true">IF($L159="","",IF($M159&lt;&gt;"",$M159-$L159,IF(TODAY()&gt;$L159,TODAY()-$L159,0)))</f>
        <v/>
      </c>
      <c r="Q159" s="38"/>
      <c r="R159" s="23" t="str">
        <f aca="false">IF($Q159="","",$Q159*N($F159))</f>
        <v/>
      </c>
      <c r="S159" s="38"/>
      <c r="T159" s="24" t="str">
        <f aca="false">IF($A159="","",SUMIFS(発注・納品!$H$3:$H$202,発注・納品!$B$3:$B$202,$A159))</f>
        <v/>
      </c>
      <c r="U159" s="23" t="str">
        <f aca="false">IF($Q159="","",N($S159)+N($T159))</f>
        <v/>
      </c>
      <c r="V159" s="23" t="str">
        <f aca="false">IF($Q159="","",$Q159-N($U159))</f>
        <v/>
      </c>
      <c r="W159" s="25" t="str">
        <f aca="false">IF(N($Q159)=0,"",$V159/$Q159)</f>
        <v/>
      </c>
      <c r="X159" s="26" t="str">
        <f aca="false">IF($A159="","",COUNTIFS(発注・納品!$B$3:$B$202,$A159))</f>
        <v/>
      </c>
      <c r="Y159" s="26" t="str">
        <f aca="false">IF($A159="","",COUNTIFS(発注・納品!$B$3:$B$202,$A159,発注・納品!$M$3:$M$202,""))</f>
        <v/>
      </c>
      <c r="Z159" s="27" t="str">
        <f aca="false">IF(N($X159)=0,"",IF(_xlfn.MAXIFS(発注・納品!$M$3:$M$202,発注・納品!$B$3:$B$202,$A159)=0,"",_xlfn.MAXIFS(発注・納品!$M$3:$M$202,発注・納品!$B$3:$B$202,$A159)))</f>
        <v/>
      </c>
      <c r="AA159" s="28" t="str">
        <f aca="false">IF($A159="","",IF(N($X159)=0,"機器なし",IF(N($Y159)&gt;0,"入荷待ち",IF(COUNTIFS(発注・納品!$B$3:$B$202,$A159,発注・納品!$N$3:$N$202,"")&gt;0,"受入待ち","受入完了"))))</f>
        <v/>
      </c>
      <c r="AB159" s="26" t="str">
        <f aca="false">IF($A159="","",COUNTIFS(現地作業!$A$3:$A$202,$A159,現地作業!$L$3:$L$202,"予定"))</f>
        <v/>
      </c>
      <c r="AC159" s="26" t="str">
        <f aca="false">IF($A159="","",COUNTIFS(現地作業!$A$3:$A$202,$A159,現地作業!$L$3:$L$202,"完了"))</f>
        <v/>
      </c>
      <c r="AD159" s="27" t="str">
        <f aca="true">IF(N($AB159)=0,"",IF(_xlfn.MINIFS(現地作業!$C$3:$C$202,現地作業!$A$3:$A$202,$A159,現地作業!$L$3:$L$202,"予定",現地作業!$C$3:$C$202,"&gt;="&amp;TODAY())=0,"",_xlfn.MINIFS(現地作業!$C$3:$C$202,現地作業!$A$3:$A$202,$A159,現地作業!$L$3:$L$202,"予定",現地作業!$C$3:$C$202,"&gt;="&amp;TODAY())))</f>
        <v/>
      </c>
      <c r="AE159" s="39"/>
      <c r="AF159" s="30" t="str">
        <f aca="false">IF($A159="","",SUM(月次工数計画!$G$164:$AD$164))</f>
        <v/>
      </c>
      <c r="AG159" s="30" t="str">
        <f aca="false">IF($A159="","",SUMIFS(工数明細!$G$3:$G$302,工数明細!$B$3:$B$302,$A159))</f>
        <v/>
      </c>
      <c r="AH159" s="31" t="str">
        <f aca="false">IF($AE159="","",$AE159-N($AG159))</f>
        <v/>
      </c>
      <c r="AI159" s="25" t="str">
        <f aca="false">IF(N($AE159)=0,"",$AG159/$AE159)</f>
        <v/>
      </c>
      <c r="AJ159" s="20" t="str">
        <f aca="false">IF(N($AE159)=0,"",IF($AG159&gt;$AE159,"超過",IF($AG159&gt;=$AE159*0.9,"注意","適正")))</f>
        <v/>
      </c>
      <c r="AK159" s="34"/>
    </row>
    <row r="160" customFormat="false" ht="18" hidden="false" customHeight="true" outlineLevel="0" collapsed="false">
      <c r="A160" s="33"/>
      <c r="B160" s="34"/>
      <c r="C160" s="34"/>
      <c r="D160" s="34"/>
      <c r="E160" s="34"/>
      <c r="F160" s="35"/>
      <c r="G160" s="34"/>
      <c r="H160" s="34"/>
      <c r="I160" s="36"/>
      <c r="J160" s="37"/>
      <c r="K160" s="37"/>
      <c r="L160" s="37"/>
      <c r="M160" s="37"/>
      <c r="N160" s="19" t="str">
        <f aca="false">IF($J160="","",YEAR($J160)-IF(MONTH($J160)&lt;マスタ!$B$4,1,0))</f>
        <v/>
      </c>
      <c r="O160" s="20" t="str">
        <f aca="false">IF($J160="","","Q"&amp;(INT(MOD(MONTH($J160)-マスタ!$B$4+12,12)/3)+1))</f>
        <v/>
      </c>
      <c r="P160" s="21" t="str">
        <f aca="true">IF($L160="","",IF($M160&lt;&gt;"",$M160-$L160,IF(TODAY()&gt;$L160,TODAY()-$L160,0)))</f>
        <v/>
      </c>
      <c r="Q160" s="38"/>
      <c r="R160" s="23" t="str">
        <f aca="false">IF($Q160="","",$Q160*N($F160))</f>
        <v/>
      </c>
      <c r="S160" s="38"/>
      <c r="T160" s="24" t="str">
        <f aca="false">IF($A160="","",SUMIFS(発注・納品!$H$3:$H$202,発注・納品!$B$3:$B$202,$A160))</f>
        <v/>
      </c>
      <c r="U160" s="23" t="str">
        <f aca="false">IF($Q160="","",N($S160)+N($T160))</f>
        <v/>
      </c>
      <c r="V160" s="23" t="str">
        <f aca="false">IF($Q160="","",$Q160-N($U160))</f>
        <v/>
      </c>
      <c r="W160" s="25" t="str">
        <f aca="false">IF(N($Q160)=0,"",$V160/$Q160)</f>
        <v/>
      </c>
      <c r="X160" s="26" t="str">
        <f aca="false">IF($A160="","",COUNTIFS(発注・納品!$B$3:$B$202,$A160))</f>
        <v/>
      </c>
      <c r="Y160" s="26" t="str">
        <f aca="false">IF($A160="","",COUNTIFS(発注・納品!$B$3:$B$202,$A160,発注・納品!$M$3:$M$202,""))</f>
        <v/>
      </c>
      <c r="Z160" s="27" t="str">
        <f aca="false">IF(N($X160)=0,"",IF(_xlfn.MAXIFS(発注・納品!$M$3:$M$202,発注・納品!$B$3:$B$202,$A160)=0,"",_xlfn.MAXIFS(発注・納品!$M$3:$M$202,発注・納品!$B$3:$B$202,$A160)))</f>
        <v/>
      </c>
      <c r="AA160" s="28" t="str">
        <f aca="false">IF($A160="","",IF(N($X160)=0,"機器なし",IF(N($Y160)&gt;0,"入荷待ち",IF(COUNTIFS(発注・納品!$B$3:$B$202,$A160,発注・納品!$N$3:$N$202,"")&gt;0,"受入待ち","受入完了"))))</f>
        <v/>
      </c>
      <c r="AB160" s="26" t="str">
        <f aca="false">IF($A160="","",COUNTIFS(現地作業!$A$3:$A$202,$A160,現地作業!$L$3:$L$202,"予定"))</f>
        <v/>
      </c>
      <c r="AC160" s="26" t="str">
        <f aca="false">IF($A160="","",COUNTIFS(現地作業!$A$3:$A$202,$A160,現地作業!$L$3:$L$202,"完了"))</f>
        <v/>
      </c>
      <c r="AD160" s="27" t="str">
        <f aca="true">IF(N($AB160)=0,"",IF(_xlfn.MINIFS(現地作業!$C$3:$C$202,現地作業!$A$3:$A$202,$A160,現地作業!$L$3:$L$202,"予定",現地作業!$C$3:$C$202,"&gt;="&amp;TODAY())=0,"",_xlfn.MINIFS(現地作業!$C$3:$C$202,現地作業!$A$3:$A$202,$A160,現地作業!$L$3:$L$202,"予定",現地作業!$C$3:$C$202,"&gt;="&amp;TODAY())))</f>
        <v/>
      </c>
      <c r="AE160" s="39"/>
      <c r="AF160" s="30" t="str">
        <f aca="false">IF($A160="","",SUM(月次工数計画!$G$165:$AD$165))</f>
        <v/>
      </c>
      <c r="AG160" s="30" t="str">
        <f aca="false">IF($A160="","",SUMIFS(工数明細!$G$3:$G$302,工数明細!$B$3:$B$302,$A160))</f>
        <v/>
      </c>
      <c r="AH160" s="31" t="str">
        <f aca="false">IF($AE160="","",$AE160-N($AG160))</f>
        <v/>
      </c>
      <c r="AI160" s="25" t="str">
        <f aca="false">IF(N($AE160)=0,"",$AG160/$AE160)</f>
        <v/>
      </c>
      <c r="AJ160" s="20" t="str">
        <f aca="false">IF(N($AE160)=0,"",IF($AG160&gt;$AE160,"超過",IF($AG160&gt;=$AE160*0.9,"注意","適正")))</f>
        <v/>
      </c>
      <c r="AK160" s="34"/>
    </row>
    <row r="161" customFormat="false" ht="18" hidden="false" customHeight="true" outlineLevel="0" collapsed="false">
      <c r="A161" s="33"/>
      <c r="B161" s="34"/>
      <c r="C161" s="34"/>
      <c r="D161" s="34"/>
      <c r="E161" s="34"/>
      <c r="F161" s="35"/>
      <c r="G161" s="34"/>
      <c r="H161" s="34"/>
      <c r="I161" s="36"/>
      <c r="J161" s="37"/>
      <c r="K161" s="37"/>
      <c r="L161" s="37"/>
      <c r="M161" s="37"/>
      <c r="N161" s="19" t="str">
        <f aca="false">IF($J161="","",YEAR($J161)-IF(MONTH($J161)&lt;マスタ!$B$4,1,0))</f>
        <v/>
      </c>
      <c r="O161" s="20" t="str">
        <f aca="false">IF($J161="","","Q"&amp;(INT(MOD(MONTH($J161)-マスタ!$B$4+12,12)/3)+1))</f>
        <v/>
      </c>
      <c r="P161" s="21" t="str">
        <f aca="true">IF($L161="","",IF($M161&lt;&gt;"",$M161-$L161,IF(TODAY()&gt;$L161,TODAY()-$L161,0)))</f>
        <v/>
      </c>
      <c r="Q161" s="38"/>
      <c r="R161" s="23" t="str">
        <f aca="false">IF($Q161="","",$Q161*N($F161))</f>
        <v/>
      </c>
      <c r="S161" s="38"/>
      <c r="T161" s="24" t="str">
        <f aca="false">IF($A161="","",SUMIFS(発注・納品!$H$3:$H$202,発注・納品!$B$3:$B$202,$A161))</f>
        <v/>
      </c>
      <c r="U161" s="23" t="str">
        <f aca="false">IF($Q161="","",N($S161)+N($T161))</f>
        <v/>
      </c>
      <c r="V161" s="23" t="str">
        <f aca="false">IF($Q161="","",$Q161-N($U161))</f>
        <v/>
      </c>
      <c r="W161" s="25" t="str">
        <f aca="false">IF(N($Q161)=0,"",$V161/$Q161)</f>
        <v/>
      </c>
      <c r="X161" s="26" t="str">
        <f aca="false">IF($A161="","",COUNTIFS(発注・納品!$B$3:$B$202,$A161))</f>
        <v/>
      </c>
      <c r="Y161" s="26" t="str">
        <f aca="false">IF($A161="","",COUNTIFS(発注・納品!$B$3:$B$202,$A161,発注・納品!$M$3:$M$202,""))</f>
        <v/>
      </c>
      <c r="Z161" s="27" t="str">
        <f aca="false">IF(N($X161)=0,"",IF(_xlfn.MAXIFS(発注・納品!$M$3:$M$202,発注・納品!$B$3:$B$202,$A161)=0,"",_xlfn.MAXIFS(発注・納品!$M$3:$M$202,発注・納品!$B$3:$B$202,$A161)))</f>
        <v/>
      </c>
      <c r="AA161" s="28" t="str">
        <f aca="false">IF($A161="","",IF(N($X161)=0,"機器なし",IF(N($Y161)&gt;0,"入荷待ち",IF(COUNTIFS(発注・納品!$B$3:$B$202,$A161,発注・納品!$N$3:$N$202,"")&gt;0,"受入待ち","受入完了"))))</f>
        <v/>
      </c>
      <c r="AB161" s="26" t="str">
        <f aca="false">IF($A161="","",COUNTIFS(現地作業!$A$3:$A$202,$A161,現地作業!$L$3:$L$202,"予定"))</f>
        <v/>
      </c>
      <c r="AC161" s="26" t="str">
        <f aca="false">IF($A161="","",COUNTIFS(現地作業!$A$3:$A$202,$A161,現地作業!$L$3:$L$202,"完了"))</f>
        <v/>
      </c>
      <c r="AD161" s="27" t="str">
        <f aca="true">IF(N($AB161)=0,"",IF(_xlfn.MINIFS(現地作業!$C$3:$C$202,現地作業!$A$3:$A$202,$A161,現地作業!$L$3:$L$202,"予定",現地作業!$C$3:$C$202,"&gt;="&amp;TODAY())=0,"",_xlfn.MINIFS(現地作業!$C$3:$C$202,現地作業!$A$3:$A$202,$A161,現地作業!$L$3:$L$202,"予定",現地作業!$C$3:$C$202,"&gt;="&amp;TODAY())))</f>
        <v/>
      </c>
      <c r="AE161" s="39"/>
      <c r="AF161" s="30" t="str">
        <f aca="false">IF($A161="","",SUM(月次工数計画!$G$166:$AD$166))</f>
        <v/>
      </c>
      <c r="AG161" s="30" t="str">
        <f aca="false">IF($A161="","",SUMIFS(工数明細!$G$3:$G$302,工数明細!$B$3:$B$302,$A161))</f>
        <v/>
      </c>
      <c r="AH161" s="31" t="str">
        <f aca="false">IF($AE161="","",$AE161-N($AG161))</f>
        <v/>
      </c>
      <c r="AI161" s="25" t="str">
        <f aca="false">IF(N($AE161)=0,"",$AG161/$AE161)</f>
        <v/>
      </c>
      <c r="AJ161" s="20" t="str">
        <f aca="false">IF(N($AE161)=0,"",IF($AG161&gt;$AE161,"超過",IF($AG161&gt;=$AE161*0.9,"注意","適正")))</f>
        <v/>
      </c>
      <c r="AK161" s="34"/>
    </row>
    <row r="162" customFormat="false" ht="18" hidden="false" customHeight="true" outlineLevel="0" collapsed="false">
      <c r="A162" s="33"/>
      <c r="B162" s="34"/>
      <c r="C162" s="34"/>
      <c r="D162" s="34"/>
      <c r="E162" s="34"/>
      <c r="F162" s="35"/>
      <c r="G162" s="34"/>
      <c r="H162" s="34"/>
      <c r="I162" s="36"/>
      <c r="J162" s="37"/>
      <c r="K162" s="37"/>
      <c r="L162" s="37"/>
      <c r="M162" s="37"/>
      <c r="N162" s="19" t="str">
        <f aca="false">IF($J162="","",YEAR($J162)-IF(MONTH($J162)&lt;マスタ!$B$4,1,0))</f>
        <v/>
      </c>
      <c r="O162" s="20" t="str">
        <f aca="false">IF($J162="","","Q"&amp;(INT(MOD(MONTH($J162)-マスタ!$B$4+12,12)/3)+1))</f>
        <v/>
      </c>
      <c r="P162" s="21" t="str">
        <f aca="true">IF($L162="","",IF($M162&lt;&gt;"",$M162-$L162,IF(TODAY()&gt;$L162,TODAY()-$L162,0)))</f>
        <v/>
      </c>
      <c r="Q162" s="38"/>
      <c r="R162" s="23" t="str">
        <f aca="false">IF($Q162="","",$Q162*N($F162))</f>
        <v/>
      </c>
      <c r="S162" s="38"/>
      <c r="T162" s="24" t="str">
        <f aca="false">IF($A162="","",SUMIFS(発注・納品!$H$3:$H$202,発注・納品!$B$3:$B$202,$A162))</f>
        <v/>
      </c>
      <c r="U162" s="23" t="str">
        <f aca="false">IF($Q162="","",N($S162)+N($T162))</f>
        <v/>
      </c>
      <c r="V162" s="23" t="str">
        <f aca="false">IF($Q162="","",$Q162-N($U162))</f>
        <v/>
      </c>
      <c r="W162" s="25" t="str">
        <f aca="false">IF(N($Q162)=0,"",$V162/$Q162)</f>
        <v/>
      </c>
      <c r="X162" s="26" t="str">
        <f aca="false">IF($A162="","",COUNTIFS(発注・納品!$B$3:$B$202,$A162))</f>
        <v/>
      </c>
      <c r="Y162" s="26" t="str">
        <f aca="false">IF($A162="","",COUNTIFS(発注・納品!$B$3:$B$202,$A162,発注・納品!$M$3:$M$202,""))</f>
        <v/>
      </c>
      <c r="Z162" s="27" t="str">
        <f aca="false">IF(N($X162)=0,"",IF(_xlfn.MAXIFS(発注・納品!$M$3:$M$202,発注・納品!$B$3:$B$202,$A162)=0,"",_xlfn.MAXIFS(発注・納品!$M$3:$M$202,発注・納品!$B$3:$B$202,$A162)))</f>
        <v/>
      </c>
      <c r="AA162" s="28" t="str">
        <f aca="false">IF($A162="","",IF(N($X162)=0,"機器なし",IF(N($Y162)&gt;0,"入荷待ち",IF(COUNTIFS(発注・納品!$B$3:$B$202,$A162,発注・納品!$N$3:$N$202,"")&gt;0,"受入待ち","受入完了"))))</f>
        <v/>
      </c>
      <c r="AB162" s="26" t="str">
        <f aca="false">IF($A162="","",COUNTIFS(現地作業!$A$3:$A$202,$A162,現地作業!$L$3:$L$202,"予定"))</f>
        <v/>
      </c>
      <c r="AC162" s="26" t="str">
        <f aca="false">IF($A162="","",COUNTIFS(現地作業!$A$3:$A$202,$A162,現地作業!$L$3:$L$202,"完了"))</f>
        <v/>
      </c>
      <c r="AD162" s="27" t="str">
        <f aca="true">IF(N($AB162)=0,"",IF(_xlfn.MINIFS(現地作業!$C$3:$C$202,現地作業!$A$3:$A$202,$A162,現地作業!$L$3:$L$202,"予定",現地作業!$C$3:$C$202,"&gt;="&amp;TODAY())=0,"",_xlfn.MINIFS(現地作業!$C$3:$C$202,現地作業!$A$3:$A$202,$A162,現地作業!$L$3:$L$202,"予定",現地作業!$C$3:$C$202,"&gt;="&amp;TODAY())))</f>
        <v/>
      </c>
      <c r="AE162" s="39"/>
      <c r="AF162" s="30" t="str">
        <f aca="false">IF($A162="","",SUM(月次工数計画!$G$167:$AD$167))</f>
        <v/>
      </c>
      <c r="AG162" s="30" t="str">
        <f aca="false">IF($A162="","",SUMIFS(工数明細!$G$3:$G$302,工数明細!$B$3:$B$302,$A162))</f>
        <v/>
      </c>
      <c r="AH162" s="31" t="str">
        <f aca="false">IF($AE162="","",$AE162-N($AG162))</f>
        <v/>
      </c>
      <c r="AI162" s="25" t="str">
        <f aca="false">IF(N($AE162)=0,"",$AG162/$AE162)</f>
        <v/>
      </c>
      <c r="AJ162" s="20" t="str">
        <f aca="false">IF(N($AE162)=0,"",IF($AG162&gt;$AE162,"超過",IF($AG162&gt;=$AE162*0.9,"注意","適正")))</f>
        <v/>
      </c>
      <c r="AK162" s="34"/>
    </row>
    <row r="163" customFormat="false" ht="18" hidden="false" customHeight="true" outlineLevel="0" collapsed="false">
      <c r="A163" s="33"/>
      <c r="B163" s="34"/>
      <c r="C163" s="34"/>
      <c r="D163" s="34"/>
      <c r="E163" s="34"/>
      <c r="F163" s="35"/>
      <c r="G163" s="34"/>
      <c r="H163" s="34"/>
      <c r="I163" s="36"/>
      <c r="J163" s="37"/>
      <c r="K163" s="37"/>
      <c r="L163" s="37"/>
      <c r="M163" s="37"/>
      <c r="N163" s="19" t="str">
        <f aca="false">IF($J163="","",YEAR($J163)-IF(MONTH($J163)&lt;マスタ!$B$4,1,0))</f>
        <v/>
      </c>
      <c r="O163" s="20" t="str">
        <f aca="false">IF($J163="","","Q"&amp;(INT(MOD(MONTH($J163)-マスタ!$B$4+12,12)/3)+1))</f>
        <v/>
      </c>
      <c r="P163" s="21" t="str">
        <f aca="true">IF($L163="","",IF($M163&lt;&gt;"",$M163-$L163,IF(TODAY()&gt;$L163,TODAY()-$L163,0)))</f>
        <v/>
      </c>
      <c r="Q163" s="38"/>
      <c r="R163" s="23" t="str">
        <f aca="false">IF($Q163="","",$Q163*N($F163))</f>
        <v/>
      </c>
      <c r="S163" s="38"/>
      <c r="T163" s="24" t="str">
        <f aca="false">IF($A163="","",SUMIFS(発注・納品!$H$3:$H$202,発注・納品!$B$3:$B$202,$A163))</f>
        <v/>
      </c>
      <c r="U163" s="23" t="str">
        <f aca="false">IF($Q163="","",N($S163)+N($T163))</f>
        <v/>
      </c>
      <c r="V163" s="23" t="str">
        <f aca="false">IF($Q163="","",$Q163-N($U163))</f>
        <v/>
      </c>
      <c r="W163" s="25" t="str">
        <f aca="false">IF(N($Q163)=0,"",$V163/$Q163)</f>
        <v/>
      </c>
      <c r="X163" s="26" t="str">
        <f aca="false">IF($A163="","",COUNTIFS(発注・納品!$B$3:$B$202,$A163))</f>
        <v/>
      </c>
      <c r="Y163" s="26" t="str">
        <f aca="false">IF($A163="","",COUNTIFS(発注・納品!$B$3:$B$202,$A163,発注・納品!$M$3:$M$202,""))</f>
        <v/>
      </c>
      <c r="Z163" s="27" t="str">
        <f aca="false">IF(N($X163)=0,"",IF(_xlfn.MAXIFS(発注・納品!$M$3:$M$202,発注・納品!$B$3:$B$202,$A163)=0,"",_xlfn.MAXIFS(発注・納品!$M$3:$M$202,発注・納品!$B$3:$B$202,$A163)))</f>
        <v/>
      </c>
      <c r="AA163" s="28" t="str">
        <f aca="false">IF($A163="","",IF(N($X163)=0,"機器なし",IF(N($Y163)&gt;0,"入荷待ち",IF(COUNTIFS(発注・納品!$B$3:$B$202,$A163,発注・納品!$N$3:$N$202,"")&gt;0,"受入待ち","受入完了"))))</f>
        <v/>
      </c>
      <c r="AB163" s="26" t="str">
        <f aca="false">IF($A163="","",COUNTIFS(現地作業!$A$3:$A$202,$A163,現地作業!$L$3:$L$202,"予定"))</f>
        <v/>
      </c>
      <c r="AC163" s="26" t="str">
        <f aca="false">IF($A163="","",COUNTIFS(現地作業!$A$3:$A$202,$A163,現地作業!$L$3:$L$202,"完了"))</f>
        <v/>
      </c>
      <c r="AD163" s="27" t="str">
        <f aca="true">IF(N($AB163)=0,"",IF(_xlfn.MINIFS(現地作業!$C$3:$C$202,現地作業!$A$3:$A$202,$A163,現地作業!$L$3:$L$202,"予定",現地作業!$C$3:$C$202,"&gt;="&amp;TODAY())=0,"",_xlfn.MINIFS(現地作業!$C$3:$C$202,現地作業!$A$3:$A$202,$A163,現地作業!$L$3:$L$202,"予定",現地作業!$C$3:$C$202,"&gt;="&amp;TODAY())))</f>
        <v/>
      </c>
      <c r="AE163" s="39"/>
      <c r="AF163" s="30" t="str">
        <f aca="false">IF($A163="","",SUM(月次工数計画!$G$168:$AD$168))</f>
        <v/>
      </c>
      <c r="AG163" s="30" t="str">
        <f aca="false">IF($A163="","",SUMIFS(工数明細!$G$3:$G$302,工数明細!$B$3:$B$302,$A163))</f>
        <v/>
      </c>
      <c r="AH163" s="31" t="str">
        <f aca="false">IF($AE163="","",$AE163-N($AG163))</f>
        <v/>
      </c>
      <c r="AI163" s="25" t="str">
        <f aca="false">IF(N($AE163)=0,"",$AG163/$AE163)</f>
        <v/>
      </c>
      <c r="AJ163" s="20" t="str">
        <f aca="false">IF(N($AE163)=0,"",IF($AG163&gt;$AE163,"超過",IF($AG163&gt;=$AE163*0.9,"注意","適正")))</f>
        <v/>
      </c>
      <c r="AK163" s="34"/>
    </row>
    <row r="164" customFormat="false" ht="18" hidden="false" customHeight="true" outlineLevel="0" collapsed="false">
      <c r="A164" s="33"/>
      <c r="B164" s="34"/>
      <c r="C164" s="34"/>
      <c r="D164" s="34"/>
      <c r="E164" s="34"/>
      <c r="F164" s="35"/>
      <c r="G164" s="34"/>
      <c r="H164" s="34"/>
      <c r="I164" s="36"/>
      <c r="J164" s="37"/>
      <c r="K164" s="37"/>
      <c r="L164" s="37"/>
      <c r="M164" s="37"/>
      <c r="N164" s="19" t="str">
        <f aca="false">IF($J164="","",YEAR($J164)-IF(MONTH($J164)&lt;マスタ!$B$4,1,0))</f>
        <v/>
      </c>
      <c r="O164" s="20" t="str">
        <f aca="false">IF($J164="","","Q"&amp;(INT(MOD(MONTH($J164)-マスタ!$B$4+12,12)/3)+1))</f>
        <v/>
      </c>
      <c r="P164" s="21" t="str">
        <f aca="true">IF($L164="","",IF($M164&lt;&gt;"",$M164-$L164,IF(TODAY()&gt;$L164,TODAY()-$L164,0)))</f>
        <v/>
      </c>
      <c r="Q164" s="38"/>
      <c r="R164" s="23" t="str">
        <f aca="false">IF($Q164="","",$Q164*N($F164))</f>
        <v/>
      </c>
      <c r="S164" s="38"/>
      <c r="T164" s="24" t="str">
        <f aca="false">IF($A164="","",SUMIFS(発注・納品!$H$3:$H$202,発注・納品!$B$3:$B$202,$A164))</f>
        <v/>
      </c>
      <c r="U164" s="23" t="str">
        <f aca="false">IF($Q164="","",N($S164)+N($T164))</f>
        <v/>
      </c>
      <c r="V164" s="23" t="str">
        <f aca="false">IF($Q164="","",$Q164-N($U164))</f>
        <v/>
      </c>
      <c r="W164" s="25" t="str">
        <f aca="false">IF(N($Q164)=0,"",$V164/$Q164)</f>
        <v/>
      </c>
      <c r="X164" s="26" t="str">
        <f aca="false">IF($A164="","",COUNTIFS(発注・納品!$B$3:$B$202,$A164))</f>
        <v/>
      </c>
      <c r="Y164" s="26" t="str">
        <f aca="false">IF($A164="","",COUNTIFS(発注・納品!$B$3:$B$202,$A164,発注・納品!$M$3:$M$202,""))</f>
        <v/>
      </c>
      <c r="Z164" s="27" t="str">
        <f aca="false">IF(N($X164)=0,"",IF(_xlfn.MAXIFS(発注・納品!$M$3:$M$202,発注・納品!$B$3:$B$202,$A164)=0,"",_xlfn.MAXIFS(発注・納品!$M$3:$M$202,発注・納品!$B$3:$B$202,$A164)))</f>
        <v/>
      </c>
      <c r="AA164" s="28" t="str">
        <f aca="false">IF($A164="","",IF(N($X164)=0,"機器なし",IF(N($Y164)&gt;0,"入荷待ち",IF(COUNTIFS(発注・納品!$B$3:$B$202,$A164,発注・納品!$N$3:$N$202,"")&gt;0,"受入待ち","受入完了"))))</f>
        <v/>
      </c>
      <c r="AB164" s="26" t="str">
        <f aca="false">IF($A164="","",COUNTIFS(現地作業!$A$3:$A$202,$A164,現地作業!$L$3:$L$202,"予定"))</f>
        <v/>
      </c>
      <c r="AC164" s="26" t="str">
        <f aca="false">IF($A164="","",COUNTIFS(現地作業!$A$3:$A$202,$A164,現地作業!$L$3:$L$202,"完了"))</f>
        <v/>
      </c>
      <c r="AD164" s="27" t="str">
        <f aca="true">IF(N($AB164)=0,"",IF(_xlfn.MINIFS(現地作業!$C$3:$C$202,現地作業!$A$3:$A$202,$A164,現地作業!$L$3:$L$202,"予定",現地作業!$C$3:$C$202,"&gt;="&amp;TODAY())=0,"",_xlfn.MINIFS(現地作業!$C$3:$C$202,現地作業!$A$3:$A$202,$A164,現地作業!$L$3:$L$202,"予定",現地作業!$C$3:$C$202,"&gt;="&amp;TODAY())))</f>
        <v/>
      </c>
      <c r="AE164" s="39"/>
      <c r="AF164" s="30" t="str">
        <f aca="false">IF($A164="","",SUM(月次工数計画!$G$169:$AD$169))</f>
        <v/>
      </c>
      <c r="AG164" s="30" t="str">
        <f aca="false">IF($A164="","",SUMIFS(工数明細!$G$3:$G$302,工数明細!$B$3:$B$302,$A164))</f>
        <v/>
      </c>
      <c r="AH164" s="31" t="str">
        <f aca="false">IF($AE164="","",$AE164-N($AG164))</f>
        <v/>
      </c>
      <c r="AI164" s="25" t="str">
        <f aca="false">IF(N($AE164)=0,"",$AG164/$AE164)</f>
        <v/>
      </c>
      <c r="AJ164" s="20" t="str">
        <f aca="false">IF(N($AE164)=0,"",IF($AG164&gt;$AE164,"超過",IF($AG164&gt;=$AE164*0.9,"注意","適正")))</f>
        <v/>
      </c>
      <c r="AK164" s="34"/>
    </row>
    <row r="165" customFormat="false" ht="18" hidden="false" customHeight="true" outlineLevel="0" collapsed="false">
      <c r="A165" s="33"/>
      <c r="B165" s="34"/>
      <c r="C165" s="34"/>
      <c r="D165" s="34"/>
      <c r="E165" s="34"/>
      <c r="F165" s="35"/>
      <c r="G165" s="34"/>
      <c r="H165" s="34"/>
      <c r="I165" s="36"/>
      <c r="J165" s="37"/>
      <c r="K165" s="37"/>
      <c r="L165" s="37"/>
      <c r="M165" s="37"/>
      <c r="N165" s="19" t="str">
        <f aca="false">IF($J165="","",YEAR($J165)-IF(MONTH($J165)&lt;マスタ!$B$4,1,0))</f>
        <v/>
      </c>
      <c r="O165" s="20" t="str">
        <f aca="false">IF($J165="","","Q"&amp;(INT(MOD(MONTH($J165)-マスタ!$B$4+12,12)/3)+1))</f>
        <v/>
      </c>
      <c r="P165" s="21" t="str">
        <f aca="true">IF($L165="","",IF($M165&lt;&gt;"",$M165-$L165,IF(TODAY()&gt;$L165,TODAY()-$L165,0)))</f>
        <v/>
      </c>
      <c r="Q165" s="38"/>
      <c r="R165" s="23" t="str">
        <f aca="false">IF($Q165="","",$Q165*N($F165))</f>
        <v/>
      </c>
      <c r="S165" s="38"/>
      <c r="T165" s="24" t="str">
        <f aca="false">IF($A165="","",SUMIFS(発注・納品!$H$3:$H$202,発注・納品!$B$3:$B$202,$A165))</f>
        <v/>
      </c>
      <c r="U165" s="23" t="str">
        <f aca="false">IF($Q165="","",N($S165)+N($T165))</f>
        <v/>
      </c>
      <c r="V165" s="23" t="str">
        <f aca="false">IF($Q165="","",$Q165-N($U165))</f>
        <v/>
      </c>
      <c r="W165" s="25" t="str">
        <f aca="false">IF(N($Q165)=0,"",$V165/$Q165)</f>
        <v/>
      </c>
      <c r="X165" s="26" t="str">
        <f aca="false">IF($A165="","",COUNTIFS(発注・納品!$B$3:$B$202,$A165))</f>
        <v/>
      </c>
      <c r="Y165" s="26" t="str">
        <f aca="false">IF($A165="","",COUNTIFS(発注・納品!$B$3:$B$202,$A165,発注・納品!$M$3:$M$202,""))</f>
        <v/>
      </c>
      <c r="Z165" s="27" t="str">
        <f aca="false">IF(N($X165)=0,"",IF(_xlfn.MAXIFS(発注・納品!$M$3:$M$202,発注・納品!$B$3:$B$202,$A165)=0,"",_xlfn.MAXIFS(発注・納品!$M$3:$M$202,発注・納品!$B$3:$B$202,$A165)))</f>
        <v/>
      </c>
      <c r="AA165" s="28" t="str">
        <f aca="false">IF($A165="","",IF(N($X165)=0,"機器なし",IF(N($Y165)&gt;0,"入荷待ち",IF(COUNTIFS(発注・納品!$B$3:$B$202,$A165,発注・納品!$N$3:$N$202,"")&gt;0,"受入待ち","受入完了"))))</f>
        <v/>
      </c>
      <c r="AB165" s="26" t="str">
        <f aca="false">IF($A165="","",COUNTIFS(現地作業!$A$3:$A$202,$A165,現地作業!$L$3:$L$202,"予定"))</f>
        <v/>
      </c>
      <c r="AC165" s="26" t="str">
        <f aca="false">IF($A165="","",COUNTIFS(現地作業!$A$3:$A$202,$A165,現地作業!$L$3:$L$202,"完了"))</f>
        <v/>
      </c>
      <c r="AD165" s="27" t="str">
        <f aca="true">IF(N($AB165)=0,"",IF(_xlfn.MINIFS(現地作業!$C$3:$C$202,現地作業!$A$3:$A$202,$A165,現地作業!$L$3:$L$202,"予定",現地作業!$C$3:$C$202,"&gt;="&amp;TODAY())=0,"",_xlfn.MINIFS(現地作業!$C$3:$C$202,現地作業!$A$3:$A$202,$A165,現地作業!$L$3:$L$202,"予定",現地作業!$C$3:$C$202,"&gt;="&amp;TODAY())))</f>
        <v/>
      </c>
      <c r="AE165" s="39"/>
      <c r="AF165" s="30" t="str">
        <f aca="false">IF($A165="","",SUM(月次工数計画!$G$170:$AD$170))</f>
        <v/>
      </c>
      <c r="AG165" s="30" t="str">
        <f aca="false">IF($A165="","",SUMIFS(工数明細!$G$3:$G$302,工数明細!$B$3:$B$302,$A165))</f>
        <v/>
      </c>
      <c r="AH165" s="31" t="str">
        <f aca="false">IF($AE165="","",$AE165-N($AG165))</f>
        <v/>
      </c>
      <c r="AI165" s="25" t="str">
        <f aca="false">IF(N($AE165)=0,"",$AG165/$AE165)</f>
        <v/>
      </c>
      <c r="AJ165" s="20" t="str">
        <f aca="false">IF(N($AE165)=0,"",IF($AG165&gt;$AE165,"超過",IF($AG165&gt;=$AE165*0.9,"注意","適正")))</f>
        <v/>
      </c>
      <c r="AK165" s="34"/>
    </row>
    <row r="166" customFormat="false" ht="18" hidden="false" customHeight="true" outlineLevel="0" collapsed="false">
      <c r="A166" s="33"/>
      <c r="B166" s="34"/>
      <c r="C166" s="34"/>
      <c r="D166" s="34"/>
      <c r="E166" s="34"/>
      <c r="F166" s="35"/>
      <c r="G166" s="34"/>
      <c r="H166" s="34"/>
      <c r="I166" s="36"/>
      <c r="J166" s="37"/>
      <c r="K166" s="37"/>
      <c r="L166" s="37"/>
      <c r="M166" s="37"/>
      <c r="N166" s="19" t="str">
        <f aca="false">IF($J166="","",YEAR($J166)-IF(MONTH($J166)&lt;マスタ!$B$4,1,0))</f>
        <v/>
      </c>
      <c r="O166" s="20" t="str">
        <f aca="false">IF($J166="","","Q"&amp;(INT(MOD(MONTH($J166)-マスタ!$B$4+12,12)/3)+1))</f>
        <v/>
      </c>
      <c r="P166" s="21" t="str">
        <f aca="true">IF($L166="","",IF($M166&lt;&gt;"",$M166-$L166,IF(TODAY()&gt;$L166,TODAY()-$L166,0)))</f>
        <v/>
      </c>
      <c r="Q166" s="38"/>
      <c r="R166" s="23" t="str">
        <f aca="false">IF($Q166="","",$Q166*N($F166))</f>
        <v/>
      </c>
      <c r="S166" s="38"/>
      <c r="T166" s="24" t="str">
        <f aca="false">IF($A166="","",SUMIFS(発注・納品!$H$3:$H$202,発注・納品!$B$3:$B$202,$A166))</f>
        <v/>
      </c>
      <c r="U166" s="23" t="str">
        <f aca="false">IF($Q166="","",N($S166)+N($T166))</f>
        <v/>
      </c>
      <c r="V166" s="23" t="str">
        <f aca="false">IF($Q166="","",$Q166-N($U166))</f>
        <v/>
      </c>
      <c r="W166" s="25" t="str">
        <f aca="false">IF(N($Q166)=0,"",$V166/$Q166)</f>
        <v/>
      </c>
      <c r="X166" s="26" t="str">
        <f aca="false">IF($A166="","",COUNTIFS(発注・納品!$B$3:$B$202,$A166))</f>
        <v/>
      </c>
      <c r="Y166" s="26" t="str">
        <f aca="false">IF($A166="","",COUNTIFS(発注・納品!$B$3:$B$202,$A166,発注・納品!$M$3:$M$202,""))</f>
        <v/>
      </c>
      <c r="Z166" s="27" t="str">
        <f aca="false">IF(N($X166)=0,"",IF(_xlfn.MAXIFS(発注・納品!$M$3:$M$202,発注・納品!$B$3:$B$202,$A166)=0,"",_xlfn.MAXIFS(発注・納品!$M$3:$M$202,発注・納品!$B$3:$B$202,$A166)))</f>
        <v/>
      </c>
      <c r="AA166" s="28" t="str">
        <f aca="false">IF($A166="","",IF(N($X166)=0,"機器なし",IF(N($Y166)&gt;0,"入荷待ち",IF(COUNTIFS(発注・納品!$B$3:$B$202,$A166,発注・納品!$N$3:$N$202,"")&gt;0,"受入待ち","受入完了"))))</f>
        <v/>
      </c>
      <c r="AB166" s="26" t="str">
        <f aca="false">IF($A166="","",COUNTIFS(現地作業!$A$3:$A$202,$A166,現地作業!$L$3:$L$202,"予定"))</f>
        <v/>
      </c>
      <c r="AC166" s="26" t="str">
        <f aca="false">IF($A166="","",COUNTIFS(現地作業!$A$3:$A$202,$A166,現地作業!$L$3:$L$202,"完了"))</f>
        <v/>
      </c>
      <c r="AD166" s="27" t="str">
        <f aca="true">IF(N($AB166)=0,"",IF(_xlfn.MINIFS(現地作業!$C$3:$C$202,現地作業!$A$3:$A$202,$A166,現地作業!$L$3:$L$202,"予定",現地作業!$C$3:$C$202,"&gt;="&amp;TODAY())=0,"",_xlfn.MINIFS(現地作業!$C$3:$C$202,現地作業!$A$3:$A$202,$A166,現地作業!$L$3:$L$202,"予定",現地作業!$C$3:$C$202,"&gt;="&amp;TODAY())))</f>
        <v/>
      </c>
      <c r="AE166" s="39"/>
      <c r="AF166" s="30" t="str">
        <f aca="false">IF($A166="","",SUM(月次工数計画!$G$171:$AD$171))</f>
        <v/>
      </c>
      <c r="AG166" s="30" t="str">
        <f aca="false">IF($A166="","",SUMIFS(工数明細!$G$3:$G$302,工数明細!$B$3:$B$302,$A166))</f>
        <v/>
      </c>
      <c r="AH166" s="31" t="str">
        <f aca="false">IF($AE166="","",$AE166-N($AG166))</f>
        <v/>
      </c>
      <c r="AI166" s="25" t="str">
        <f aca="false">IF(N($AE166)=0,"",$AG166/$AE166)</f>
        <v/>
      </c>
      <c r="AJ166" s="20" t="str">
        <f aca="false">IF(N($AE166)=0,"",IF($AG166&gt;$AE166,"超過",IF($AG166&gt;=$AE166*0.9,"注意","適正")))</f>
        <v/>
      </c>
      <c r="AK166" s="34"/>
    </row>
    <row r="167" customFormat="false" ht="18" hidden="false" customHeight="true" outlineLevel="0" collapsed="false">
      <c r="A167" s="33"/>
      <c r="B167" s="34"/>
      <c r="C167" s="34"/>
      <c r="D167" s="34"/>
      <c r="E167" s="34"/>
      <c r="F167" s="35"/>
      <c r="G167" s="34"/>
      <c r="H167" s="34"/>
      <c r="I167" s="36"/>
      <c r="J167" s="37"/>
      <c r="K167" s="37"/>
      <c r="L167" s="37"/>
      <c r="M167" s="37"/>
      <c r="N167" s="19" t="str">
        <f aca="false">IF($J167="","",YEAR($J167)-IF(MONTH($J167)&lt;マスタ!$B$4,1,0))</f>
        <v/>
      </c>
      <c r="O167" s="20" t="str">
        <f aca="false">IF($J167="","","Q"&amp;(INT(MOD(MONTH($J167)-マスタ!$B$4+12,12)/3)+1))</f>
        <v/>
      </c>
      <c r="P167" s="21" t="str">
        <f aca="true">IF($L167="","",IF($M167&lt;&gt;"",$M167-$L167,IF(TODAY()&gt;$L167,TODAY()-$L167,0)))</f>
        <v/>
      </c>
      <c r="Q167" s="38"/>
      <c r="R167" s="23" t="str">
        <f aca="false">IF($Q167="","",$Q167*N($F167))</f>
        <v/>
      </c>
      <c r="S167" s="38"/>
      <c r="T167" s="24" t="str">
        <f aca="false">IF($A167="","",SUMIFS(発注・納品!$H$3:$H$202,発注・納品!$B$3:$B$202,$A167))</f>
        <v/>
      </c>
      <c r="U167" s="23" t="str">
        <f aca="false">IF($Q167="","",N($S167)+N($T167))</f>
        <v/>
      </c>
      <c r="V167" s="23" t="str">
        <f aca="false">IF($Q167="","",$Q167-N($U167))</f>
        <v/>
      </c>
      <c r="W167" s="25" t="str">
        <f aca="false">IF(N($Q167)=0,"",$V167/$Q167)</f>
        <v/>
      </c>
      <c r="X167" s="26" t="str">
        <f aca="false">IF($A167="","",COUNTIFS(発注・納品!$B$3:$B$202,$A167))</f>
        <v/>
      </c>
      <c r="Y167" s="26" t="str">
        <f aca="false">IF($A167="","",COUNTIFS(発注・納品!$B$3:$B$202,$A167,発注・納品!$M$3:$M$202,""))</f>
        <v/>
      </c>
      <c r="Z167" s="27" t="str">
        <f aca="false">IF(N($X167)=0,"",IF(_xlfn.MAXIFS(発注・納品!$M$3:$M$202,発注・納品!$B$3:$B$202,$A167)=0,"",_xlfn.MAXIFS(発注・納品!$M$3:$M$202,発注・納品!$B$3:$B$202,$A167)))</f>
        <v/>
      </c>
      <c r="AA167" s="28" t="str">
        <f aca="false">IF($A167="","",IF(N($X167)=0,"機器なし",IF(N($Y167)&gt;0,"入荷待ち",IF(COUNTIFS(発注・納品!$B$3:$B$202,$A167,発注・納品!$N$3:$N$202,"")&gt;0,"受入待ち","受入完了"))))</f>
        <v/>
      </c>
      <c r="AB167" s="26" t="str">
        <f aca="false">IF($A167="","",COUNTIFS(現地作業!$A$3:$A$202,$A167,現地作業!$L$3:$L$202,"予定"))</f>
        <v/>
      </c>
      <c r="AC167" s="26" t="str">
        <f aca="false">IF($A167="","",COUNTIFS(現地作業!$A$3:$A$202,$A167,現地作業!$L$3:$L$202,"完了"))</f>
        <v/>
      </c>
      <c r="AD167" s="27" t="str">
        <f aca="true">IF(N($AB167)=0,"",IF(_xlfn.MINIFS(現地作業!$C$3:$C$202,現地作業!$A$3:$A$202,$A167,現地作業!$L$3:$L$202,"予定",現地作業!$C$3:$C$202,"&gt;="&amp;TODAY())=0,"",_xlfn.MINIFS(現地作業!$C$3:$C$202,現地作業!$A$3:$A$202,$A167,現地作業!$L$3:$L$202,"予定",現地作業!$C$3:$C$202,"&gt;="&amp;TODAY())))</f>
        <v/>
      </c>
      <c r="AE167" s="39"/>
      <c r="AF167" s="30" t="str">
        <f aca="false">IF($A167="","",SUM(月次工数計画!$G$172:$AD$172))</f>
        <v/>
      </c>
      <c r="AG167" s="30" t="str">
        <f aca="false">IF($A167="","",SUMIFS(工数明細!$G$3:$G$302,工数明細!$B$3:$B$302,$A167))</f>
        <v/>
      </c>
      <c r="AH167" s="31" t="str">
        <f aca="false">IF($AE167="","",$AE167-N($AG167))</f>
        <v/>
      </c>
      <c r="AI167" s="25" t="str">
        <f aca="false">IF(N($AE167)=0,"",$AG167/$AE167)</f>
        <v/>
      </c>
      <c r="AJ167" s="20" t="str">
        <f aca="false">IF(N($AE167)=0,"",IF($AG167&gt;$AE167,"超過",IF($AG167&gt;=$AE167*0.9,"注意","適正")))</f>
        <v/>
      </c>
      <c r="AK167" s="34"/>
    </row>
    <row r="168" customFormat="false" ht="18" hidden="false" customHeight="true" outlineLevel="0" collapsed="false">
      <c r="A168" s="33"/>
      <c r="B168" s="34"/>
      <c r="C168" s="34"/>
      <c r="D168" s="34"/>
      <c r="E168" s="34"/>
      <c r="F168" s="35"/>
      <c r="G168" s="34"/>
      <c r="H168" s="34"/>
      <c r="I168" s="36"/>
      <c r="J168" s="37"/>
      <c r="K168" s="37"/>
      <c r="L168" s="37"/>
      <c r="M168" s="37"/>
      <c r="N168" s="19" t="str">
        <f aca="false">IF($J168="","",YEAR($J168)-IF(MONTH($J168)&lt;マスタ!$B$4,1,0))</f>
        <v/>
      </c>
      <c r="O168" s="20" t="str">
        <f aca="false">IF($J168="","","Q"&amp;(INT(MOD(MONTH($J168)-マスタ!$B$4+12,12)/3)+1))</f>
        <v/>
      </c>
      <c r="P168" s="21" t="str">
        <f aca="true">IF($L168="","",IF($M168&lt;&gt;"",$M168-$L168,IF(TODAY()&gt;$L168,TODAY()-$L168,0)))</f>
        <v/>
      </c>
      <c r="Q168" s="38"/>
      <c r="R168" s="23" t="str">
        <f aca="false">IF($Q168="","",$Q168*N($F168))</f>
        <v/>
      </c>
      <c r="S168" s="38"/>
      <c r="T168" s="24" t="str">
        <f aca="false">IF($A168="","",SUMIFS(発注・納品!$H$3:$H$202,発注・納品!$B$3:$B$202,$A168))</f>
        <v/>
      </c>
      <c r="U168" s="23" t="str">
        <f aca="false">IF($Q168="","",N($S168)+N($T168))</f>
        <v/>
      </c>
      <c r="V168" s="23" t="str">
        <f aca="false">IF($Q168="","",$Q168-N($U168))</f>
        <v/>
      </c>
      <c r="W168" s="25" t="str">
        <f aca="false">IF(N($Q168)=0,"",$V168/$Q168)</f>
        <v/>
      </c>
      <c r="X168" s="26" t="str">
        <f aca="false">IF($A168="","",COUNTIFS(発注・納品!$B$3:$B$202,$A168))</f>
        <v/>
      </c>
      <c r="Y168" s="26" t="str">
        <f aca="false">IF($A168="","",COUNTIFS(発注・納品!$B$3:$B$202,$A168,発注・納品!$M$3:$M$202,""))</f>
        <v/>
      </c>
      <c r="Z168" s="27" t="str">
        <f aca="false">IF(N($X168)=0,"",IF(_xlfn.MAXIFS(発注・納品!$M$3:$M$202,発注・納品!$B$3:$B$202,$A168)=0,"",_xlfn.MAXIFS(発注・納品!$M$3:$M$202,発注・納品!$B$3:$B$202,$A168)))</f>
        <v/>
      </c>
      <c r="AA168" s="28" t="str">
        <f aca="false">IF($A168="","",IF(N($X168)=0,"機器なし",IF(N($Y168)&gt;0,"入荷待ち",IF(COUNTIFS(発注・納品!$B$3:$B$202,$A168,発注・納品!$N$3:$N$202,"")&gt;0,"受入待ち","受入完了"))))</f>
        <v/>
      </c>
      <c r="AB168" s="26" t="str">
        <f aca="false">IF($A168="","",COUNTIFS(現地作業!$A$3:$A$202,$A168,現地作業!$L$3:$L$202,"予定"))</f>
        <v/>
      </c>
      <c r="AC168" s="26" t="str">
        <f aca="false">IF($A168="","",COUNTIFS(現地作業!$A$3:$A$202,$A168,現地作業!$L$3:$L$202,"完了"))</f>
        <v/>
      </c>
      <c r="AD168" s="27" t="str">
        <f aca="true">IF(N($AB168)=0,"",IF(_xlfn.MINIFS(現地作業!$C$3:$C$202,現地作業!$A$3:$A$202,$A168,現地作業!$L$3:$L$202,"予定",現地作業!$C$3:$C$202,"&gt;="&amp;TODAY())=0,"",_xlfn.MINIFS(現地作業!$C$3:$C$202,現地作業!$A$3:$A$202,$A168,現地作業!$L$3:$L$202,"予定",現地作業!$C$3:$C$202,"&gt;="&amp;TODAY())))</f>
        <v/>
      </c>
      <c r="AE168" s="39"/>
      <c r="AF168" s="30" t="str">
        <f aca="false">IF($A168="","",SUM(月次工数計画!$G$173:$AD$173))</f>
        <v/>
      </c>
      <c r="AG168" s="30" t="str">
        <f aca="false">IF($A168="","",SUMIFS(工数明細!$G$3:$G$302,工数明細!$B$3:$B$302,$A168))</f>
        <v/>
      </c>
      <c r="AH168" s="31" t="str">
        <f aca="false">IF($AE168="","",$AE168-N($AG168))</f>
        <v/>
      </c>
      <c r="AI168" s="25" t="str">
        <f aca="false">IF(N($AE168)=0,"",$AG168/$AE168)</f>
        <v/>
      </c>
      <c r="AJ168" s="20" t="str">
        <f aca="false">IF(N($AE168)=0,"",IF($AG168&gt;$AE168,"超過",IF($AG168&gt;=$AE168*0.9,"注意","適正")))</f>
        <v/>
      </c>
      <c r="AK168" s="34"/>
    </row>
    <row r="169" customFormat="false" ht="18" hidden="false" customHeight="true" outlineLevel="0" collapsed="false">
      <c r="A169" s="33"/>
      <c r="B169" s="34"/>
      <c r="C169" s="34"/>
      <c r="D169" s="34"/>
      <c r="E169" s="34"/>
      <c r="F169" s="35"/>
      <c r="G169" s="34"/>
      <c r="H169" s="34"/>
      <c r="I169" s="36"/>
      <c r="J169" s="37"/>
      <c r="K169" s="37"/>
      <c r="L169" s="37"/>
      <c r="M169" s="37"/>
      <c r="N169" s="19" t="str">
        <f aca="false">IF($J169="","",YEAR($J169)-IF(MONTH($J169)&lt;マスタ!$B$4,1,0))</f>
        <v/>
      </c>
      <c r="O169" s="20" t="str">
        <f aca="false">IF($J169="","","Q"&amp;(INT(MOD(MONTH($J169)-マスタ!$B$4+12,12)/3)+1))</f>
        <v/>
      </c>
      <c r="P169" s="21" t="str">
        <f aca="true">IF($L169="","",IF($M169&lt;&gt;"",$M169-$L169,IF(TODAY()&gt;$L169,TODAY()-$L169,0)))</f>
        <v/>
      </c>
      <c r="Q169" s="38"/>
      <c r="R169" s="23" t="str">
        <f aca="false">IF($Q169="","",$Q169*N($F169))</f>
        <v/>
      </c>
      <c r="S169" s="38"/>
      <c r="T169" s="24" t="str">
        <f aca="false">IF($A169="","",SUMIFS(発注・納品!$H$3:$H$202,発注・納品!$B$3:$B$202,$A169))</f>
        <v/>
      </c>
      <c r="U169" s="23" t="str">
        <f aca="false">IF($Q169="","",N($S169)+N($T169))</f>
        <v/>
      </c>
      <c r="V169" s="23" t="str">
        <f aca="false">IF($Q169="","",$Q169-N($U169))</f>
        <v/>
      </c>
      <c r="W169" s="25" t="str">
        <f aca="false">IF(N($Q169)=0,"",$V169/$Q169)</f>
        <v/>
      </c>
      <c r="X169" s="26" t="str">
        <f aca="false">IF($A169="","",COUNTIFS(発注・納品!$B$3:$B$202,$A169))</f>
        <v/>
      </c>
      <c r="Y169" s="26" t="str">
        <f aca="false">IF($A169="","",COUNTIFS(発注・納品!$B$3:$B$202,$A169,発注・納品!$M$3:$M$202,""))</f>
        <v/>
      </c>
      <c r="Z169" s="27" t="str">
        <f aca="false">IF(N($X169)=0,"",IF(_xlfn.MAXIFS(発注・納品!$M$3:$M$202,発注・納品!$B$3:$B$202,$A169)=0,"",_xlfn.MAXIFS(発注・納品!$M$3:$M$202,発注・納品!$B$3:$B$202,$A169)))</f>
        <v/>
      </c>
      <c r="AA169" s="28" t="str">
        <f aca="false">IF($A169="","",IF(N($X169)=0,"機器なし",IF(N($Y169)&gt;0,"入荷待ち",IF(COUNTIFS(発注・納品!$B$3:$B$202,$A169,発注・納品!$N$3:$N$202,"")&gt;0,"受入待ち","受入完了"))))</f>
        <v/>
      </c>
      <c r="AB169" s="26" t="str">
        <f aca="false">IF($A169="","",COUNTIFS(現地作業!$A$3:$A$202,$A169,現地作業!$L$3:$L$202,"予定"))</f>
        <v/>
      </c>
      <c r="AC169" s="26" t="str">
        <f aca="false">IF($A169="","",COUNTIFS(現地作業!$A$3:$A$202,$A169,現地作業!$L$3:$L$202,"完了"))</f>
        <v/>
      </c>
      <c r="AD169" s="27" t="str">
        <f aca="true">IF(N($AB169)=0,"",IF(_xlfn.MINIFS(現地作業!$C$3:$C$202,現地作業!$A$3:$A$202,$A169,現地作業!$L$3:$L$202,"予定",現地作業!$C$3:$C$202,"&gt;="&amp;TODAY())=0,"",_xlfn.MINIFS(現地作業!$C$3:$C$202,現地作業!$A$3:$A$202,$A169,現地作業!$L$3:$L$202,"予定",現地作業!$C$3:$C$202,"&gt;="&amp;TODAY())))</f>
        <v/>
      </c>
      <c r="AE169" s="39"/>
      <c r="AF169" s="30" t="str">
        <f aca="false">IF($A169="","",SUM(月次工数計画!$G$174:$AD$174))</f>
        <v/>
      </c>
      <c r="AG169" s="30" t="str">
        <f aca="false">IF($A169="","",SUMIFS(工数明細!$G$3:$G$302,工数明細!$B$3:$B$302,$A169))</f>
        <v/>
      </c>
      <c r="AH169" s="31" t="str">
        <f aca="false">IF($AE169="","",$AE169-N($AG169))</f>
        <v/>
      </c>
      <c r="AI169" s="25" t="str">
        <f aca="false">IF(N($AE169)=0,"",$AG169/$AE169)</f>
        <v/>
      </c>
      <c r="AJ169" s="20" t="str">
        <f aca="false">IF(N($AE169)=0,"",IF($AG169&gt;$AE169,"超過",IF($AG169&gt;=$AE169*0.9,"注意","適正")))</f>
        <v/>
      </c>
      <c r="AK169" s="34"/>
    </row>
    <row r="170" customFormat="false" ht="18" hidden="false" customHeight="true" outlineLevel="0" collapsed="false">
      <c r="A170" s="33"/>
      <c r="B170" s="34"/>
      <c r="C170" s="34"/>
      <c r="D170" s="34"/>
      <c r="E170" s="34"/>
      <c r="F170" s="35"/>
      <c r="G170" s="34"/>
      <c r="H170" s="34"/>
      <c r="I170" s="36"/>
      <c r="J170" s="37"/>
      <c r="K170" s="37"/>
      <c r="L170" s="37"/>
      <c r="M170" s="37"/>
      <c r="N170" s="19" t="str">
        <f aca="false">IF($J170="","",YEAR($J170)-IF(MONTH($J170)&lt;マスタ!$B$4,1,0))</f>
        <v/>
      </c>
      <c r="O170" s="20" t="str">
        <f aca="false">IF($J170="","","Q"&amp;(INT(MOD(MONTH($J170)-マスタ!$B$4+12,12)/3)+1))</f>
        <v/>
      </c>
      <c r="P170" s="21" t="str">
        <f aca="true">IF($L170="","",IF($M170&lt;&gt;"",$M170-$L170,IF(TODAY()&gt;$L170,TODAY()-$L170,0)))</f>
        <v/>
      </c>
      <c r="Q170" s="38"/>
      <c r="R170" s="23" t="str">
        <f aca="false">IF($Q170="","",$Q170*N($F170))</f>
        <v/>
      </c>
      <c r="S170" s="38"/>
      <c r="T170" s="24" t="str">
        <f aca="false">IF($A170="","",SUMIFS(発注・納品!$H$3:$H$202,発注・納品!$B$3:$B$202,$A170))</f>
        <v/>
      </c>
      <c r="U170" s="23" t="str">
        <f aca="false">IF($Q170="","",N($S170)+N($T170))</f>
        <v/>
      </c>
      <c r="V170" s="23" t="str">
        <f aca="false">IF($Q170="","",$Q170-N($U170))</f>
        <v/>
      </c>
      <c r="W170" s="25" t="str">
        <f aca="false">IF(N($Q170)=0,"",$V170/$Q170)</f>
        <v/>
      </c>
      <c r="X170" s="26" t="str">
        <f aca="false">IF($A170="","",COUNTIFS(発注・納品!$B$3:$B$202,$A170))</f>
        <v/>
      </c>
      <c r="Y170" s="26" t="str">
        <f aca="false">IF($A170="","",COUNTIFS(発注・納品!$B$3:$B$202,$A170,発注・納品!$M$3:$M$202,""))</f>
        <v/>
      </c>
      <c r="Z170" s="27" t="str">
        <f aca="false">IF(N($X170)=0,"",IF(_xlfn.MAXIFS(発注・納品!$M$3:$M$202,発注・納品!$B$3:$B$202,$A170)=0,"",_xlfn.MAXIFS(発注・納品!$M$3:$M$202,発注・納品!$B$3:$B$202,$A170)))</f>
        <v/>
      </c>
      <c r="AA170" s="28" t="str">
        <f aca="false">IF($A170="","",IF(N($X170)=0,"機器なし",IF(N($Y170)&gt;0,"入荷待ち",IF(COUNTIFS(発注・納品!$B$3:$B$202,$A170,発注・納品!$N$3:$N$202,"")&gt;0,"受入待ち","受入完了"))))</f>
        <v/>
      </c>
      <c r="AB170" s="26" t="str">
        <f aca="false">IF($A170="","",COUNTIFS(現地作業!$A$3:$A$202,$A170,現地作業!$L$3:$L$202,"予定"))</f>
        <v/>
      </c>
      <c r="AC170" s="26" t="str">
        <f aca="false">IF($A170="","",COUNTIFS(現地作業!$A$3:$A$202,$A170,現地作業!$L$3:$L$202,"完了"))</f>
        <v/>
      </c>
      <c r="AD170" s="27" t="str">
        <f aca="true">IF(N($AB170)=0,"",IF(_xlfn.MINIFS(現地作業!$C$3:$C$202,現地作業!$A$3:$A$202,$A170,現地作業!$L$3:$L$202,"予定",現地作業!$C$3:$C$202,"&gt;="&amp;TODAY())=0,"",_xlfn.MINIFS(現地作業!$C$3:$C$202,現地作業!$A$3:$A$202,$A170,現地作業!$L$3:$L$202,"予定",現地作業!$C$3:$C$202,"&gt;="&amp;TODAY())))</f>
        <v/>
      </c>
      <c r="AE170" s="39"/>
      <c r="AF170" s="30" t="str">
        <f aca="false">IF($A170="","",SUM(月次工数計画!$G$175:$AD$175))</f>
        <v/>
      </c>
      <c r="AG170" s="30" t="str">
        <f aca="false">IF($A170="","",SUMIFS(工数明細!$G$3:$G$302,工数明細!$B$3:$B$302,$A170))</f>
        <v/>
      </c>
      <c r="AH170" s="31" t="str">
        <f aca="false">IF($AE170="","",$AE170-N($AG170))</f>
        <v/>
      </c>
      <c r="AI170" s="25" t="str">
        <f aca="false">IF(N($AE170)=0,"",$AG170/$AE170)</f>
        <v/>
      </c>
      <c r="AJ170" s="20" t="str">
        <f aca="false">IF(N($AE170)=0,"",IF($AG170&gt;$AE170,"超過",IF($AG170&gt;=$AE170*0.9,"注意","適正")))</f>
        <v/>
      </c>
      <c r="AK170" s="34"/>
    </row>
    <row r="171" customFormat="false" ht="18" hidden="false" customHeight="true" outlineLevel="0" collapsed="false">
      <c r="A171" s="33"/>
      <c r="B171" s="34"/>
      <c r="C171" s="34"/>
      <c r="D171" s="34"/>
      <c r="E171" s="34"/>
      <c r="F171" s="35"/>
      <c r="G171" s="34"/>
      <c r="H171" s="34"/>
      <c r="I171" s="36"/>
      <c r="J171" s="37"/>
      <c r="K171" s="37"/>
      <c r="L171" s="37"/>
      <c r="M171" s="37"/>
      <c r="N171" s="19" t="str">
        <f aca="false">IF($J171="","",YEAR($J171)-IF(MONTH($J171)&lt;マスタ!$B$4,1,0))</f>
        <v/>
      </c>
      <c r="O171" s="20" t="str">
        <f aca="false">IF($J171="","","Q"&amp;(INT(MOD(MONTH($J171)-マスタ!$B$4+12,12)/3)+1))</f>
        <v/>
      </c>
      <c r="P171" s="21" t="str">
        <f aca="true">IF($L171="","",IF($M171&lt;&gt;"",$M171-$L171,IF(TODAY()&gt;$L171,TODAY()-$L171,0)))</f>
        <v/>
      </c>
      <c r="Q171" s="38"/>
      <c r="R171" s="23" t="str">
        <f aca="false">IF($Q171="","",$Q171*N($F171))</f>
        <v/>
      </c>
      <c r="S171" s="38"/>
      <c r="T171" s="24" t="str">
        <f aca="false">IF($A171="","",SUMIFS(発注・納品!$H$3:$H$202,発注・納品!$B$3:$B$202,$A171))</f>
        <v/>
      </c>
      <c r="U171" s="23" t="str">
        <f aca="false">IF($Q171="","",N($S171)+N($T171))</f>
        <v/>
      </c>
      <c r="V171" s="23" t="str">
        <f aca="false">IF($Q171="","",$Q171-N($U171))</f>
        <v/>
      </c>
      <c r="W171" s="25" t="str">
        <f aca="false">IF(N($Q171)=0,"",$V171/$Q171)</f>
        <v/>
      </c>
      <c r="X171" s="26" t="str">
        <f aca="false">IF($A171="","",COUNTIFS(発注・納品!$B$3:$B$202,$A171))</f>
        <v/>
      </c>
      <c r="Y171" s="26" t="str">
        <f aca="false">IF($A171="","",COUNTIFS(発注・納品!$B$3:$B$202,$A171,発注・納品!$M$3:$M$202,""))</f>
        <v/>
      </c>
      <c r="Z171" s="27" t="str">
        <f aca="false">IF(N($X171)=0,"",IF(_xlfn.MAXIFS(発注・納品!$M$3:$M$202,発注・納品!$B$3:$B$202,$A171)=0,"",_xlfn.MAXIFS(発注・納品!$M$3:$M$202,発注・納品!$B$3:$B$202,$A171)))</f>
        <v/>
      </c>
      <c r="AA171" s="28" t="str">
        <f aca="false">IF($A171="","",IF(N($X171)=0,"機器なし",IF(N($Y171)&gt;0,"入荷待ち",IF(COUNTIFS(発注・納品!$B$3:$B$202,$A171,発注・納品!$N$3:$N$202,"")&gt;0,"受入待ち","受入完了"))))</f>
        <v/>
      </c>
      <c r="AB171" s="26" t="str">
        <f aca="false">IF($A171="","",COUNTIFS(現地作業!$A$3:$A$202,$A171,現地作業!$L$3:$L$202,"予定"))</f>
        <v/>
      </c>
      <c r="AC171" s="26" t="str">
        <f aca="false">IF($A171="","",COUNTIFS(現地作業!$A$3:$A$202,$A171,現地作業!$L$3:$L$202,"完了"))</f>
        <v/>
      </c>
      <c r="AD171" s="27" t="str">
        <f aca="true">IF(N($AB171)=0,"",IF(_xlfn.MINIFS(現地作業!$C$3:$C$202,現地作業!$A$3:$A$202,$A171,現地作業!$L$3:$L$202,"予定",現地作業!$C$3:$C$202,"&gt;="&amp;TODAY())=0,"",_xlfn.MINIFS(現地作業!$C$3:$C$202,現地作業!$A$3:$A$202,$A171,現地作業!$L$3:$L$202,"予定",現地作業!$C$3:$C$202,"&gt;="&amp;TODAY())))</f>
        <v/>
      </c>
      <c r="AE171" s="39"/>
      <c r="AF171" s="30" t="str">
        <f aca="false">IF($A171="","",SUM(月次工数計画!$G$176:$AD$176))</f>
        <v/>
      </c>
      <c r="AG171" s="30" t="str">
        <f aca="false">IF($A171="","",SUMIFS(工数明細!$G$3:$G$302,工数明細!$B$3:$B$302,$A171))</f>
        <v/>
      </c>
      <c r="AH171" s="31" t="str">
        <f aca="false">IF($AE171="","",$AE171-N($AG171))</f>
        <v/>
      </c>
      <c r="AI171" s="25" t="str">
        <f aca="false">IF(N($AE171)=0,"",$AG171/$AE171)</f>
        <v/>
      </c>
      <c r="AJ171" s="20" t="str">
        <f aca="false">IF(N($AE171)=0,"",IF($AG171&gt;$AE171,"超過",IF($AG171&gt;=$AE171*0.9,"注意","適正")))</f>
        <v/>
      </c>
      <c r="AK171" s="34"/>
    </row>
    <row r="172" customFormat="false" ht="18" hidden="false" customHeight="true" outlineLevel="0" collapsed="false">
      <c r="A172" s="33"/>
      <c r="B172" s="34"/>
      <c r="C172" s="34"/>
      <c r="D172" s="34"/>
      <c r="E172" s="34"/>
      <c r="F172" s="35"/>
      <c r="G172" s="34"/>
      <c r="H172" s="34"/>
      <c r="I172" s="36"/>
      <c r="J172" s="37"/>
      <c r="K172" s="37"/>
      <c r="L172" s="37"/>
      <c r="M172" s="37"/>
      <c r="N172" s="19" t="str">
        <f aca="false">IF($J172="","",YEAR($J172)-IF(MONTH($J172)&lt;マスタ!$B$4,1,0))</f>
        <v/>
      </c>
      <c r="O172" s="20" t="str">
        <f aca="false">IF($J172="","","Q"&amp;(INT(MOD(MONTH($J172)-マスタ!$B$4+12,12)/3)+1))</f>
        <v/>
      </c>
      <c r="P172" s="21" t="str">
        <f aca="true">IF($L172="","",IF($M172&lt;&gt;"",$M172-$L172,IF(TODAY()&gt;$L172,TODAY()-$L172,0)))</f>
        <v/>
      </c>
      <c r="Q172" s="38"/>
      <c r="R172" s="23" t="str">
        <f aca="false">IF($Q172="","",$Q172*N($F172))</f>
        <v/>
      </c>
      <c r="S172" s="38"/>
      <c r="T172" s="24" t="str">
        <f aca="false">IF($A172="","",SUMIFS(発注・納品!$H$3:$H$202,発注・納品!$B$3:$B$202,$A172))</f>
        <v/>
      </c>
      <c r="U172" s="23" t="str">
        <f aca="false">IF($Q172="","",N($S172)+N($T172))</f>
        <v/>
      </c>
      <c r="V172" s="23" t="str">
        <f aca="false">IF($Q172="","",$Q172-N($U172))</f>
        <v/>
      </c>
      <c r="W172" s="25" t="str">
        <f aca="false">IF(N($Q172)=0,"",$V172/$Q172)</f>
        <v/>
      </c>
      <c r="X172" s="26" t="str">
        <f aca="false">IF($A172="","",COUNTIFS(発注・納品!$B$3:$B$202,$A172))</f>
        <v/>
      </c>
      <c r="Y172" s="26" t="str">
        <f aca="false">IF($A172="","",COUNTIFS(発注・納品!$B$3:$B$202,$A172,発注・納品!$M$3:$M$202,""))</f>
        <v/>
      </c>
      <c r="Z172" s="27" t="str">
        <f aca="false">IF(N($X172)=0,"",IF(_xlfn.MAXIFS(発注・納品!$M$3:$M$202,発注・納品!$B$3:$B$202,$A172)=0,"",_xlfn.MAXIFS(発注・納品!$M$3:$M$202,発注・納品!$B$3:$B$202,$A172)))</f>
        <v/>
      </c>
      <c r="AA172" s="28" t="str">
        <f aca="false">IF($A172="","",IF(N($X172)=0,"機器なし",IF(N($Y172)&gt;0,"入荷待ち",IF(COUNTIFS(発注・納品!$B$3:$B$202,$A172,発注・納品!$N$3:$N$202,"")&gt;0,"受入待ち","受入完了"))))</f>
        <v/>
      </c>
      <c r="AB172" s="26" t="str">
        <f aca="false">IF($A172="","",COUNTIFS(現地作業!$A$3:$A$202,$A172,現地作業!$L$3:$L$202,"予定"))</f>
        <v/>
      </c>
      <c r="AC172" s="26" t="str">
        <f aca="false">IF($A172="","",COUNTIFS(現地作業!$A$3:$A$202,$A172,現地作業!$L$3:$L$202,"完了"))</f>
        <v/>
      </c>
      <c r="AD172" s="27" t="str">
        <f aca="true">IF(N($AB172)=0,"",IF(_xlfn.MINIFS(現地作業!$C$3:$C$202,現地作業!$A$3:$A$202,$A172,現地作業!$L$3:$L$202,"予定",現地作業!$C$3:$C$202,"&gt;="&amp;TODAY())=0,"",_xlfn.MINIFS(現地作業!$C$3:$C$202,現地作業!$A$3:$A$202,$A172,現地作業!$L$3:$L$202,"予定",現地作業!$C$3:$C$202,"&gt;="&amp;TODAY())))</f>
        <v/>
      </c>
      <c r="AE172" s="39"/>
      <c r="AF172" s="30" t="str">
        <f aca="false">IF($A172="","",SUM(月次工数計画!$G$177:$AD$177))</f>
        <v/>
      </c>
      <c r="AG172" s="30" t="str">
        <f aca="false">IF($A172="","",SUMIFS(工数明細!$G$3:$G$302,工数明細!$B$3:$B$302,$A172))</f>
        <v/>
      </c>
      <c r="AH172" s="31" t="str">
        <f aca="false">IF($AE172="","",$AE172-N($AG172))</f>
        <v/>
      </c>
      <c r="AI172" s="25" t="str">
        <f aca="false">IF(N($AE172)=0,"",$AG172/$AE172)</f>
        <v/>
      </c>
      <c r="AJ172" s="20" t="str">
        <f aca="false">IF(N($AE172)=0,"",IF($AG172&gt;$AE172,"超過",IF($AG172&gt;=$AE172*0.9,"注意","適正")))</f>
        <v/>
      </c>
      <c r="AK172" s="34"/>
    </row>
    <row r="173" customFormat="false" ht="18" hidden="false" customHeight="true" outlineLevel="0" collapsed="false">
      <c r="A173" s="33"/>
      <c r="B173" s="34"/>
      <c r="C173" s="34"/>
      <c r="D173" s="34"/>
      <c r="E173" s="34"/>
      <c r="F173" s="35"/>
      <c r="G173" s="34"/>
      <c r="H173" s="34"/>
      <c r="I173" s="36"/>
      <c r="J173" s="37"/>
      <c r="K173" s="37"/>
      <c r="L173" s="37"/>
      <c r="M173" s="37"/>
      <c r="N173" s="19" t="str">
        <f aca="false">IF($J173="","",YEAR($J173)-IF(MONTH($J173)&lt;マスタ!$B$4,1,0))</f>
        <v/>
      </c>
      <c r="O173" s="20" t="str">
        <f aca="false">IF($J173="","","Q"&amp;(INT(MOD(MONTH($J173)-マスタ!$B$4+12,12)/3)+1))</f>
        <v/>
      </c>
      <c r="P173" s="21" t="str">
        <f aca="true">IF($L173="","",IF($M173&lt;&gt;"",$M173-$L173,IF(TODAY()&gt;$L173,TODAY()-$L173,0)))</f>
        <v/>
      </c>
      <c r="Q173" s="38"/>
      <c r="R173" s="23" t="str">
        <f aca="false">IF($Q173="","",$Q173*N($F173))</f>
        <v/>
      </c>
      <c r="S173" s="38"/>
      <c r="T173" s="24" t="str">
        <f aca="false">IF($A173="","",SUMIFS(発注・納品!$H$3:$H$202,発注・納品!$B$3:$B$202,$A173))</f>
        <v/>
      </c>
      <c r="U173" s="23" t="str">
        <f aca="false">IF($Q173="","",N($S173)+N($T173))</f>
        <v/>
      </c>
      <c r="V173" s="23" t="str">
        <f aca="false">IF($Q173="","",$Q173-N($U173))</f>
        <v/>
      </c>
      <c r="W173" s="25" t="str">
        <f aca="false">IF(N($Q173)=0,"",$V173/$Q173)</f>
        <v/>
      </c>
      <c r="X173" s="26" t="str">
        <f aca="false">IF($A173="","",COUNTIFS(発注・納品!$B$3:$B$202,$A173))</f>
        <v/>
      </c>
      <c r="Y173" s="26" t="str">
        <f aca="false">IF($A173="","",COUNTIFS(発注・納品!$B$3:$B$202,$A173,発注・納品!$M$3:$M$202,""))</f>
        <v/>
      </c>
      <c r="Z173" s="27" t="str">
        <f aca="false">IF(N($X173)=0,"",IF(_xlfn.MAXIFS(発注・納品!$M$3:$M$202,発注・納品!$B$3:$B$202,$A173)=0,"",_xlfn.MAXIFS(発注・納品!$M$3:$M$202,発注・納品!$B$3:$B$202,$A173)))</f>
        <v/>
      </c>
      <c r="AA173" s="28" t="str">
        <f aca="false">IF($A173="","",IF(N($X173)=0,"機器なし",IF(N($Y173)&gt;0,"入荷待ち",IF(COUNTIFS(発注・納品!$B$3:$B$202,$A173,発注・納品!$N$3:$N$202,"")&gt;0,"受入待ち","受入完了"))))</f>
        <v/>
      </c>
      <c r="AB173" s="26" t="str">
        <f aca="false">IF($A173="","",COUNTIFS(現地作業!$A$3:$A$202,$A173,現地作業!$L$3:$L$202,"予定"))</f>
        <v/>
      </c>
      <c r="AC173" s="26" t="str">
        <f aca="false">IF($A173="","",COUNTIFS(現地作業!$A$3:$A$202,$A173,現地作業!$L$3:$L$202,"完了"))</f>
        <v/>
      </c>
      <c r="AD173" s="27" t="str">
        <f aca="true">IF(N($AB173)=0,"",IF(_xlfn.MINIFS(現地作業!$C$3:$C$202,現地作業!$A$3:$A$202,$A173,現地作業!$L$3:$L$202,"予定",現地作業!$C$3:$C$202,"&gt;="&amp;TODAY())=0,"",_xlfn.MINIFS(現地作業!$C$3:$C$202,現地作業!$A$3:$A$202,$A173,現地作業!$L$3:$L$202,"予定",現地作業!$C$3:$C$202,"&gt;="&amp;TODAY())))</f>
        <v/>
      </c>
      <c r="AE173" s="39"/>
      <c r="AF173" s="30" t="str">
        <f aca="false">IF($A173="","",SUM(月次工数計画!$G$178:$AD$178))</f>
        <v/>
      </c>
      <c r="AG173" s="30" t="str">
        <f aca="false">IF($A173="","",SUMIFS(工数明細!$G$3:$G$302,工数明細!$B$3:$B$302,$A173))</f>
        <v/>
      </c>
      <c r="AH173" s="31" t="str">
        <f aca="false">IF($AE173="","",$AE173-N($AG173))</f>
        <v/>
      </c>
      <c r="AI173" s="25" t="str">
        <f aca="false">IF(N($AE173)=0,"",$AG173/$AE173)</f>
        <v/>
      </c>
      <c r="AJ173" s="20" t="str">
        <f aca="false">IF(N($AE173)=0,"",IF($AG173&gt;$AE173,"超過",IF($AG173&gt;=$AE173*0.9,"注意","適正")))</f>
        <v/>
      </c>
      <c r="AK173" s="34"/>
    </row>
    <row r="174" customFormat="false" ht="18" hidden="false" customHeight="true" outlineLevel="0" collapsed="false">
      <c r="A174" s="33"/>
      <c r="B174" s="34"/>
      <c r="C174" s="34"/>
      <c r="D174" s="34"/>
      <c r="E174" s="34"/>
      <c r="F174" s="35"/>
      <c r="G174" s="34"/>
      <c r="H174" s="34"/>
      <c r="I174" s="36"/>
      <c r="J174" s="37"/>
      <c r="K174" s="37"/>
      <c r="L174" s="37"/>
      <c r="M174" s="37"/>
      <c r="N174" s="19" t="str">
        <f aca="false">IF($J174="","",YEAR($J174)-IF(MONTH($J174)&lt;マスタ!$B$4,1,0))</f>
        <v/>
      </c>
      <c r="O174" s="20" t="str">
        <f aca="false">IF($J174="","","Q"&amp;(INT(MOD(MONTH($J174)-マスタ!$B$4+12,12)/3)+1))</f>
        <v/>
      </c>
      <c r="P174" s="21" t="str">
        <f aca="true">IF($L174="","",IF($M174&lt;&gt;"",$M174-$L174,IF(TODAY()&gt;$L174,TODAY()-$L174,0)))</f>
        <v/>
      </c>
      <c r="Q174" s="38"/>
      <c r="R174" s="23" t="str">
        <f aca="false">IF($Q174="","",$Q174*N($F174))</f>
        <v/>
      </c>
      <c r="S174" s="38"/>
      <c r="T174" s="24" t="str">
        <f aca="false">IF($A174="","",SUMIFS(発注・納品!$H$3:$H$202,発注・納品!$B$3:$B$202,$A174))</f>
        <v/>
      </c>
      <c r="U174" s="23" t="str">
        <f aca="false">IF($Q174="","",N($S174)+N($T174))</f>
        <v/>
      </c>
      <c r="V174" s="23" t="str">
        <f aca="false">IF($Q174="","",$Q174-N($U174))</f>
        <v/>
      </c>
      <c r="W174" s="25" t="str">
        <f aca="false">IF(N($Q174)=0,"",$V174/$Q174)</f>
        <v/>
      </c>
      <c r="X174" s="26" t="str">
        <f aca="false">IF($A174="","",COUNTIFS(発注・納品!$B$3:$B$202,$A174))</f>
        <v/>
      </c>
      <c r="Y174" s="26" t="str">
        <f aca="false">IF($A174="","",COUNTIFS(発注・納品!$B$3:$B$202,$A174,発注・納品!$M$3:$M$202,""))</f>
        <v/>
      </c>
      <c r="Z174" s="27" t="str">
        <f aca="false">IF(N($X174)=0,"",IF(_xlfn.MAXIFS(発注・納品!$M$3:$M$202,発注・納品!$B$3:$B$202,$A174)=0,"",_xlfn.MAXIFS(発注・納品!$M$3:$M$202,発注・納品!$B$3:$B$202,$A174)))</f>
        <v/>
      </c>
      <c r="AA174" s="28" t="str">
        <f aca="false">IF($A174="","",IF(N($X174)=0,"機器なし",IF(N($Y174)&gt;0,"入荷待ち",IF(COUNTIFS(発注・納品!$B$3:$B$202,$A174,発注・納品!$N$3:$N$202,"")&gt;0,"受入待ち","受入完了"))))</f>
        <v/>
      </c>
      <c r="AB174" s="26" t="str">
        <f aca="false">IF($A174="","",COUNTIFS(現地作業!$A$3:$A$202,$A174,現地作業!$L$3:$L$202,"予定"))</f>
        <v/>
      </c>
      <c r="AC174" s="26" t="str">
        <f aca="false">IF($A174="","",COUNTIFS(現地作業!$A$3:$A$202,$A174,現地作業!$L$3:$L$202,"完了"))</f>
        <v/>
      </c>
      <c r="AD174" s="27" t="str">
        <f aca="true">IF(N($AB174)=0,"",IF(_xlfn.MINIFS(現地作業!$C$3:$C$202,現地作業!$A$3:$A$202,$A174,現地作業!$L$3:$L$202,"予定",現地作業!$C$3:$C$202,"&gt;="&amp;TODAY())=0,"",_xlfn.MINIFS(現地作業!$C$3:$C$202,現地作業!$A$3:$A$202,$A174,現地作業!$L$3:$L$202,"予定",現地作業!$C$3:$C$202,"&gt;="&amp;TODAY())))</f>
        <v/>
      </c>
      <c r="AE174" s="39"/>
      <c r="AF174" s="30" t="str">
        <f aca="false">IF($A174="","",SUM(月次工数計画!$G$179:$AD$179))</f>
        <v/>
      </c>
      <c r="AG174" s="30" t="str">
        <f aca="false">IF($A174="","",SUMIFS(工数明細!$G$3:$G$302,工数明細!$B$3:$B$302,$A174))</f>
        <v/>
      </c>
      <c r="AH174" s="31" t="str">
        <f aca="false">IF($AE174="","",$AE174-N($AG174))</f>
        <v/>
      </c>
      <c r="AI174" s="25" t="str">
        <f aca="false">IF(N($AE174)=0,"",$AG174/$AE174)</f>
        <v/>
      </c>
      <c r="AJ174" s="20" t="str">
        <f aca="false">IF(N($AE174)=0,"",IF($AG174&gt;$AE174,"超過",IF($AG174&gt;=$AE174*0.9,"注意","適正")))</f>
        <v/>
      </c>
      <c r="AK174" s="34"/>
    </row>
    <row r="175" customFormat="false" ht="18" hidden="false" customHeight="true" outlineLevel="0" collapsed="false">
      <c r="A175" s="33"/>
      <c r="B175" s="34"/>
      <c r="C175" s="34"/>
      <c r="D175" s="34"/>
      <c r="E175" s="34"/>
      <c r="F175" s="35"/>
      <c r="G175" s="34"/>
      <c r="H175" s="34"/>
      <c r="I175" s="36"/>
      <c r="J175" s="37"/>
      <c r="K175" s="37"/>
      <c r="L175" s="37"/>
      <c r="M175" s="37"/>
      <c r="N175" s="19" t="str">
        <f aca="false">IF($J175="","",YEAR($J175)-IF(MONTH($J175)&lt;マスタ!$B$4,1,0))</f>
        <v/>
      </c>
      <c r="O175" s="20" t="str">
        <f aca="false">IF($J175="","","Q"&amp;(INT(MOD(MONTH($J175)-マスタ!$B$4+12,12)/3)+1))</f>
        <v/>
      </c>
      <c r="P175" s="21" t="str">
        <f aca="true">IF($L175="","",IF($M175&lt;&gt;"",$M175-$L175,IF(TODAY()&gt;$L175,TODAY()-$L175,0)))</f>
        <v/>
      </c>
      <c r="Q175" s="38"/>
      <c r="R175" s="23" t="str">
        <f aca="false">IF($Q175="","",$Q175*N($F175))</f>
        <v/>
      </c>
      <c r="S175" s="38"/>
      <c r="T175" s="24" t="str">
        <f aca="false">IF($A175="","",SUMIFS(発注・納品!$H$3:$H$202,発注・納品!$B$3:$B$202,$A175))</f>
        <v/>
      </c>
      <c r="U175" s="23" t="str">
        <f aca="false">IF($Q175="","",N($S175)+N($T175))</f>
        <v/>
      </c>
      <c r="V175" s="23" t="str">
        <f aca="false">IF($Q175="","",$Q175-N($U175))</f>
        <v/>
      </c>
      <c r="W175" s="25" t="str">
        <f aca="false">IF(N($Q175)=0,"",$V175/$Q175)</f>
        <v/>
      </c>
      <c r="X175" s="26" t="str">
        <f aca="false">IF($A175="","",COUNTIFS(発注・納品!$B$3:$B$202,$A175))</f>
        <v/>
      </c>
      <c r="Y175" s="26" t="str">
        <f aca="false">IF($A175="","",COUNTIFS(発注・納品!$B$3:$B$202,$A175,発注・納品!$M$3:$M$202,""))</f>
        <v/>
      </c>
      <c r="Z175" s="27" t="str">
        <f aca="false">IF(N($X175)=0,"",IF(_xlfn.MAXIFS(発注・納品!$M$3:$M$202,発注・納品!$B$3:$B$202,$A175)=0,"",_xlfn.MAXIFS(発注・納品!$M$3:$M$202,発注・納品!$B$3:$B$202,$A175)))</f>
        <v/>
      </c>
      <c r="AA175" s="28" t="str">
        <f aca="false">IF($A175="","",IF(N($X175)=0,"機器なし",IF(N($Y175)&gt;0,"入荷待ち",IF(COUNTIFS(発注・納品!$B$3:$B$202,$A175,発注・納品!$N$3:$N$202,"")&gt;0,"受入待ち","受入完了"))))</f>
        <v/>
      </c>
      <c r="AB175" s="26" t="str">
        <f aca="false">IF($A175="","",COUNTIFS(現地作業!$A$3:$A$202,$A175,現地作業!$L$3:$L$202,"予定"))</f>
        <v/>
      </c>
      <c r="AC175" s="26" t="str">
        <f aca="false">IF($A175="","",COUNTIFS(現地作業!$A$3:$A$202,$A175,現地作業!$L$3:$L$202,"完了"))</f>
        <v/>
      </c>
      <c r="AD175" s="27" t="str">
        <f aca="true">IF(N($AB175)=0,"",IF(_xlfn.MINIFS(現地作業!$C$3:$C$202,現地作業!$A$3:$A$202,$A175,現地作業!$L$3:$L$202,"予定",現地作業!$C$3:$C$202,"&gt;="&amp;TODAY())=0,"",_xlfn.MINIFS(現地作業!$C$3:$C$202,現地作業!$A$3:$A$202,$A175,現地作業!$L$3:$L$202,"予定",現地作業!$C$3:$C$202,"&gt;="&amp;TODAY())))</f>
        <v/>
      </c>
      <c r="AE175" s="39"/>
      <c r="AF175" s="30" t="str">
        <f aca="false">IF($A175="","",SUM(月次工数計画!$G$180:$AD$180))</f>
        <v/>
      </c>
      <c r="AG175" s="30" t="str">
        <f aca="false">IF($A175="","",SUMIFS(工数明細!$G$3:$G$302,工数明細!$B$3:$B$302,$A175))</f>
        <v/>
      </c>
      <c r="AH175" s="31" t="str">
        <f aca="false">IF($AE175="","",$AE175-N($AG175))</f>
        <v/>
      </c>
      <c r="AI175" s="25" t="str">
        <f aca="false">IF(N($AE175)=0,"",$AG175/$AE175)</f>
        <v/>
      </c>
      <c r="AJ175" s="20" t="str">
        <f aca="false">IF(N($AE175)=0,"",IF($AG175&gt;$AE175,"超過",IF($AG175&gt;=$AE175*0.9,"注意","適正")))</f>
        <v/>
      </c>
      <c r="AK175" s="34"/>
    </row>
    <row r="176" customFormat="false" ht="18" hidden="false" customHeight="true" outlineLevel="0" collapsed="false">
      <c r="A176" s="33"/>
      <c r="B176" s="34"/>
      <c r="C176" s="34"/>
      <c r="D176" s="34"/>
      <c r="E176" s="34"/>
      <c r="F176" s="35"/>
      <c r="G176" s="34"/>
      <c r="H176" s="34"/>
      <c r="I176" s="36"/>
      <c r="J176" s="37"/>
      <c r="K176" s="37"/>
      <c r="L176" s="37"/>
      <c r="M176" s="37"/>
      <c r="N176" s="19" t="str">
        <f aca="false">IF($J176="","",YEAR($J176)-IF(MONTH($J176)&lt;マスタ!$B$4,1,0))</f>
        <v/>
      </c>
      <c r="O176" s="20" t="str">
        <f aca="false">IF($J176="","","Q"&amp;(INT(MOD(MONTH($J176)-マスタ!$B$4+12,12)/3)+1))</f>
        <v/>
      </c>
      <c r="P176" s="21" t="str">
        <f aca="true">IF($L176="","",IF($M176&lt;&gt;"",$M176-$L176,IF(TODAY()&gt;$L176,TODAY()-$L176,0)))</f>
        <v/>
      </c>
      <c r="Q176" s="38"/>
      <c r="R176" s="23" t="str">
        <f aca="false">IF($Q176="","",$Q176*N($F176))</f>
        <v/>
      </c>
      <c r="S176" s="38"/>
      <c r="T176" s="24" t="str">
        <f aca="false">IF($A176="","",SUMIFS(発注・納品!$H$3:$H$202,発注・納品!$B$3:$B$202,$A176))</f>
        <v/>
      </c>
      <c r="U176" s="23" t="str">
        <f aca="false">IF($Q176="","",N($S176)+N($T176))</f>
        <v/>
      </c>
      <c r="V176" s="23" t="str">
        <f aca="false">IF($Q176="","",$Q176-N($U176))</f>
        <v/>
      </c>
      <c r="W176" s="25" t="str">
        <f aca="false">IF(N($Q176)=0,"",$V176/$Q176)</f>
        <v/>
      </c>
      <c r="X176" s="26" t="str">
        <f aca="false">IF($A176="","",COUNTIFS(発注・納品!$B$3:$B$202,$A176))</f>
        <v/>
      </c>
      <c r="Y176" s="26" t="str">
        <f aca="false">IF($A176="","",COUNTIFS(発注・納品!$B$3:$B$202,$A176,発注・納品!$M$3:$M$202,""))</f>
        <v/>
      </c>
      <c r="Z176" s="27" t="str">
        <f aca="false">IF(N($X176)=0,"",IF(_xlfn.MAXIFS(発注・納品!$M$3:$M$202,発注・納品!$B$3:$B$202,$A176)=0,"",_xlfn.MAXIFS(発注・納品!$M$3:$M$202,発注・納品!$B$3:$B$202,$A176)))</f>
        <v/>
      </c>
      <c r="AA176" s="28" t="str">
        <f aca="false">IF($A176="","",IF(N($X176)=0,"機器なし",IF(N($Y176)&gt;0,"入荷待ち",IF(COUNTIFS(発注・納品!$B$3:$B$202,$A176,発注・納品!$N$3:$N$202,"")&gt;0,"受入待ち","受入完了"))))</f>
        <v/>
      </c>
      <c r="AB176" s="26" t="str">
        <f aca="false">IF($A176="","",COUNTIFS(現地作業!$A$3:$A$202,$A176,現地作業!$L$3:$L$202,"予定"))</f>
        <v/>
      </c>
      <c r="AC176" s="26" t="str">
        <f aca="false">IF($A176="","",COUNTIFS(現地作業!$A$3:$A$202,$A176,現地作業!$L$3:$L$202,"完了"))</f>
        <v/>
      </c>
      <c r="AD176" s="27" t="str">
        <f aca="true">IF(N($AB176)=0,"",IF(_xlfn.MINIFS(現地作業!$C$3:$C$202,現地作業!$A$3:$A$202,$A176,現地作業!$L$3:$L$202,"予定",現地作業!$C$3:$C$202,"&gt;="&amp;TODAY())=0,"",_xlfn.MINIFS(現地作業!$C$3:$C$202,現地作業!$A$3:$A$202,$A176,現地作業!$L$3:$L$202,"予定",現地作業!$C$3:$C$202,"&gt;="&amp;TODAY())))</f>
        <v/>
      </c>
      <c r="AE176" s="39"/>
      <c r="AF176" s="30" t="str">
        <f aca="false">IF($A176="","",SUM(月次工数計画!$G$181:$AD$181))</f>
        <v/>
      </c>
      <c r="AG176" s="30" t="str">
        <f aca="false">IF($A176="","",SUMIFS(工数明細!$G$3:$G$302,工数明細!$B$3:$B$302,$A176))</f>
        <v/>
      </c>
      <c r="AH176" s="31" t="str">
        <f aca="false">IF($AE176="","",$AE176-N($AG176))</f>
        <v/>
      </c>
      <c r="AI176" s="25" t="str">
        <f aca="false">IF(N($AE176)=0,"",$AG176/$AE176)</f>
        <v/>
      </c>
      <c r="AJ176" s="20" t="str">
        <f aca="false">IF(N($AE176)=0,"",IF($AG176&gt;$AE176,"超過",IF($AG176&gt;=$AE176*0.9,"注意","適正")))</f>
        <v/>
      </c>
      <c r="AK176" s="34"/>
    </row>
    <row r="177" customFormat="false" ht="18" hidden="false" customHeight="true" outlineLevel="0" collapsed="false">
      <c r="A177" s="33"/>
      <c r="B177" s="34"/>
      <c r="C177" s="34"/>
      <c r="D177" s="34"/>
      <c r="E177" s="34"/>
      <c r="F177" s="35"/>
      <c r="G177" s="34"/>
      <c r="H177" s="34"/>
      <c r="I177" s="36"/>
      <c r="J177" s="37"/>
      <c r="K177" s="37"/>
      <c r="L177" s="37"/>
      <c r="M177" s="37"/>
      <c r="N177" s="19" t="str">
        <f aca="false">IF($J177="","",YEAR($J177)-IF(MONTH($J177)&lt;マスタ!$B$4,1,0))</f>
        <v/>
      </c>
      <c r="O177" s="20" t="str">
        <f aca="false">IF($J177="","","Q"&amp;(INT(MOD(MONTH($J177)-マスタ!$B$4+12,12)/3)+1))</f>
        <v/>
      </c>
      <c r="P177" s="21" t="str">
        <f aca="true">IF($L177="","",IF($M177&lt;&gt;"",$M177-$L177,IF(TODAY()&gt;$L177,TODAY()-$L177,0)))</f>
        <v/>
      </c>
      <c r="Q177" s="38"/>
      <c r="R177" s="23" t="str">
        <f aca="false">IF($Q177="","",$Q177*N($F177))</f>
        <v/>
      </c>
      <c r="S177" s="38"/>
      <c r="T177" s="24" t="str">
        <f aca="false">IF($A177="","",SUMIFS(発注・納品!$H$3:$H$202,発注・納品!$B$3:$B$202,$A177))</f>
        <v/>
      </c>
      <c r="U177" s="23" t="str">
        <f aca="false">IF($Q177="","",N($S177)+N($T177))</f>
        <v/>
      </c>
      <c r="V177" s="23" t="str">
        <f aca="false">IF($Q177="","",$Q177-N($U177))</f>
        <v/>
      </c>
      <c r="W177" s="25" t="str">
        <f aca="false">IF(N($Q177)=0,"",$V177/$Q177)</f>
        <v/>
      </c>
      <c r="X177" s="26" t="str">
        <f aca="false">IF($A177="","",COUNTIFS(発注・納品!$B$3:$B$202,$A177))</f>
        <v/>
      </c>
      <c r="Y177" s="26" t="str">
        <f aca="false">IF($A177="","",COUNTIFS(発注・納品!$B$3:$B$202,$A177,発注・納品!$M$3:$M$202,""))</f>
        <v/>
      </c>
      <c r="Z177" s="27" t="str">
        <f aca="false">IF(N($X177)=0,"",IF(_xlfn.MAXIFS(発注・納品!$M$3:$M$202,発注・納品!$B$3:$B$202,$A177)=0,"",_xlfn.MAXIFS(発注・納品!$M$3:$M$202,発注・納品!$B$3:$B$202,$A177)))</f>
        <v/>
      </c>
      <c r="AA177" s="28" t="str">
        <f aca="false">IF($A177="","",IF(N($X177)=0,"機器なし",IF(N($Y177)&gt;0,"入荷待ち",IF(COUNTIFS(発注・納品!$B$3:$B$202,$A177,発注・納品!$N$3:$N$202,"")&gt;0,"受入待ち","受入完了"))))</f>
        <v/>
      </c>
      <c r="AB177" s="26" t="str">
        <f aca="false">IF($A177="","",COUNTIFS(現地作業!$A$3:$A$202,$A177,現地作業!$L$3:$L$202,"予定"))</f>
        <v/>
      </c>
      <c r="AC177" s="26" t="str">
        <f aca="false">IF($A177="","",COUNTIFS(現地作業!$A$3:$A$202,$A177,現地作業!$L$3:$L$202,"完了"))</f>
        <v/>
      </c>
      <c r="AD177" s="27" t="str">
        <f aca="true">IF(N($AB177)=0,"",IF(_xlfn.MINIFS(現地作業!$C$3:$C$202,現地作業!$A$3:$A$202,$A177,現地作業!$L$3:$L$202,"予定",現地作業!$C$3:$C$202,"&gt;="&amp;TODAY())=0,"",_xlfn.MINIFS(現地作業!$C$3:$C$202,現地作業!$A$3:$A$202,$A177,現地作業!$L$3:$L$202,"予定",現地作業!$C$3:$C$202,"&gt;="&amp;TODAY())))</f>
        <v/>
      </c>
      <c r="AE177" s="39"/>
      <c r="AF177" s="30" t="str">
        <f aca="false">IF($A177="","",SUM(月次工数計画!$G$182:$AD$182))</f>
        <v/>
      </c>
      <c r="AG177" s="30" t="str">
        <f aca="false">IF($A177="","",SUMIFS(工数明細!$G$3:$G$302,工数明細!$B$3:$B$302,$A177))</f>
        <v/>
      </c>
      <c r="AH177" s="31" t="str">
        <f aca="false">IF($AE177="","",$AE177-N($AG177))</f>
        <v/>
      </c>
      <c r="AI177" s="25" t="str">
        <f aca="false">IF(N($AE177)=0,"",$AG177/$AE177)</f>
        <v/>
      </c>
      <c r="AJ177" s="20" t="str">
        <f aca="false">IF(N($AE177)=0,"",IF($AG177&gt;$AE177,"超過",IF($AG177&gt;=$AE177*0.9,"注意","適正")))</f>
        <v/>
      </c>
      <c r="AK177" s="34"/>
    </row>
    <row r="178" customFormat="false" ht="18" hidden="false" customHeight="true" outlineLevel="0" collapsed="false">
      <c r="A178" s="33"/>
      <c r="B178" s="34"/>
      <c r="C178" s="34"/>
      <c r="D178" s="34"/>
      <c r="E178" s="34"/>
      <c r="F178" s="35"/>
      <c r="G178" s="34"/>
      <c r="H178" s="34"/>
      <c r="I178" s="36"/>
      <c r="J178" s="37"/>
      <c r="K178" s="37"/>
      <c r="L178" s="37"/>
      <c r="M178" s="37"/>
      <c r="N178" s="19" t="str">
        <f aca="false">IF($J178="","",YEAR($J178)-IF(MONTH($J178)&lt;マスタ!$B$4,1,0))</f>
        <v/>
      </c>
      <c r="O178" s="20" t="str">
        <f aca="false">IF($J178="","","Q"&amp;(INT(MOD(MONTH($J178)-マスタ!$B$4+12,12)/3)+1))</f>
        <v/>
      </c>
      <c r="P178" s="21" t="str">
        <f aca="true">IF($L178="","",IF($M178&lt;&gt;"",$M178-$L178,IF(TODAY()&gt;$L178,TODAY()-$L178,0)))</f>
        <v/>
      </c>
      <c r="Q178" s="38"/>
      <c r="R178" s="23" t="str">
        <f aca="false">IF($Q178="","",$Q178*N($F178))</f>
        <v/>
      </c>
      <c r="S178" s="38"/>
      <c r="T178" s="24" t="str">
        <f aca="false">IF($A178="","",SUMIFS(発注・納品!$H$3:$H$202,発注・納品!$B$3:$B$202,$A178))</f>
        <v/>
      </c>
      <c r="U178" s="23" t="str">
        <f aca="false">IF($Q178="","",N($S178)+N($T178))</f>
        <v/>
      </c>
      <c r="V178" s="23" t="str">
        <f aca="false">IF($Q178="","",$Q178-N($U178))</f>
        <v/>
      </c>
      <c r="W178" s="25" t="str">
        <f aca="false">IF(N($Q178)=0,"",$V178/$Q178)</f>
        <v/>
      </c>
      <c r="X178" s="26" t="str">
        <f aca="false">IF($A178="","",COUNTIFS(発注・納品!$B$3:$B$202,$A178))</f>
        <v/>
      </c>
      <c r="Y178" s="26" t="str">
        <f aca="false">IF($A178="","",COUNTIFS(発注・納品!$B$3:$B$202,$A178,発注・納品!$M$3:$M$202,""))</f>
        <v/>
      </c>
      <c r="Z178" s="27" t="str">
        <f aca="false">IF(N($X178)=0,"",IF(_xlfn.MAXIFS(発注・納品!$M$3:$M$202,発注・納品!$B$3:$B$202,$A178)=0,"",_xlfn.MAXIFS(発注・納品!$M$3:$M$202,発注・納品!$B$3:$B$202,$A178)))</f>
        <v/>
      </c>
      <c r="AA178" s="28" t="str">
        <f aca="false">IF($A178="","",IF(N($X178)=0,"機器なし",IF(N($Y178)&gt;0,"入荷待ち",IF(COUNTIFS(発注・納品!$B$3:$B$202,$A178,発注・納品!$N$3:$N$202,"")&gt;0,"受入待ち","受入完了"))))</f>
        <v/>
      </c>
      <c r="AB178" s="26" t="str">
        <f aca="false">IF($A178="","",COUNTIFS(現地作業!$A$3:$A$202,$A178,現地作業!$L$3:$L$202,"予定"))</f>
        <v/>
      </c>
      <c r="AC178" s="26" t="str">
        <f aca="false">IF($A178="","",COUNTIFS(現地作業!$A$3:$A$202,$A178,現地作業!$L$3:$L$202,"完了"))</f>
        <v/>
      </c>
      <c r="AD178" s="27" t="str">
        <f aca="true">IF(N($AB178)=0,"",IF(_xlfn.MINIFS(現地作業!$C$3:$C$202,現地作業!$A$3:$A$202,$A178,現地作業!$L$3:$L$202,"予定",現地作業!$C$3:$C$202,"&gt;="&amp;TODAY())=0,"",_xlfn.MINIFS(現地作業!$C$3:$C$202,現地作業!$A$3:$A$202,$A178,現地作業!$L$3:$L$202,"予定",現地作業!$C$3:$C$202,"&gt;="&amp;TODAY())))</f>
        <v/>
      </c>
      <c r="AE178" s="39"/>
      <c r="AF178" s="30" t="str">
        <f aca="false">IF($A178="","",SUM(月次工数計画!$G$183:$AD$183))</f>
        <v/>
      </c>
      <c r="AG178" s="30" t="str">
        <f aca="false">IF($A178="","",SUMIFS(工数明細!$G$3:$G$302,工数明細!$B$3:$B$302,$A178))</f>
        <v/>
      </c>
      <c r="AH178" s="31" t="str">
        <f aca="false">IF($AE178="","",$AE178-N($AG178))</f>
        <v/>
      </c>
      <c r="AI178" s="25" t="str">
        <f aca="false">IF(N($AE178)=0,"",$AG178/$AE178)</f>
        <v/>
      </c>
      <c r="AJ178" s="20" t="str">
        <f aca="false">IF(N($AE178)=0,"",IF($AG178&gt;$AE178,"超過",IF($AG178&gt;=$AE178*0.9,"注意","適正")))</f>
        <v/>
      </c>
      <c r="AK178" s="34"/>
    </row>
    <row r="179" customFormat="false" ht="18" hidden="false" customHeight="true" outlineLevel="0" collapsed="false">
      <c r="A179" s="33"/>
      <c r="B179" s="34"/>
      <c r="C179" s="34"/>
      <c r="D179" s="34"/>
      <c r="E179" s="34"/>
      <c r="F179" s="35"/>
      <c r="G179" s="34"/>
      <c r="H179" s="34"/>
      <c r="I179" s="36"/>
      <c r="J179" s="37"/>
      <c r="K179" s="37"/>
      <c r="L179" s="37"/>
      <c r="M179" s="37"/>
      <c r="N179" s="19" t="str">
        <f aca="false">IF($J179="","",YEAR($J179)-IF(MONTH($J179)&lt;マスタ!$B$4,1,0))</f>
        <v/>
      </c>
      <c r="O179" s="20" t="str">
        <f aca="false">IF($J179="","","Q"&amp;(INT(MOD(MONTH($J179)-マスタ!$B$4+12,12)/3)+1))</f>
        <v/>
      </c>
      <c r="P179" s="21" t="str">
        <f aca="true">IF($L179="","",IF($M179&lt;&gt;"",$M179-$L179,IF(TODAY()&gt;$L179,TODAY()-$L179,0)))</f>
        <v/>
      </c>
      <c r="Q179" s="38"/>
      <c r="R179" s="23" t="str">
        <f aca="false">IF($Q179="","",$Q179*N($F179))</f>
        <v/>
      </c>
      <c r="S179" s="38"/>
      <c r="T179" s="24" t="str">
        <f aca="false">IF($A179="","",SUMIFS(発注・納品!$H$3:$H$202,発注・納品!$B$3:$B$202,$A179))</f>
        <v/>
      </c>
      <c r="U179" s="23" t="str">
        <f aca="false">IF($Q179="","",N($S179)+N($T179))</f>
        <v/>
      </c>
      <c r="V179" s="23" t="str">
        <f aca="false">IF($Q179="","",$Q179-N($U179))</f>
        <v/>
      </c>
      <c r="W179" s="25" t="str">
        <f aca="false">IF(N($Q179)=0,"",$V179/$Q179)</f>
        <v/>
      </c>
      <c r="X179" s="26" t="str">
        <f aca="false">IF($A179="","",COUNTIFS(発注・納品!$B$3:$B$202,$A179))</f>
        <v/>
      </c>
      <c r="Y179" s="26" t="str">
        <f aca="false">IF($A179="","",COUNTIFS(発注・納品!$B$3:$B$202,$A179,発注・納品!$M$3:$M$202,""))</f>
        <v/>
      </c>
      <c r="Z179" s="27" t="str">
        <f aca="false">IF(N($X179)=0,"",IF(_xlfn.MAXIFS(発注・納品!$M$3:$M$202,発注・納品!$B$3:$B$202,$A179)=0,"",_xlfn.MAXIFS(発注・納品!$M$3:$M$202,発注・納品!$B$3:$B$202,$A179)))</f>
        <v/>
      </c>
      <c r="AA179" s="28" t="str">
        <f aca="false">IF($A179="","",IF(N($X179)=0,"機器なし",IF(N($Y179)&gt;0,"入荷待ち",IF(COUNTIFS(発注・納品!$B$3:$B$202,$A179,発注・納品!$N$3:$N$202,"")&gt;0,"受入待ち","受入完了"))))</f>
        <v/>
      </c>
      <c r="AB179" s="26" t="str">
        <f aca="false">IF($A179="","",COUNTIFS(現地作業!$A$3:$A$202,$A179,現地作業!$L$3:$L$202,"予定"))</f>
        <v/>
      </c>
      <c r="AC179" s="26" t="str">
        <f aca="false">IF($A179="","",COUNTIFS(現地作業!$A$3:$A$202,$A179,現地作業!$L$3:$L$202,"完了"))</f>
        <v/>
      </c>
      <c r="AD179" s="27" t="str">
        <f aca="true">IF(N($AB179)=0,"",IF(_xlfn.MINIFS(現地作業!$C$3:$C$202,現地作業!$A$3:$A$202,$A179,現地作業!$L$3:$L$202,"予定",現地作業!$C$3:$C$202,"&gt;="&amp;TODAY())=0,"",_xlfn.MINIFS(現地作業!$C$3:$C$202,現地作業!$A$3:$A$202,$A179,現地作業!$L$3:$L$202,"予定",現地作業!$C$3:$C$202,"&gt;="&amp;TODAY())))</f>
        <v/>
      </c>
      <c r="AE179" s="39"/>
      <c r="AF179" s="30" t="str">
        <f aca="false">IF($A179="","",SUM(月次工数計画!$G$184:$AD$184))</f>
        <v/>
      </c>
      <c r="AG179" s="30" t="str">
        <f aca="false">IF($A179="","",SUMIFS(工数明細!$G$3:$G$302,工数明細!$B$3:$B$302,$A179))</f>
        <v/>
      </c>
      <c r="AH179" s="31" t="str">
        <f aca="false">IF($AE179="","",$AE179-N($AG179))</f>
        <v/>
      </c>
      <c r="AI179" s="25" t="str">
        <f aca="false">IF(N($AE179)=0,"",$AG179/$AE179)</f>
        <v/>
      </c>
      <c r="AJ179" s="20" t="str">
        <f aca="false">IF(N($AE179)=0,"",IF($AG179&gt;$AE179,"超過",IF($AG179&gt;=$AE179*0.9,"注意","適正")))</f>
        <v/>
      </c>
      <c r="AK179" s="34"/>
    </row>
    <row r="180" customFormat="false" ht="18" hidden="false" customHeight="true" outlineLevel="0" collapsed="false">
      <c r="A180" s="33"/>
      <c r="B180" s="34"/>
      <c r="C180" s="34"/>
      <c r="D180" s="34"/>
      <c r="E180" s="34"/>
      <c r="F180" s="35"/>
      <c r="G180" s="34"/>
      <c r="H180" s="34"/>
      <c r="I180" s="36"/>
      <c r="J180" s="37"/>
      <c r="K180" s="37"/>
      <c r="L180" s="37"/>
      <c r="M180" s="37"/>
      <c r="N180" s="19" t="str">
        <f aca="false">IF($J180="","",YEAR($J180)-IF(MONTH($J180)&lt;マスタ!$B$4,1,0))</f>
        <v/>
      </c>
      <c r="O180" s="20" t="str">
        <f aca="false">IF($J180="","","Q"&amp;(INT(MOD(MONTH($J180)-マスタ!$B$4+12,12)/3)+1))</f>
        <v/>
      </c>
      <c r="P180" s="21" t="str">
        <f aca="true">IF($L180="","",IF($M180&lt;&gt;"",$M180-$L180,IF(TODAY()&gt;$L180,TODAY()-$L180,0)))</f>
        <v/>
      </c>
      <c r="Q180" s="38"/>
      <c r="R180" s="23" t="str">
        <f aca="false">IF($Q180="","",$Q180*N($F180))</f>
        <v/>
      </c>
      <c r="S180" s="38"/>
      <c r="T180" s="24" t="str">
        <f aca="false">IF($A180="","",SUMIFS(発注・納品!$H$3:$H$202,発注・納品!$B$3:$B$202,$A180))</f>
        <v/>
      </c>
      <c r="U180" s="23" t="str">
        <f aca="false">IF($Q180="","",N($S180)+N($T180))</f>
        <v/>
      </c>
      <c r="V180" s="23" t="str">
        <f aca="false">IF($Q180="","",$Q180-N($U180))</f>
        <v/>
      </c>
      <c r="W180" s="25" t="str">
        <f aca="false">IF(N($Q180)=0,"",$V180/$Q180)</f>
        <v/>
      </c>
      <c r="X180" s="26" t="str">
        <f aca="false">IF($A180="","",COUNTIFS(発注・納品!$B$3:$B$202,$A180))</f>
        <v/>
      </c>
      <c r="Y180" s="26" t="str">
        <f aca="false">IF($A180="","",COUNTIFS(発注・納品!$B$3:$B$202,$A180,発注・納品!$M$3:$M$202,""))</f>
        <v/>
      </c>
      <c r="Z180" s="27" t="str">
        <f aca="false">IF(N($X180)=0,"",IF(_xlfn.MAXIFS(発注・納品!$M$3:$M$202,発注・納品!$B$3:$B$202,$A180)=0,"",_xlfn.MAXIFS(発注・納品!$M$3:$M$202,発注・納品!$B$3:$B$202,$A180)))</f>
        <v/>
      </c>
      <c r="AA180" s="28" t="str">
        <f aca="false">IF($A180="","",IF(N($X180)=0,"機器なし",IF(N($Y180)&gt;0,"入荷待ち",IF(COUNTIFS(発注・納品!$B$3:$B$202,$A180,発注・納品!$N$3:$N$202,"")&gt;0,"受入待ち","受入完了"))))</f>
        <v/>
      </c>
      <c r="AB180" s="26" t="str">
        <f aca="false">IF($A180="","",COUNTIFS(現地作業!$A$3:$A$202,$A180,現地作業!$L$3:$L$202,"予定"))</f>
        <v/>
      </c>
      <c r="AC180" s="26" t="str">
        <f aca="false">IF($A180="","",COUNTIFS(現地作業!$A$3:$A$202,$A180,現地作業!$L$3:$L$202,"完了"))</f>
        <v/>
      </c>
      <c r="AD180" s="27" t="str">
        <f aca="true">IF(N($AB180)=0,"",IF(_xlfn.MINIFS(現地作業!$C$3:$C$202,現地作業!$A$3:$A$202,$A180,現地作業!$L$3:$L$202,"予定",現地作業!$C$3:$C$202,"&gt;="&amp;TODAY())=0,"",_xlfn.MINIFS(現地作業!$C$3:$C$202,現地作業!$A$3:$A$202,$A180,現地作業!$L$3:$L$202,"予定",現地作業!$C$3:$C$202,"&gt;="&amp;TODAY())))</f>
        <v/>
      </c>
      <c r="AE180" s="39"/>
      <c r="AF180" s="30" t="str">
        <f aca="false">IF($A180="","",SUM(月次工数計画!$G$185:$AD$185))</f>
        <v/>
      </c>
      <c r="AG180" s="30" t="str">
        <f aca="false">IF($A180="","",SUMIFS(工数明細!$G$3:$G$302,工数明細!$B$3:$B$302,$A180))</f>
        <v/>
      </c>
      <c r="AH180" s="31" t="str">
        <f aca="false">IF($AE180="","",$AE180-N($AG180))</f>
        <v/>
      </c>
      <c r="AI180" s="25" t="str">
        <f aca="false">IF(N($AE180)=0,"",$AG180/$AE180)</f>
        <v/>
      </c>
      <c r="AJ180" s="20" t="str">
        <f aca="false">IF(N($AE180)=0,"",IF($AG180&gt;$AE180,"超過",IF($AG180&gt;=$AE180*0.9,"注意","適正")))</f>
        <v/>
      </c>
      <c r="AK180" s="34"/>
    </row>
    <row r="181" customFormat="false" ht="18" hidden="false" customHeight="true" outlineLevel="0" collapsed="false">
      <c r="A181" s="33"/>
      <c r="B181" s="34"/>
      <c r="C181" s="34"/>
      <c r="D181" s="34"/>
      <c r="E181" s="34"/>
      <c r="F181" s="35"/>
      <c r="G181" s="34"/>
      <c r="H181" s="34"/>
      <c r="I181" s="36"/>
      <c r="J181" s="37"/>
      <c r="K181" s="37"/>
      <c r="L181" s="37"/>
      <c r="M181" s="37"/>
      <c r="N181" s="19" t="str">
        <f aca="false">IF($J181="","",YEAR($J181)-IF(MONTH($J181)&lt;マスタ!$B$4,1,0))</f>
        <v/>
      </c>
      <c r="O181" s="20" t="str">
        <f aca="false">IF($J181="","","Q"&amp;(INT(MOD(MONTH($J181)-マスタ!$B$4+12,12)/3)+1))</f>
        <v/>
      </c>
      <c r="P181" s="21" t="str">
        <f aca="true">IF($L181="","",IF($M181&lt;&gt;"",$M181-$L181,IF(TODAY()&gt;$L181,TODAY()-$L181,0)))</f>
        <v/>
      </c>
      <c r="Q181" s="38"/>
      <c r="R181" s="23" t="str">
        <f aca="false">IF($Q181="","",$Q181*N($F181))</f>
        <v/>
      </c>
      <c r="S181" s="38"/>
      <c r="T181" s="24" t="str">
        <f aca="false">IF($A181="","",SUMIFS(発注・納品!$H$3:$H$202,発注・納品!$B$3:$B$202,$A181))</f>
        <v/>
      </c>
      <c r="U181" s="23" t="str">
        <f aca="false">IF($Q181="","",N($S181)+N($T181))</f>
        <v/>
      </c>
      <c r="V181" s="23" t="str">
        <f aca="false">IF($Q181="","",$Q181-N($U181))</f>
        <v/>
      </c>
      <c r="W181" s="25" t="str">
        <f aca="false">IF(N($Q181)=0,"",$V181/$Q181)</f>
        <v/>
      </c>
      <c r="X181" s="26" t="str">
        <f aca="false">IF($A181="","",COUNTIFS(発注・納品!$B$3:$B$202,$A181))</f>
        <v/>
      </c>
      <c r="Y181" s="26" t="str">
        <f aca="false">IF($A181="","",COUNTIFS(発注・納品!$B$3:$B$202,$A181,発注・納品!$M$3:$M$202,""))</f>
        <v/>
      </c>
      <c r="Z181" s="27" t="str">
        <f aca="false">IF(N($X181)=0,"",IF(_xlfn.MAXIFS(発注・納品!$M$3:$M$202,発注・納品!$B$3:$B$202,$A181)=0,"",_xlfn.MAXIFS(発注・納品!$M$3:$M$202,発注・納品!$B$3:$B$202,$A181)))</f>
        <v/>
      </c>
      <c r="AA181" s="28" t="str">
        <f aca="false">IF($A181="","",IF(N($X181)=0,"機器なし",IF(N($Y181)&gt;0,"入荷待ち",IF(COUNTIFS(発注・納品!$B$3:$B$202,$A181,発注・納品!$N$3:$N$202,"")&gt;0,"受入待ち","受入完了"))))</f>
        <v/>
      </c>
      <c r="AB181" s="26" t="str">
        <f aca="false">IF($A181="","",COUNTIFS(現地作業!$A$3:$A$202,$A181,現地作業!$L$3:$L$202,"予定"))</f>
        <v/>
      </c>
      <c r="AC181" s="26" t="str">
        <f aca="false">IF($A181="","",COUNTIFS(現地作業!$A$3:$A$202,$A181,現地作業!$L$3:$L$202,"完了"))</f>
        <v/>
      </c>
      <c r="AD181" s="27" t="str">
        <f aca="true">IF(N($AB181)=0,"",IF(_xlfn.MINIFS(現地作業!$C$3:$C$202,現地作業!$A$3:$A$202,$A181,現地作業!$L$3:$L$202,"予定",現地作業!$C$3:$C$202,"&gt;="&amp;TODAY())=0,"",_xlfn.MINIFS(現地作業!$C$3:$C$202,現地作業!$A$3:$A$202,$A181,現地作業!$L$3:$L$202,"予定",現地作業!$C$3:$C$202,"&gt;="&amp;TODAY())))</f>
        <v/>
      </c>
      <c r="AE181" s="39"/>
      <c r="AF181" s="30" t="str">
        <f aca="false">IF($A181="","",SUM(月次工数計画!$G$186:$AD$186))</f>
        <v/>
      </c>
      <c r="AG181" s="30" t="str">
        <f aca="false">IF($A181="","",SUMIFS(工数明細!$G$3:$G$302,工数明細!$B$3:$B$302,$A181))</f>
        <v/>
      </c>
      <c r="AH181" s="31" t="str">
        <f aca="false">IF($AE181="","",$AE181-N($AG181))</f>
        <v/>
      </c>
      <c r="AI181" s="25" t="str">
        <f aca="false">IF(N($AE181)=0,"",$AG181/$AE181)</f>
        <v/>
      </c>
      <c r="AJ181" s="20" t="str">
        <f aca="false">IF(N($AE181)=0,"",IF($AG181&gt;$AE181,"超過",IF($AG181&gt;=$AE181*0.9,"注意","適正")))</f>
        <v/>
      </c>
      <c r="AK181" s="34"/>
    </row>
    <row r="182" customFormat="false" ht="18" hidden="false" customHeight="true" outlineLevel="0" collapsed="false">
      <c r="A182" s="33"/>
      <c r="B182" s="34"/>
      <c r="C182" s="34"/>
      <c r="D182" s="34"/>
      <c r="E182" s="34"/>
      <c r="F182" s="35"/>
      <c r="G182" s="34"/>
      <c r="H182" s="34"/>
      <c r="I182" s="36"/>
      <c r="J182" s="37"/>
      <c r="K182" s="37"/>
      <c r="L182" s="37"/>
      <c r="M182" s="37"/>
      <c r="N182" s="19" t="str">
        <f aca="false">IF($J182="","",YEAR($J182)-IF(MONTH($J182)&lt;マスタ!$B$4,1,0))</f>
        <v/>
      </c>
      <c r="O182" s="20" t="str">
        <f aca="false">IF($J182="","","Q"&amp;(INT(MOD(MONTH($J182)-マスタ!$B$4+12,12)/3)+1))</f>
        <v/>
      </c>
      <c r="P182" s="21" t="str">
        <f aca="true">IF($L182="","",IF($M182&lt;&gt;"",$M182-$L182,IF(TODAY()&gt;$L182,TODAY()-$L182,0)))</f>
        <v/>
      </c>
      <c r="Q182" s="38"/>
      <c r="R182" s="23" t="str">
        <f aca="false">IF($Q182="","",$Q182*N($F182))</f>
        <v/>
      </c>
      <c r="S182" s="38"/>
      <c r="T182" s="24" t="str">
        <f aca="false">IF($A182="","",SUMIFS(発注・納品!$H$3:$H$202,発注・納品!$B$3:$B$202,$A182))</f>
        <v/>
      </c>
      <c r="U182" s="23" t="str">
        <f aca="false">IF($Q182="","",N($S182)+N($T182))</f>
        <v/>
      </c>
      <c r="V182" s="23" t="str">
        <f aca="false">IF($Q182="","",$Q182-N($U182))</f>
        <v/>
      </c>
      <c r="W182" s="25" t="str">
        <f aca="false">IF(N($Q182)=0,"",$V182/$Q182)</f>
        <v/>
      </c>
      <c r="X182" s="26" t="str">
        <f aca="false">IF($A182="","",COUNTIFS(発注・納品!$B$3:$B$202,$A182))</f>
        <v/>
      </c>
      <c r="Y182" s="26" t="str">
        <f aca="false">IF($A182="","",COUNTIFS(発注・納品!$B$3:$B$202,$A182,発注・納品!$M$3:$M$202,""))</f>
        <v/>
      </c>
      <c r="Z182" s="27" t="str">
        <f aca="false">IF(N($X182)=0,"",IF(_xlfn.MAXIFS(発注・納品!$M$3:$M$202,発注・納品!$B$3:$B$202,$A182)=0,"",_xlfn.MAXIFS(発注・納品!$M$3:$M$202,発注・納品!$B$3:$B$202,$A182)))</f>
        <v/>
      </c>
      <c r="AA182" s="28" t="str">
        <f aca="false">IF($A182="","",IF(N($X182)=0,"機器なし",IF(N($Y182)&gt;0,"入荷待ち",IF(COUNTIFS(発注・納品!$B$3:$B$202,$A182,発注・納品!$N$3:$N$202,"")&gt;0,"受入待ち","受入完了"))))</f>
        <v/>
      </c>
      <c r="AB182" s="26" t="str">
        <f aca="false">IF($A182="","",COUNTIFS(現地作業!$A$3:$A$202,$A182,現地作業!$L$3:$L$202,"予定"))</f>
        <v/>
      </c>
      <c r="AC182" s="26" t="str">
        <f aca="false">IF($A182="","",COUNTIFS(現地作業!$A$3:$A$202,$A182,現地作業!$L$3:$L$202,"完了"))</f>
        <v/>
      </c>
      <c r="AD182" s="27" t="str">
        <f aca="true">IF(N($AB182)=0,"",IF(_xlfn.MINIFS(現地作業!$C$3:$C$202,現地作業!$A$3:$A$202,$A182,現地作業!$L$3:$L$202,"予定",現地作業!$C$3:$C$202,"&gt;="&amp;TODAY())=0,"",_xlfn.MINIFS(現地作業!$C$3:$C$202,現地作業!$A$3:$A$202,$A182,現地作業!$L$3:$L$202,"予定",現地作業!$C$3:$C$202,"&gt;="&amp;TODAY())))</f>
        <v/>
      </c>
      <c r="AE182" s="39"/>
      <c r="AF182" s="30" t="str">
        <f aca="false">IF($A182="","",SUM(月次工数計画!$G$187:$AD$187))</f>
        <v/>
      </c>
      <c r="AG182" s="30" t="str">
        <f aca="false">IF($A182="","",SUMIFS(工数明細!$G$3:$G$302,工数明細!$B$3:$B$302,$A182))</f>
        <v/>
      </c>
      <c r="AH182" s="31" t="str">
        <f aca="false">IF($AE182="","",$AE182-N($AG182))</f>
        <v/>
      </c>
      <c r="AI182" s="25" t="str">
        <f aca="false">IF(N($AE182)=0,"",$AG182/$AE182)</f>
        <v/>
      </c>
      <c r="AJ182" s="20" t="str">
        <f aca="false">IF(N($AE182)=0,"",IF($AG182&gt;$AE182,"超過",IF($AG182&gt;=$AE182*0.9,"注意","適正")))</f>
        <v/>
      </c>
      <c r="AK182" s="34"/>
    </row>
    <row r="183" customFormat="false" ht="18" hidden="false" customHeight="true" outlineLevel="0" collapsed="false">
      <c r="A183" s="33"/>
      <c r="B183" s="34"/>
      <c r="C183" s="34"/>
      <c r="D183" s="34"/>
      <c r="E183" s="34"/>
      <c r="F183" s="35"/>
      <c r="G183" s="34"/>
      <c r="H183" s="34"/>
      <c r="I183" s="36"/>
      <c r="J183" s="37"/>
      <c r="K183" s="37"/>
      <c r="L183" s="37"/>
      <c r="M183" s="37"/>
      <c r="N183" s="19" t="str">
        <f aca="false">IF($J183="","",YEAR($J183)-IF(MONTH($J183)&lt;マスタ!$B$4,1,0))</f>
        <v/>
      </c>
      <c r="O183" s="20" t="str">
        <f aca="false">IF($J183="","","Q"&amp;(INT(MOD(MONTH($J183)-マスタ!$B$4+12,12)/3)+1))</f>
        <v/>
      </c>
      <c r="P183" s="21" t="str">
        <f aca="true">IF($L183="","",IF($M183&lt;&gt;"",$M183-$L183,IF(TODAY()&gt;$L183,TODAY()-$L183,0)))</f>
        <v/>
      </c>
      <c r="Q183" s="38"/>
      <c r="R183" s="23" t="str">
        <f aca="false">IF($Q183="","",$Q183*N($F183))</f>
        <v/>
      </c>
      <c r="S183" s="38"/>
      <c r="T183" s="24" t="str">
        <f aca="false">IF($A183="","",SUMIFS(発注・納品!$H$3:$H$202,発注・納品!$B$3:$B$202,$A183))</f>
        <v/>
      </c>
      <c r="U183" s="23" t="str">
        <f aca="false">IF($Q183="","",N($S183)+N($T183))</f>
        <v/>
      </c>
      <c r="V183" s="23" t="str">
        <f aca="false">IF($Q183="","",$Q183-N($U183))</f>
        <v/>
      </c>
      <c r="W183" s="25" t="str">
        <f aca="false">IF(N($Q183)=0,"",$V183/$Q183)</f>
        <v/>
      </c>
      <c r="X183" s="26" t="str">
        <f aca="false">IF($A183="","",COUNTIFS(発注・納品!$B$3:$B$202,$A183))</f>
        <v/>
      </c>
      <c r="Y183" s="26" t="str">
        <f aca="false">IF($A183="","",COUNTIFS(発注・納品!$B$3:$B$202,$A183,発注・納品!$M$3:$M$202,""))</f>
        <v/>
      </c>
      <c r="Z183" s="27" t="str">
        <f aca="false">IF(N($X183)=0,"",IF(_xlfn.MAXIFS(発注・納品!$M$3:$M$202,発注・納品!$B$3:$B$202,$A183)=0,"",_xlfn.MAXIFS(発注・納品!$M$3:$M$202,発注・納品!$B$3:$B$202,$A183)))</f>
        <v/>
      </c>
      <c r="AA183" s="28" t="str">
        <f aca="false">IF($A183="","",IF(N($X183)=0,"機器なし",IF(N($Y183)&gt;0,"入荷待ち",IF(COUNTIFS(発注・納品!$B$3:$B$202,$A183,発注・納品!$N$3:$N$202,"")&gt;0,"受入待ち","受入完了"))))</f>
        <v/>
      </c>
      <c r="AB183" s="26" t="str">
        <f aca="false">IF($A183="","",COUNTIFS(現地作業!$A$3:$A$202,$A183,現地作業!$L$3:$L$202,"予定"))</f>
        <v/>
      </c>
      <c r="AC183" s="26" t="str">
        <f aca="false">IF($A183="","",COUNTIFS(現地作業!$A$3:$A$202,$A183,現地作業!$L$3:$L$202,"完了"))</f>
        <v/>
      </c>
      <c r="AD183" s="27" t="str">
        <f aca="true">IF(N($AB183)=0,"",IF(_xlfn.MINIFS(現地作業!$C$3:$C$202,現地作業!$A$3:$A$202,$A183,現地作業!$L$3:$L$202,"予定",現地作業!$C$3:$C$202,"&gt;="&amp;TODAY())=0,"",_xlfn.MINIFS(現地作業!$C$3:$C$202,現地作業!$A$3:$A$202,$A183,現地作業!$L$3:$L$202,"予定",現地作業!$C$3:$C$202,"&gt;="&amp;TODAY())))</f>
        <v/>
      </c>
      <c r="AE183" s="39"/>
      <c r="AF183" s="30" t="str">
        <f aca="false">IF($A183="","",SUM(月次工数計画!$G$188:$AD$188))</f>
        <v/>
      </c>
      <c r="AG183" s="30" t="str">
        <f aca="false">IF($A183="","",SUMIFS(工数明細!$G$3:$G$302,工数明細!$B$3:$B$302,$A183))</f>
        <v/>
      </c>
      <c r="AH183" s="31" t="str">
        <f aca="false">IF($AE183="","",$AE183-N($AG183))</f>
        <v/>
      </c>
      <c r="AI183" s="25" t="str">
        <f aca="false">IF(N($AE183)=0,"",$AG183/$AE183)</f>
        <v/>
      </c>
      <c r="AJ183" s="20" t="str">
        <f aca="false">IF(N($AE183)=0,"",IF($AG183&gt;$AE183,"超過",IF($AG183&gt;=$AE183*0.9,"注意","適正")))</f>
        <v/>
      </c>
      <c r="AK183" s="34"/>
    </row>
    <row r="184" customFormat="false" ht="18" hidden="false" customHeight="true" outlineLevel="0" collapsed="false">
      <c r="A184" s="33"/>
      <c r="B184" s="34"/>
      <c r="C184" s="34"/>
      <c r="D184" s="34"/>
      <c r="E184" s="34"/>
      <c r="F184" s="35"/>
      <c r="G184" s="34"/>
      <c r="H184" s="34"/>
      <c r="I184" s="36"/>
      <c r="J184" s="37"/>
      <c r="K184" s="37"/>
      <c r="L184" s="37"/>
      <c r="M184" s="37"/>
      <c r="N184" s="19" t="str">
        <f aca="false">IF($J184="","",YEAR($J184)-IF(MONTH($J184)&lt;マスタ!$B$4,1,0))</f>
        <v/>
      </c>
      <c r="O184" s="20" t="str">
        <f aca="false">IF($J184="","","Q"&amp;(INT(MOD(MONTH($J184)-マスタ!$B$4+12,12)/3)+1))</f>
        <v/>
      </c>
      <c r="P184" s="21" t="str">
        <f aca="true">IF($L184="","",IF($M184&lt;&gt;"",$M184-$L184,IF(TODAY()&gt;$L184,TODAY()-$L184,0)))</f>
        <v/>
      </c>
      <c r="Q184" s="38"/>
      <c r="R184" s="23" t="str">
        <f aca="false">IF($Q184="","",$Q184*N($F184))</f>
        <v/>
      </c>
      <c r="S184" s="38"/>
      <c r="T184" s="24" t="str">
        <f aca="false">IF($A184="","",SUMIFS(発注・納品!$H$3:$H$202,発注・納品!$B$3:$B$202,$A184))</f>
        <v/>
      </c>
      <c r="U184" s="23" t="str">
        <f aca="false">IF($Q184="","",N($S184)+N($T184))</f>
        <v/>
      </c>
      <c r="V184" s="23" t="str">
        <f aca="false">IF($Q184="","",$Q184-N($U184))</f>
        <v/>
      </c>
      <c r="W184" s="25" t="str">
        <f aca="false">IF(N($Q184)=0,"",$V184/$Q184)</f>
        <v/>
      </c>
      <c r="X184" s="26" t="str">
        <f aca="false">IF($A184="","",COUNTIFS(発注・納品!$B$3:$B$202,$A184))</f>
        <v/>
      </c>
      <c r="Y184" s="26" t="str">
        <f aca="false">IF($A184="","",COUNTIFS(発注・納品!$B$3:$B$202,$A184,発注・納品!$M$3:$M$202,""))</f>
        <v/>
      </c>
      <c r="Z184" s="27" t="str">
        <f aca="false">IF(N($X184)=0,"",IF(_xlfn.MAXIFS(発注・納品!$M$3:$M$202,発注・納品!$B$3:$B$202,$A184)=0,"",_xlfn.MAXIFS(発注・納品!$M$3:$M$202,発注・納品!$B$3:$B$202,$A184)))</f>
        <v/>
      </c>
      <c r="AA184" s="28" t="str">
        <f aca="false">IF($A184="","",IF(N($X184)=0,"機器なし",IF(N($Y184)&gt;0,"入荷待ち",IF(COUNTIFS(発注・納品!$B$3:$B$202,$A184,発注・納品!$N$3:$N$202,"")&gt;0,"受入待ち","受入完了"))))</f>
        <v/>
      </c>
      <c r="AB184" s="26" t="str">
        <f aca="false">IF($A184="","",COUNTIFS(現地作業!$A$3:$A$202,$A184,現地作業!$L$3:$L$202,"予定"))</f>
        <v/>
      </c>
      <c r="AC184" s="26" t="str">
        <f aca="false">IF($A184="","",COUNTIFS(現地作業!$A$3:$A$202,$A184,現地作業!$L$3:$L$202,"完了"))</f>
        <v/>
      </c>
      <c r="AD184" s="27" t="str">
        <f aca="true">IF(N($AB184)=0,"",IF(_xlfn.MINIFS(現地作業!$C$3:$C$202,現地作業!$A$3:$A$202,$A184,現地作業!$L$3:$L$202,"予定",現地作業!$C$3:$C$202,"&gt;="&amp;TODAY())=0,"",_xlfn.MINIFS(現地作業!$C$3:$C$202,現地作業!$A$3:$A$202,$A184,現地作業!$L$3:$L$202,"予定",現地作業!$C$3:$C$202,"&gt;="&amp;TODAY())))</f>
        <v/>
      </c>
      <c r="AE184" s="39"/>
      <c r="AF184" s="30" t="str">
        <f aca="false">IF($A184="","",SUM(月次工数計画!$G$189:$AD$189))</f>
        <v/>
      </c>
      <c r="AG184" s="30" t="str">
        <f aca="false">IF($A184="","",SUMIFS(工数明細!$G$3:$G$302,工数明細!$B$3:$B$302,$A184))</f>
        <v/>
      </c>
      <c r="AH184" s="31" t="str">
        <f aca="false">IF($AE184="","",$AE184-N($AG184))</f>
        <v/>
      </c>
      <c r="AI184" s="25" t="str">
        <f aca="false">IF(N($AE184)=0,"",$AG184/$AE184)</f>
        <v/>
      </c>
      <c r="AJ184" s="20" t="str">
        <f aca="false">IF(N($AE184)=0,"",IF($AG184&gt;$AE184,"超過",IF($AG184&gt;=$AE184*0.9,"注意","適正")))</f>
        <v/>
      </c>
      <c r="AK184" s="34"/>
    </row>
    <row r="185" customFormat="false" ht="18" hidden="false" customHeight="true" outlineLevel="0" collapsed="false">
      <c r="A185" s="33"/>
      <c r="B185" s="34"/>
      <c r="C185" s="34"/>
      <c r="D185" s="34"/>
      <c r="E185" s="34"/>
      <c r="F185" s="35"/>
      <c r="G185" s="34"/>
      <c r="H185" s="34"/>
      <c r="I185" s="36"/>
      <c r="J185" s="37"/>
      <c r="K185" s="37"/>
      <c r="L185" s="37"/>
      <c r="M185" s="37"/>
      <c r="N185" s="19" t="str">
        <f aca="false">IF($J185="","",YEAR($J185)-IF(MONTH($J185)&lt;マスタ!$B$4,1,0))</f>
        <v/>
      </c>
      <c r="O185" s="20" t="str">
        <f aca="false">IF($J185="","","Q"&amp;(INT(MOD(MONTH($J185)-マスタ!$B$4+12,12)/3)+1))</f>
        <v/>
      </c>
      <c r="P185" s="21" t="str">
        <f aca="true">IF($L185="","",IF($M185&lt;&gt;"",$M185-$L185,IF(TODAY()&gt;$L185,TODAY()-$L185,0)))</f>
        <v/>
      </c>
      <c r="Q185" s="38"/>
      <c r="R185" s="23" t="str">
        <f aca="false">IF($Q185="","",$Q185*N($F185))</f>
        <v/>
      </c>
      <c r="S185" s="38"/>
      <c r="T185" s="24" t="str">
        <f aca="false">IF($A185="","",SUMIFS(発注・納品!$H$3:$H$202,発注・納品!$B$3:$B$202,$A185))</f>
        <v/>
      </c>
      <c r="U185" s="23" t="str">
        <f aca="false">IF($Q185="","",N($S185)+N($T185))</f>
        <v/>
      </c>
      <c r="V185" s="23" t="str">
        <f aca="false">IF($Q185="","",$Q185-N($U185))</f>
        <v/>
      </c>
      <c r="W185" s="25" t="str">
        <f aca="false">IF(N($Q185)=0,"",$V185/$Q185)</f>
        <v/>
      </c>
      <c r="X185" s="26" t="str">
        <f aca="false">IF($A185="","",COUNTIFS(発注・納品!$B$3:$B$202,$A185))</f>
        <v/>
      </c>
      <c r="Y185" s="26" t="str">
        <f aca="false">IF($A185="","",COUNTIFS(発注・納品!$B$3:$B$202,$A185,発注・納品!$M$3:$M$202,""))</f>
        <v/>
      </c>
      <c r="Z185" s="27" t="str">
        <f aca="false">IF(N($X185)=0,"",IF(_xlfn.MAXIFS(発注・納品!$M$3:$M$202,発注・納品!$B$3:$B$202,$A185)=0,"",_xlfn.MAXIFS(発注・納品!$M$3:$M$202,発注・納品!$B$3:$B$202,$A185)))</f>
        <v/>
      </c>
      <c r="AA185" s="28" t="str">
        <f aca="false">IF($A185="","",IF(N($X185)=0,"機器なし",IF(N($Y185)&gt;0,"入荷待ち",IF(COUNTIFS(発注・納品!$B$3:$B$202,$A185,発注・納品!$N$3:$N$202,"")&gt;0,"受入待ち","受入完了"))))</f>
        <v/>
      </c>
      <c r="AB185" s="26" t="str">
        <f aca="false">IF($A185="","",COUNTIFS(現地作業!$A$3:$A$202,$A185,現地作業!$L$3:$L$202,"予定"))</f>
        <v/>
      </c>
      <c r="AC185" s="26" t="str">
        <f aca="false">IF($A185="","",COUNTIFS(現地作業!$A$3:$A$202,$A185,現地作業!$L$3:$L$202,"完了"))</f>
        <v/>
      </c>
      <c r="AD185" s="27" t="str">
        <f aca="true">IF(N($AB185)=0,"",IF(_xlfn.MINIFS(現地作業!$C$3:$C$202,現地作業!$A$3:$A$202,$A185,現地作業!$L$3:$L$202,"予定",現地作業!$C$3:$C$202,"&gt;="&amp;TODAY())=0,"",_xlfn.MINIFS(現地作業!$C$3:$C$202,現地作業!$A$3:$A$202,$A185,現地作業!$L$3:$L$202,"予定",現地作業!$C$3:$C$202,"&gt;="&amp;TODAY())))</f>
        <v/>
      </c>
      <c r="AE185" s="39"/>
      <c r="AF185" s="30" t="str">
        <f aca="false">IF($A185="","",SUM(月次工数計画!$G$190:$AD$190))</f>
        <v/>
      </c>
      <c r="AG185" s="30" t="str">
        <f aca="false">IF($A185="","",SUMIFS(工数明細!$G$3:$G$302,工数明細!$B$3:$B$302,$A185))</f>
        <v/>
      </c>
      <c r="AH185" s="31" t="str">
        <f aca="false">IF($AE185="","",$AE185-N($AG185))</f>
        <v/>
      </c>
      <c r="AI185" s="25" t="str">
        <f aca="false">IF(N($AE185)=0,"",$AG185/$AE185)</f>
        <v/>
      </c>
      <c r="AJ185" s="20" t="str">
        <f aca="false">IF(N($AE185)=0,"",IF($AG185&gt;$AE185,"超過",IF($AG185&gt;=$AE185*0.9,"注意","適正")))</f>
        <v/>
      </c>
      <c r="AK185" s="34"/>
    </row>
    <row r="186" customFormat="false" ht="18" hidden="false" customHeight="true" outlineLevel="0" collapsed="false">
      <c r="A186" s="33"/>
      <c r="B186" s="34"/>
      <c r="C186" s="34"/>
      <c r="D186" s="34"/>
      <c r="E186" s="34"/>
      <c r="F186" s="35"/>
      <c r="G186" s="34"/>
      <c r="H186" s="34"/>
      <c r="I186" s="36"/>
      <c r="J186" s="37"/>
      <c r="K186" s="37"/>
      <c r="L186" s="37"/>
      <c r="M186" s="37"/>
      <c r="N186" s="19" t="str">
        <f aca="false">IF($J186="","",YEAR($J186)-IF(MONTH($J186)&lt;マスタ!$B$4,1,0))</f>
        <v/>
      </c>
      <c r="O186" s="20" t="str">
        <f aca="false">IF($J186="","","Q"&amp;(INT(MOD(MONTH($J186)-マスタ!$B$4+12,12)/3)+1))</f>
        <v/>
      </c>
      <c r="P186" s="21" t="str">
        <f aca="true">IF($L186="","",IF($M186&lt;&gt;"",$M186-$L186,IF(TODAY()&gt;$L186,TODAY()-$L186,0)))</f>
        <v/>
      </c>
      <c r="Q186" s="38"/>
      <c r="R186" s="23" t="str">
        <f aca="false">IF($Q186="","",$Q186*N($F186))</f>
        <v/>
      </c>
      <c r="S186" s="38"/>
      <c r="T186" s="24" t="str">
        <f aca="false">IF($A186="","",SUMIFS(発注・納品!$H$3:$H$202,発注・納品!$B$3:$B$202,$A186))</f>
        <v/>
      </c>
      <c r="U186" s="23" t="str">
        <f aca="false">IF($Q186="","",N($S186)+N($T186))</f>
        <v/>
      </c>
      <c r="V186" s="23" t="str">
        <f aca="false">IF($Q186="","",$Q186-N($U186))</f>
        <v/>
      </c>
      <c r="W186" s="25" t="str">
        <f aca="false">IF(N($Q186)=0,"",$V186/$Q186)</f>
        <v/>
      </c>
      <c r="X186" s="26" t="str">
        <f aca="false">IF($A186="","",COUNTIFS(発注・納品!$B$3:$B$202,$A186))</f>
        <v/>
      </c>
      <c r="Y186" s="26" t="str">
        <f aca="false">IF($A186="","",COUNTIFS(発注・納品!$B$3:$B$202,$A186,発注・納品!$M$3:$M$202,""))</f>
        <v/>
      </c>
      <c r="Z186" s="27" t="str">
        <f aca="false">IF(N($X186)=0,"",IF(_xlfn.MAXIFS(発注・納品!$M$3:$M$202,発注・納品!$B$3:$B$202,$A186)=0,"",_xlfn.MAXIFS(発注・納品!$M$3:$M$202,発注・納品!$B$3:$B$202,$A186)))</f>
        <v/>
      </c>
      <c r="AA186" s="28" t="str">
        <f aca="false">IF($A186="","",IF(N($X186)=0,"機器なし",IF(N($Y186)&gt;0,"入荷待ち",IF(COUNTIFS(発注・納品!$B$3:$B$202,$A186,発注・納品!$N$3:$N$202,"")&gt;0,"受入待ち","受入完了"))))</f>
        <v/>
      </c>
      <c r="AB186" s="26" t="str">
        <f aca="false">IF($A186="","",COUNTIFS(現地作業!$A$3:$A$202,$A186,現地作業!$L$3:$L$202,"予定"))</f>
        <v/>
      </c>
      <c r="AC186" s="26" t="str">
        <f aca="false">IF($A186="","",COUNTIFS(現地作業!$A$3:$A$202,$A186,現地作業!$L$3:$L$202,"完了"))</f>
        <v/>
      </c>
      <c r="AD186" s="27" t="str">
        <f aca="true">IF(N($AB186)=0,"",IF(_xlfn.MINIFS(現地作業!$C$3:$C$202,現地作業!$A$3:$A$202,$A186,現地作業!$L$3:$L$202,"予定",現地作業!$C$3:$C$202,"&gt;="&amp;TODAY())=0,"",_xlfn.MINIFS(現地作業!$C$3:$C$202,現地作業!$A$3:$A$202,$A186,現地作業!$L$3:$L$202,"予定",現地作業!$C$3:$C$202,"&gt;="&amp;TODAY())))</f>
        <v/>
      </c>
      <c r="AE186" s="39"/>
      <c r="AF186" s="30" t="str">
        <f aca="false">IF($A186="","",SUM(月次工数計画!$G$191:$AD$191))</f>
        <v/>
      </c>
      <c r="AG186" s="30" t="str">
        <f aca="false">IF($A186="","",SUMIFS(工数明細!$G$3:$G$302,工数明細!$B$3:$B$302,$A186))</f>
        <v/>
      </c>
      <c r="AH186" s="31" t="str">
        <f aca="false">IF($AE186="","",$AE186-N($AG186))</f>
        <v/>
      </c>
      <c r="AI186" s="25" t="str">
        <f aca="false">IF(N($AE186)=0,"",$AG186/$AE186)</f>
        <v/>
      </c>
      <c r="AJ186" s="20" t="str">
        <f aca="false">IF(N($AE186)=0,"",IF($AG186&gt;$AE186,"超過",IF($AG186&gt;=$AE186*0.9,"注意","適正")))</f>
        <v/>
      </c>
      <c r="AK186" s="34"/>
    </row>
    <row r="187" customFormat="false" ht="18" hidden="false" customHeight="true" outlineLevel="0" collapsed="false">
      <c r="A187" s="33"/>
      <c r="B187" s="34"/>
      <c r="C187" s="34"/>
      <c r="D187" s="34"/>
      <c r="E187" s="34"/>
      <c r="F187" s="35"/>
      <c r="G187" s="34"/>
      <c r="H187" s="34"/>
      <c r="I187" s="36"/>
      <c r="J187" s="37"/>
      <c r="K187" s="37"/>
      <c r="L187" s="37"/>
      <c r="M187" s="37"/>
      <c r="N187" s="19" t="str">
        <f aca="false">IF($J187="","",YEAR($J187)-IF(MONTH($J187)&lt;マスタ!$B$4,1,0))</f>
        <v/>
      </c>
      <c r="O187" s="20" t="str">
        <f aca="false">IF($J187="","","Q"&amp;(INT(MOD(MONTH($J187)-マスタ!$B$4+12,12)/3)+1))</f>
        <v/>
      </c>
      <c r="P187" s="21" t="str">
        <f aca="true">IF($L187="","",IF($M187&lt;&gt;"",$M187-$L187,IF(TODAY()&gt;$L187,TODAY()-$L187,0)))</f>
        <v/>
      </c>
      <c r="Q187" s="38"/>
      <c r="R187" s="23" t="str">
        <f aca="false">IF($Q187="","",$Q187*N($F187))</f>
        <v/>
      </c>
      <c r="S187" s="38"/>
      <c r="T187" s="24" t="str">
        <f aca="false">IF($A187="","",SUMIFS(発注・納品!$H$3:$H$202,発注・納品!$B$3:$B$202,$A187))</f>
        <v/>
      </c>
      <c r="U187" s="23" t="str">
        <f aca="false">IF($Q187="","",N($S187)+N($T187))</f>
        <v/>
      </c>
      <c r="V187" s="23" t="str">
        <f aca="false">IF($Q187="","",$Q187-N($U187))</f>
        <v/>
      </c>
      <c r="W187" s="25" t="str">
        <f aca="false">IF(N($Q187)=0,"",$V187/$Q187)</f>
        <v/>
      </c>
      <c r="X187" s="26" t="str">
        <f aca="false">IF($A187="","",COUNTIFS(発注・納品!$B$3:$B$202,$A187))</f>
        <v/>
      </c>
      <c r="Y187" s="26" t="str">
        <f aca="false">IF($A187="","",COUNTIFS(発注・納品!$B$3:$B$202,$A187,発注・納品!$M$3:$M$202,""))</f>
        <v/>
      </c>
      <c r="Z187" s="27" t="str">
        <f aca="false">IF(N($X187)=0,"",IF(_xlfn.MAXIFS(発注・納品!$M$3:$M$202,発注・納品!$B$3:$B$202,$A187)=0,"",_xlfn.MAXIFS(発注・納品!$M$3:$M$202,発注・納品!$B$3:$B$202,$A187)))</f>
        <v/>
      </c>
      <c r="AA187" s="28" t="str">
        <f aca="false">IF($A187="","",IF(N($X187)=0,"機器なし",IF(N($Y187)&gt;0,"入荷待ち",IF(COUNTIFS(発注・納品!$B$3:$B$202,$A187,発注・納品!$N$3:$N$202,"")&gt;0,"受入待ち","受入完了"))))</f>
        <v/>
      </c>
      <c r="AB187" s="26" t="str">
        <f aca="false">IF($A187="","",COUNTIFS(現地作業!$A$3:$A$202,$A187,現地作業!$L$3:$L$202,"予定"))</f>
        <v/>
      </c>
      <c r="AC187" s="26" t="str">
        <f aca="false">IF($A187="","",COUNTIFS(現地作業!$A$3:$A$202,$A187,現地作業!$L$3:$L$202,"完了"))</f>
        <v/>
      </c>
      <c r="AD187" s="27" t="str">
        <f aca="true">IF(N($AB187)=0,"",IF(_xlfn.MINIFS(現地作業!$C$3:$C$202,現地作業!$A$3:$A$202,$A187,現地作業!$L$3:$L$202,"予定",現地作業!$C$3:$C$202,"&gt;="&amp;TODAY())=0,"",_xlfn.MINIFS(現地作業!$C$3:$C$202,現地作業!$A$3:$A$202,$A187,現地作業!$L$3:$L$202,"予定",現地作業!$C$3:$C$202,"&gt;="&amp;TODAY())))</f>
        <v/>
      </c>
      <c r="AE187" s="39"/>
      <c r="AF187" s="30" t="str">
        <f aca="false">IF($A187="","",SUM(月次工数計画!$G$192:$AD$192))</f>
        <v/>
      </c>
      <c r="AG187" s="30" t="str">
        <f aca="false">IF($A187="","",SUMIFS(工数明細!$G$3:$G$302,工数明細!$B$3:$B$302,$A187))</f>
        <v/>
      </c>
      <c r="AH187" s="31" t="str">
        <f aca="false">IF($AE187="","",$AE187-N($AG187))</f>
        <v/>
      </c>
      <c r="AI187" s="25" t="str">
        <f aca="false">IF(N($AE187)=0,"",$AG187/$AE187)</f>
        <v/>
      </c>
      <c r="AJ187" s="20" t="str">
        <f aca="false">IF(N($AE187)=0,"",IF($AG187&gt;$AE187,"超過",IF($AG187&gt;=$AE187*0.9,"注意","適正")))</f>
        <v/>
      </c>
      <c r="AK187" s="34"/>
    </row>
    <row r="188" customFormat="false" ht="18" hidden="false" customHeight="true" outlineLevel="0" collapsed="false">
      <c r="A188" s="33"/>
      <c r="B188" s="34"/>
      <c r="C188" s="34"/>
      <c r="D188" s="34"/>
      <c r="E188" s="34"/>
      <c r="F188" s="35"/>
      <c r="G188" s="34"/>
      <c r="H188" s="34"/>
      <c r="I188" s="36"/>
      <c r="J188" s="37"/>
      <c r="K188" s="37"/>
      <c r="L188" s="37"/>
      <c r="M188" s="37"/>
      <c r="N188" s="19" t="str">
        <f aca="false">IF($J188="","",YEAR($J188)-IF(MONTH($J188)&lt;マスタ!$B$4,1,0))</f>
        <v/>
      </c>
      <c r="O188" s="20" t="str">
        <f aca="false">IF($J188="","","Q"&amp;(INT(MOD(MONTH($J188)-マスタ!$B$4+12,12)/3)+1))</f>
        <v/>
      </c>
      <c r="P188" s="21" t="str">
        <f aca="true">IF($L188="","",IF($M188&lt;&gt;"",$M188-$L188,IF(TODAY()&gt;$L188,TODAY()-$L188,0)))</f>
        <v/>
      </c>
      <c r="Q188" s="38"/>
      <c r="R188" s="23" t="str">
        <f aca="false">IF($Q188="","",$Q188*N($F188))</f>
        <v/>
      </c>
      <c r="S188" s="38"/>
      <c r="T188" s="24" t="str">
        <f aca="false">IF($A188="","",SUMIFS(発注・納品!$H$3:$H$202,発注・納品!$B$3:$B$202,$A188))</f>
        <v/>
      </c>
      <c r="U188" s="23" t="str">
        <f aca="false">IF($Q188="","",N($S188)+N($T188))</f>
        <v/>
      </c>
      <c r="V188" s="23" t="str">
        <f aca="false">IF($Q188="","",$Q188-N($U188))</f>
        <v/>
      </c>
      <c r="W188" s="25" t="str">
        <f aca="false">IF(N($Q188)=0,"",$V188/$Q188)</f>
        <v/>
      </c>
      <c r="X188" s="26" t="str">
        <f aca="false">IF($A188="","",COUNTIFS(発注・納品!$B$3:$B$202,$A188))</f>
        <v/>
      </c>
      <c r="Y188" s="26" t="str">
        <f aca="false">IF($A188="","",COUNTIFS(発注・納品!$B$3:$B$202,$A188,発注・納品!$M$3:$M$202,""))</f>
        <v/>
      </c>
      <c r="Z188" s="27" t="str">
        <f aca="false">IF(N($X188)=0,"",IF(_xlfn.MAXIFS(発注・納品!$M$3:$M$202,発注・納品!$B$3:$B$202,$A188)=0,"",_xlfn.MAXIFS(発注・納品!$M$3:$M$202,発注・納品!$B$3:$B$202,$A188)))</f>
        <v/>
      </c>
      <c r="AA188" s="28" t="str">
        <f aca="false">IF($A188="","",IF(N($X188)=0,"機器なし",IF(N($Y188)&gt;0,"入荷待ち",IF(COUNTIFS(発注・納品!$B$3:$B$202,$A188,発注・納品!$N$3:$N$202,"")&gt;0,"受入待ち","受入完了"))))</f>
        <v/>
      </c>
      <c r="AB188" s="26" t="str">
        <f aca="false">IF($A188="","",COUNTIFS(現地作業!$A$3:$A$202,$A188,現地作業!$L$3:$L$202,"予定"))</f>
        <v/>
      </c>
      <c r="AC188" s="26" t="str">
        <f aca="false">IF($A188="","",COUNTIFS(現地作業!$A$3:$A$202,$A188,現地作業!$L$3:$L$202,"完了"))</f>
        <v/>
      </c>
      <c r="AD188" s="27" t="str">
        <f aca="true">IF(N($AB188)=0,"",IF(_xlfn.MINIFS(現地作業!$C$3:$C$202,現地作業!$A$3:$A$202,$A188,現地作業!$L$3:$L$202,"予定",現地作業!$C$3:$C$202,"&gt;="&amp;TODAY())=0,"",_xlfn.MINIFS(現地作業!$C$3:$C$202,現地作業!$A$3:$A$202,$A188,現地作業!$L$3:$L$202,"予定",現地作業!$C$3:$C$202,"&gt;="&amp;TODAY())))</f>
        <v/>
      </c>
      <c r="AE188" s="39"/>
      <c r="AF188" s="30" t="str">
        <f aca="false">IF($A188="","",SUM(月次工数計画!$G$193:$AD$193))</f>
        <v/>
      </c>
      <c r="AG188" s="30" t="str">
        <f aca="false">IF($A188="","",SUMIFS(工数明細!$G$3:$G$302,工数明細!$B$3:$B$302,$A188))</f>
        <v/>
      </c>
      <c r="AH188" s="31" t="str">
        <f aca="false">IF($AE188="","",$AE188-N($AG188))</f>
        <v/>
      </c>
      <c r="AI188" s="25" t="str">
        <f aca="false">IF(N($AE188)=0,"",$AG188/$AE188)</f>
        <v/>
      </c>
      <c r="AJ188" s="20" t="str">
        <f aca="false">IF(N($AE188)=0,"",IF($AG188&gt;$AE188,"超過",IF($AG188&gt;=$AE188*0.9,"注意","適正")))</f>
        <v/>
      </c>
      <c r="AK188" s="34"/>
    </row>
    <row r="189" customFormat="false" ht="18" hidden="false" customHeight="true" outlineLevel="0" collapsed="false">
      <c r="A189" s="33"/>
      <c r="B189" s="34"/>
      <c r="C189" s="34"/>
      <c r="D189" s="34"/>
      <c r="E189" s="34"/>
      <c r="F189" s="35"/>
      <c r="G189" s="34"/>
      <c r="H189" s="34"/>
      <c r="I189" s="36"/>
      <c r="J189" s="37"/>
      <c r="K189" s="37"/>
      <c r="L189" s="37"/>
      <c r="M189" s="37"/>
      <c r="N189" s="19" t="str">
        <f aca="false">IF($J189="","",YEAR($J189)-IF(MONTH($J189)&lt;マスタ!$B$4,1,0))</f>
        <v/>
      </c>
      <c r="O189" s="20" t="str">
        <f aca="false">IF($J189="","","Q"&amp;(INT(MOD(MONTH($J189)-マスタ!$B$4+12,12)/3)+1))</f>
        <v/>
      </c>
      <c r="P189" s="21" t="str">
        <f aca="true">IF($L189="","",IF($M189&lt;&gt;"",$M189-$L189,IF(TODAY()&gt;$L189,TODAY()-$L189,0)))</f>
        <v/>
      </c>
      <c r="Q189" s="38"/>
      <c r="R189" s="23" t="str">
        <f aca="false">IF($Q189="","",$Q189*N($F189))</f>
        <v/>
      </c>
      <c r="S189" s="38"/>
      <c r="T189" s="24" t="str">
        <f aca="false">IF($A189="","",SUMIFS(発注・納品!$H$3:$H$202,発注・納品!$B$3:$B$202,$A189))</f>
        <v/>
      </c>
      <c r="U189" s="23" t="str">
        <f aca="false">IF($Q189="","",N($S189)+N($T189))</f>
        <v/>
      </c>
      <c r="V189" s="23" t="str">
        <f aca="false">IF($Q189="","",$Q189-N($U189))</f>
        <v/>
      </c>
      <c r="W189" s="25" t="str">
        <f aca="false">IF(N($Q189)=0,"",$V189/$Q189)</f>
        <v/>
      </c>
      <c r="X189" s="26" t="str">
        <f aca="false">IF($A189="","",COUNTIFS(発注・納品!$B$3:$B$202,$A189))</f>
        <v/>
      </c>
      <c r="Y189" s="26" t="str">
        <f aca="false">IF($A189="","",COUNTIFS(発注・納品!$B$3:$B$202,$A189,発注・納品!$M$3:$M$202,""))</f>
        <v/>
      </c>
      <c r="Z189" s="27" t="str">
        <f aca="false">IF(N($X189)=0,"",IF(_xlfn.MAXIFS(発注・納品!$M$3:$M$202,発注・納品!$B$3:$B$202,$A189)=0,"",_xlfn.MAXIFS(発注・納品!$M$3:$M$202,発注・納品!$B$3:$B$202,$A189)))</f>
        <v/>
      </c>
      <c r="AA189" s="28" t="str">
        <f aca="false">IF($A189="","",IF(N($X189)=0,"機器なし",IF(N($Y189)&gt;0,"入荷待ち",IF(COUNTIFS(発注・納品!$B$3:$B$202,$A189,発注・納品!$N$3:$N$202,"")&gt;0,"受入待ち","受入完了"))))</f>
        <v/>
      </c>
      <c r="AB189" s="26" t="str">
        <f aca="false">IF($A189="","",COUNTIFS(現地作業!$A$3:$A$202,$A189,現地作業!$L$3:$L$202,"予定"))</f>
        <v/>
      </c>
      <c r="AC189" s="26" t="str">
        <f aca="false">IF($A189="","",COUNTIFS(現地作業!$A$3:$A$202,$A189,現地作業!$L$3:$L$202,"完了"))</f>
        <v/>
      </c>
      <c r="AD189" s="27" t="str">
        <f aca="true">IF(N($AB189)=0,"",IF(_xlfn.MINIFS(現地作業!$C$3:$C$202,現地作業!$A$3:$A$202,$A189,現地作業!$L$3:$L$202,"予定",現地作業!$C$3:$C$202,"&gt;="&amp;TODAY())=0,"",_xlfn.MINIFS(現地作業!$C$3:$C$202,現地作業!$A$3:$A$202,$A189,現地作業!$L$3:$L$202,"予定",現地作業!$C$3:$C$202,"&gt;="&amp;TODAY())))</f>
        <v/>
      </c>
      <c r="AE189" s="39"/>
      <c r="AF189" s="30" t="str">
        <f aca="false">IF($A189="","",SUM(月次工数計画!$G$194:$AD$194))</f>
        <v/>
      </c>
      <c r="AG189" s="30" t="str">
        <f aca="false">IF($A189="","",SUMIFS(工数明細!$G$3:$G$302,工数明細!$B$3:$B$302,$A189))</f>
        <v/>
      </c>
      <c r="AH189" s="31" t="str">
        <f aca="false">IF($AE189="","",$AE189-N($AG189))</f>
        <v/>
      </c>
      <c r="AI189" s="25" t="str">
        <f aca="false">IF(N($AE189)=0,"",$AG189/$AE189)</f>
        <v/>
      </c>
      <c r="AJ189" s="20" t="str">
        <f aca="false">IF(N($AE189)=0,"",IF($AG189&gt;$AE189,"超過",IF($AG189&gt;=$AE189*0.9,"注意","適正")))</f>
        <v/>
      </c>
      <c r="AK189" s="34"/>
    </row>
    <row r="190" customFormat="false" ht="18" hidden="false" customHeight="true" outlineLevel="0" collapsed="false">
      <c r="A190" s="33"/>
      <c r="B190" s="34"/>
      <c r="C190" s="34"/>
      <c r="D190" s="34"/>
      <c r="E190" s="34"/>
      <c r="F190" s="35"/>
      <c r="G190" s="34"/>
      <c r="H190" s="34"/>
      <c r="I190" s="36"/>
      <c r="J190" s="37"/>
      <c r="K190" s="37"/>
      <c r="L190" s="37"/>
      <c r="M190" s="37"/>
      <c r="N190" s="19" t="str">
        <f aca="false">IF($J190="","",YEAR($J190)-IF(MONTH($J190)&lt;マスタ!$B$4,1,0))</f>
        <v/>
      </c>
      <c r="O190" s="20" t="str">
        <f aca="false">IF($J190="","","Q"&amp;(INT(MOD(MONTH($J190)-マスタ!$B$4+12,12)/3)+1))</f>
        <v/>
      </c>
      <c r="P190" s="21" t="str">
        <f aca="true">IF($L190="","",IF($M190&lt;&gt;"",$M190-$L190,IF(TODAY()&gt;$L190,TODAY()-$L190,0)))</f>
        <v/>
      </c>
      <c r="Q190" s="38"/>
      <c r="R190" s="23" t="str">
        <f aca="false">IF($Q190="","",$Q190*N($F190))</f>
        <v/>
      </c>
      <c r="S190" s="38"/>
      <c r="T190" s="24" t="str">
        <f aca="false">IF($A190="","",SUMIFS(発注・納品!$H$3:$H$202,発注・納品!$B$3:$B$202,$A190))</f>
        <v/>
      </c>
      <c r="U190" s="23" t="str">
        <f aca="false">IF($Q190="","",N($S190)+N($T190))</f>
        <v/>
      </c>
      <c r="V190" s="23" t="str">
        <f aca="false">IF($Q190="","",$Q190-N($U190))</f>
        <v/>
      </c>
      <c r="W190" s="25" t="str">
        <f aca="false">IF(N($Q190)=0,"",$V190/$Q190)</f>
        <v/>
      </c>
      <c r="X190" s="26" t="str">
        <f aca="false">IF($A190="","",COUNTIFS(発注・納品!$B$3:$B$202,$A190))</f>
        <v/>
      </c>
      <c r="Y190" s="26" t="str">
        <f aca="false">IF($A190="","",COUNTIFS(発注・納品!$B$3:$B$202,$A190,発注・納品!$M$3:$M$202,""))</f>
        <v/>
      </c>
      <c r="Z190" s="27" t="str">
        <f aca="false">IF(N($X190)=0,"",IF(_xlfn.MAXIFS(発注・納品!$M$3:$M$202,発注・納品!$B$3:$B$202,$A190)=0,"",_xlfn.MAXIFS(発注・納品!$M$3:$M$202,発注・納品!$B$3:$B$202,$A190)))</f>
        <v/>
      </c>
      <c r="AA190" s="28" t="str">
        <f aca="false">IF($A190="","",IF(N($X190)=0,"機器なし",IF(N($Y190)&gt;0,"入荷待ち",IF(COUNTIFS(発注・納品!$B$3:$B$202,$A190,発注・納品!$N$3:$N$202,"")&gt;0,"受入待ち","受入完了"))))</f>
        <v/>
      </c>
      <c r="AB190" s="26" t="str">
        <f aca="false">IF($A190="","",COUNTIFS(現地作業!$A$3:$A$202,$A190,現地作業!$L$3:$L$202,"予定"))</f>
        <v/>
      </c>
      <c r="AC190" s="26" t="str">
        <f aca="false">IF($A190="","",COUNTIFS(現地作業!$A$3:$A$202,$A190,現地作業!$L$3:$L$202,"完了"))</f>
        <v/>
      </c>
      <c r="AD190" s="27" t="str">
        <f aca="true">IF(N($AB190)=0,"",IF(_xlfn.MINIFS(現地作業!$C$3:$C$202,現地作業!$A$3:$A$202,$A190,現地作業!$L$3:$L$202,"予定",現地作業!$C$3:$C$202,"&gt;="&amp;TODAY())=0,"",_xlfn.MINIFS(現地作業!$C$3:$C$202,現地作業!$A$3:$A$202,$A190,現地作業!$L$3:$L$202,"予定",現地作業!$C$3:$C$202,"&gt;="&amp;TODAY())))</f>
        <v/>
      </c>
      <c r="AE190" s="39"/>
      <c r="AF190" s="30" t="str">
        <f aca="false">IF($A190="","",SUM(月次工数計画!$G$195:$AD$195))</f>
        <v/>
      </c>
      <c r="AG190" s="30" t="str">
        <f aca="false">IF($A190="","",SUMIFS(工数明細!$G$3:$G$302,工数明細!$B$3:$B$302,$A190))</f>
        <v/>
      </c>
      <c r="AH190" s="31" t="str">
        <f aca="false">IF($AE190="","",$AE190-N($AG190))</f>
        <v/>
      </c>
      <c r="AI190" s="25" t="str">
        <f aca="false">IF(N($AE190)=0,"",$AG190/$AE190)</f>
        <v/>
      </c>
      <c r="AJ190" s="20" t="str">
        <f aca="false">IF(N($AE190)=0,"",IF($AG190&gt;$AE190,"超過",IF($AG190&gt;=$AE190*0.9,"注意","適正")))</f>
        <v/>
      </c>
      <c r="AK190" s="34"/>
    </row>
    <row r="191" customFormat="false" ht="18" hidden="false" customHeight="true" outlineLevel="0" collapsed="false">
      <c r="A191" s="33"/>
      <c r="B191" s="34"/>
      <c r="C191" s="34"/>
      <c r="D191" s="34"/>
      <c r="E191" s="34"/>
      <c r="F191" s="35"/>
      <c r="G191" s="34"/>
      <c r="H191" s="34"/>
      <c r="I191" s="36"/>
      <c r="J191" s="37"/>
      <c r="K191" s="37"/>
      <c r="L191" s="37"/>
      <c r="M191" s="37"/>
      <c r="N191" s="19" t="str">
        <f aca="false">IF($J191="","",YEAR($J191)-IF(MONTH($J191)&lt;マスタ!$B$4,1,0))</f>
        <v/>
      </c>
      <c r="O191" s="20" t="str">
        <f aca="false">IF($J191="","","Q"&amp;(INT(MOD(MONTH($J191)-マスタ!$B$4+12,12)/3)+1))</f>
        <v/>
      </c>
      <c r="P191" s="21" t="str">
        <f aca="true">IF($L191="","",IF($M191&lt;&gt;"",$M191-$L191,IF(TODAY()&gt;$L191,TODAY()-$L191,0)))</f>
        <v/>
      </c>
      <c r="Q191" s="38"/>
      <c r="R191" s="23" t="str">
        <f aca="false">IF($Q191="","",$Q191*N($F191))</f>
        <v/>
      </c>
      <c r="S191" s="38"/>
      <c r="T191" s="24" t="str">
        <f aca="false">IF($A191="","",SUMIFS(発注・納品!$H$3:$H$202,発注・納品!$B$3:$B$202,$A191))</f>
        <v/>
      </c>
      <c r="U191" s="23" t="str">
        <f aca="false">IF($Q191="","",N($S191)+N($T191))</f>
        <v/>
      </c>
      <c r="V191" s="23" t="str">
        <f aca="false">IF($Q191="","",$Q191-N($U191))</f>
        <v/>
      </c>
      <c r="W191" s="25" t="str">
        <f aca="false">IF(N($Q191)=0,"",$V191/$Q191)</f>
        <v/>
      </c>
      <c r="X191" s="26" t="str">
        <f aca="false">IF($A191="","",COUNTIFS(発注・納品!$B$3:$B$202,$A191))</f>
        <v/>
      </c>
      <c r="Y191" s="26" t="str">
        <f aca="false">IF($A191="","",COUNTIFS(発注・納品!$B$3:$B$202,$A191,発注・納品!$M$3:$M$202,""))</f>
        <v/>
      </c>
      <c r="Z191" s="27" t="str">
        <f aca="false">IF(N($X191)=0,"",IF(_xlfn.MAXIFS(発注・納品!$M$3:$M$202,発注・納品!$B$3:$B$202,$A191)=0,"",_xlfn.MAXIFS(発注・納品!$M$3:$M$202,発注・納品!$B$3:$B$202,$A191)))</f>
        <v/>
      </c>
      <c r="AA191" s="28" t="str">
        <f aca="false">IF($A191="","",IF(N($X191)=0,"機器なし",IF(N($Y191)&gt;0,"入荷待ち",IF(COUNTIFS(発注・納品!$B$3:$B$202,$A191,発注・納品!$N$3:$N$202,"")&gt;0,"受入待ち","受入完了"))))</f>
        <v/>
      </c>
      <c r="AB191" s="26" t="str">
        <f aca="false">IF($A191="","",COUNTIFS(現地作業!$A$3:$A$202,$A191,現地作業!$L$3:$L$202,"予定"))</f>
        <v/>
      </c>
      <c r="AC191" s="26" t="str">
        <f aca="false">IF($A191="","",COUNTIFS(現地作業!$A$3:$A$202,$A191,現地作業!$L$3:$L$202,"完了"))</f>
        <v/>
      </c>
      <c r="AD191" s="27" t="str">
        <f aca="true">IF(N($AB191)=0,"",IF(_xlfn.MINIFS(現地作業!$C$3:$C$202,現地作業!$A$3:$A$202,$A191,現地作業!$L$3:$L$202,"予定",現地作業!$C$3:$C$202,"&gt;="&amp;TODAY())=0,"",_xlfn.MINIFS(現地作業!$C$3:$C$202,現地作業!$A$3:$A$202,$A191,現地作業!$L$3:$L$202,"予定",現地作業!$C$3:$C$202,"&gt;="&amp;TODAY())))</f>
        <v/>
      </c>
      <c r="AE191" s="39"/>
      <c r="AF191" s="30" t="str">
        <f aca="false">IF($A191="","",SUM(月次工数計画!$G$196:$AD$196))</f>
        <v/>
      </c>
      <c r="AG191" s="30" t="str">
        <f aca="false">IF($A191="","",SUMIFS(工数明細!$G$3:$G$302,工数明細!$B$3:$B$302,$A191))</f>
        <v/>
      </c>
      <c r="AH191" s="31" t="str">
        <f aca="false">IF($AE191="","",$AE191-N($AG191))</f>
        <v/>
      </c>
      <c r="AI191" s="25" t="str">
        <f aca="false">IF(N($AE191)=0,"",$AG191/$AE191)</f>
        <v/>
      </c>
      <c r="AJ191" s="20" t="str">
        <f aca="false">IF(N($AE191)=0,"",IF($AG191&gt;$AE191,"超過",IF($AG191&gt;=$AE191*0.9,"注意","適正")))</f>
        <v/>
      </c>
      <c r="AK191" s="34"/>
    </row>
    <row r="192" customFormat="false" ht="18" hidden="false" customHeight="true" outlineLevel="0" collapsed="false">
      <c r="A192" s="33"/>
      <c r="B192" s="34"/>
      <c r="C192" s="34"/>
      <c r="D192" s="34"/>
      <c r="E192" s="34"/>
      <c r="F192" s="35"/>
      <c r="G192" s="34"/>
      <c r="H192" s="34"/>
      <c r="I192" s="36"/>
      <c r="J192" s="37"/>
      <c r="K192" s="37"/>
      <c r="L192" s="37"/>
      <c r="M192" s="37"/>
      <c r="N192" s="19" t="str">
        <f aca="false">IF($J192="","",YEAR($J192)-IF(MONTH($J192)&lt;マスタ!$B$4,1,0))</f>
        <v/>
      </c>
      <c r="O192" s="20" t="str">
        <f aca="false">IF($J192="","","Q"&amp;(INT(MOD(MONTH($J192)-マスタ!$B$4+12,12)/3)+1))</f>
        <v/>
      </c>
      <c r="P192" s="21" t="str">
        <f aca="true">IF($L192="","",IF($M192&lt;&gt;"",$M192-$L192,IF(TODAY()&gt;$L192,TODAY()-$L192,0)))</f>
        <v/>
      </c>
      <c r="Q192" s="38"/>
      <c r="R192" s="23" t="str">
        <f aca="false">IF($Q192="","",$Q192*N($F192))</f>
        <v/>
      </c>
      <c r="S192" s="38"/>
      <c r="T192" s="24" t="str">
        <f aca="false">IF($A192="","",SUMIFS(発注・納品!$H$3:$H$202,発注・納品!$B$3:$B$202,$A192))</f>
        <v/>
      </c>
      <c r="U192" s="23" t="str">
        <f aca="false">IF($Q192="","",N($S192)+N($T192))</f>
        <v/>
      </c>
      <c r="V192" s="23" t="str">
        <f aca="false">IF($Q192="","",$Q192-N($U192))</f>
        <v/>
      </c>
      <c r="W192" s="25" t="str">
        <f aca="false">IF(N($Q192)=0,"",$V192/$Q192)</f>
        <v/>
      </c>
      <c r="X192" s="26" t="str">
        <f aca="false">IF($A192="","",COUNTIFS(発注・納品!$B$3:$B$202,$A192))</f>
        <v/>
      </c>
      <c r="Y192" s="26" t="str">
        <f aca="false">IF($A192="","",COUNTIFS(発注・納品!$B$3:$B$202,$A192,発注・納品!$M$3:$M$202,""))</f>
        <v/>
      </c>
      <c r="Z192" s="27" t="str">
        <f aca="false">IF(N($X192)=0,"",IF(_xlfn.MAXIFS(発注・納品!$M$3:$M$202,発注・納品!$B$3:$B$202,$A192)=0,"",_xlfn.MAXIFS(発注・納品!$M$3:$M$202,発注・納品!$B$3:$B$202,$A192)))</f>
        <v/>
      </c>
      <c r="AA192" s="28" t="str">
        <f aca="false">IF($A192="","",IF(N($X192)=0,"機器なし",IF(N($Y192)&gt;0,"入荷待ち",IF(COUNTIFS(発注・納品!$B$3:$B$202,$A192,発注・納品!$N$3:$N$202,"")&gt;0,"受入待ち","受入完了"))))</f>
        <v/>
      </c>
      <c r="AB192" s="26" t="str">
        <f aca="false">IF($A192="","",COUNTIFS(現地作業!$A$3:$A$202,$A192,現地作業!$L$3:$L$202,"予定"))</f>
        <v/>
      </c>
      <c r="AC192" s="26" t="str">
        <f aca="false">IF($A192="","",COUNTIFS(現地作業!$A$3:$A$202,$A192,現地作業!$L$3:$L$202,"完了"))</f>
        <v/>
      </c>
      <c r="AD192" s="27" t="str">
        <f aca="true">IF(N($AB192)=0,"",IF(_xlfn.MINIFS(現地作業!$C$3:$C$202,現地作業!$A$3:$A$202,$A192,現地作業!$L$3:$L$202,"予定",現地作業!$C$3:$C$202,"&gt;="&amp;TODAY())=0,"",_xlfn.MINIFS(現地作業!$C$3:$C$202,現地作業!$A$3:$A$202,$A192,現地作業!$L$3:$L$202,"予定",現地作業!$C$3:$C$202,"&gt;="&amp;TODAY())))</f>
        <v/>
      </c>
      <c r="AE192" s="39"/>
      <c r="AF192" s="30" t="str">
        <f aca="false">IF($A192="","",SUM(月次工数計画!$G$197:$AD$197))</f>
        <v/>
      </c>
      <c r="AG192" s="30" t="str">
        <f aca="false">IF($A192="","",SUMIFS(工数明細!$G$3:$G$302,工数明細!$B$3:$B$302,$A192))</f>
        <v/>
      </c>
      <c r="AH192" s="31" t="str">
        <f aca="false">IF($AE192="","",$AE192-N($AG192))</f>
        <v/>
      </c>
      <c r="AI192" s="25" t="str">
        <f aca="false">IF(N($AE192)=0,"",$AG192/$AE192)</f>
        <v/>
      </c>
      <c r="AJ192" s="20" t="str">
        <f aca="false">IF(N($AE192)=0,"",IF($AG192&gt;$AE192,"超過",IF($AG192&gt;=$AE192*0.9,"注意","適正")))</f>
        <v/>
      </c>
      <c r="AK192" s="34"/>
    </row>
    <row r="193" customFormat="false" ht="18" hidden="false" customHeight="true" outlineLevel="0" collapsed="false">
      <c r="A193" s="33"/>
      <c r="B193" s="34"/>
      <c r="C193" s="34"/>
      <c r="D193" s="34"/>
      <c r="E193" s="34"/>
      <c r="F193" s="35"/>
      <c r="G193" s="34"/>
      <c r="H193" s="34"/>
      <c r="I193" s="36"/>
      <c r="J193" s="37"/>
      <c r="K193" s="37"/>
      <c r="L193" s="37"/>
      <c r="M193" s="37"/>
      <c r="N193" s="19" t="str">
        <f aca="false">IF($J193="","",YEAR($J193)-IF(MONTH($J193)&lt;マスタ!$B$4,1,0))</f>
        <v/>
      </c>
      <c r="O193" s="20" t="str">
        <f aca="false">IF($J193="","","Q"&amp;(INT(MOD(MONTH($J193)-マスタ!$B$4+12,12)/3)+1))</f>
        <v/>
      </c>
      <c r="P193" s="21" t="str">
        <f aca="true">IF($L193="","",IF($M193&lt;&gt;"",$M193-$L193,IF(TODAY()&gt;$L193,TODAY()-$L193,0)))</f>
        <v/>
      </c>
      <c r="Q193" s="38"/>
      <c r="R193" s="23" t="str">
        <f aca="false">IF($Q193="","",$Q193*N($F193))</f>
        <v/>
      </c>
      <c r="S193" s="38"/>
      <c r="T193" s="24" t="str">
        <f aca="false">IF($A193="","",SUMIFS(発注・納品!$H$3:$H$202,発注・納品!$B$3:$B$202,$A193))</f>
        <v/>
      </c>
      <c r="U193" s="23" t="str">
        <f aca="false">IF($Q193="","",N($S193)+N($T193))</f>
        <v/>
      </c>
      <c r="V193" s="23" t="str">
        <f aca="false">IF($Q193="","",$Q193-N($U193))</f>
        <v/>
      </c>
      <c r="W193" s="25" t="str">
        <f aca="false">IF(N($Q193)=0,"",$V193/$Q193)</f>
        <v/>
      </c>
      <c r="X193" s="26" t="str">
        <f aca="false">IF($A193="","",COUNTIFS(発注・納品!$B$3:$B$202,$A193))</f>
        <v/>
      </c>
      <c r="Y193" s="26" t="str">
        <f aca="false">IF($A193="","",COUNTIFS(発注・納品!$B$3:$B$202,$A193,発注・納品!$M$3:$M$202,""))</f>
        <v/>
      </c>
      <c r="Z193" s="27" t="str">
        <f aca="false">IF(N($X193)=0,"",IF(_xlfn.MAXIFS(発注・納品!$M$3:$M$202,発注・納品!$B$3:$B$202,$A193)=0,"",_xlfn.MAXIFS(発注・納品!$M$3:$M$202,発注・納品!$B$3:$B$202,$A193)))</f>
        <v/>
      </c>
      <c r="AA193" s="28" t="str">
        <f aca="false">IF($A193="","",IF(N($X193)=0,"機器なし",IF(N($Y193)&gt;0,"入荷待ち",IF(COUNTIFS(発注・納品!$B$3:$B$202,$A193,発注・納品!$N$3:$N$202,"")&gt;0,"受入待ち","受入完了"))))</f>
        <v/>
      </c>
      <c r="AB193" s="26" t="str">
        <f aca="false">IF($A193="","",COUNTIFS(現地作業!$A$3:$A$202,$A193,現地作業!$L$3:$L$202,"予定"))</f>
        <v/>
      </c>
      <c r="AC193" s="26" t="str">
        <f aca="false">IF($A193="","",COUNTIFS(現地作業!$A$3:$A$202,$A193,現地作業!$L$3:$L$202,"完了"))</f>
        <v/>
      </c>
      <c r="AD193" s="27" t="str">
        <f aca="true">IF(N($AB193)=0,"",IF(_xlfn.MINIFS(現地作業!$C$3:$C$202,現地作業!$A$3:$A$202,$A193,現地作業!$L$3:$L$202,"予定",現地作業!$C$3:$C$202,"&gt;="&amp;TODAY())=0,"",_xlfn.MINIFS(現地作業!$C$3:$C$202,現地作業!$A$3:$A$202,$A193,現地作業!$L$3:$L$202,"予定",現地作業!$C$3:$C$202,"&gt;="&amp;TODAY())))</f>
        <v/>
      </c>
      <c r="AE193" s="39"/>
      <c r="AF193" s="30" t="str">
        <f aca="false">IF($A193="","",SUM(月次工数計画!$G$198:$AD$198))</f>
        <v/>
      </c>
      <c r="AG193" s="30" t="str">
        <f aca="false">IF($A193="","",SUMIFS(工数明細!$G$3:$G$302,工数明細!$B$3:$B$302,$A193))</f>
        <v/>
      </c>
      <c r="AH193" s="31" t="str">
        <f aca="false">IF($AE193="","",$AE193-N($AG193))</f>
        <v/>
      </c>
      <c r="AI193" s="25" t="str">
        <f aca="false">IF(N($AE193)=0,"",$AG193/$AE193)</f>
        <v/>
      </c>
      <c r="AJ193" s="20" t="str">
        <f aca="false">IF(N($AE193)=0,"",IF($AG193&gt;$AE193,"超過",IF($AG193&gt;=$AE193*0.9,"注意","適正")))</f>
        <v/>
      </c>
      <c r="AK193" s="34"/>
    </row>
    <row r="194" customFormat="false" ht="18" hidden="false" customHeight="true" outlineLevel="0" collapsed="false">
      <c r="A194" s="33"/>
      <c r="B194" s="34"/>
      <c r="C194" s="34"/>
      <c r="D194" s="34"/>
      <c r="E194" s="34"/>
      <c r="F194" s="35"/>
      <c r="G194" s="34"/>
      <c r="H194" s="34"/>
      <c r="I194" s="36"/>
      <c r="J194" s="37"/>
      <c r="K194" s="37"/>
      <c r="L194" s="37"/>
      <c r="M194" s="37"/>
      <c r="N194" s="19" t="str">
        <f aca="false">IF($J194="","",YEAR($J194)-IF(MONTH($J194)&lt;マスタ!$B$4,1,0))</f>
        <v/>
      </c>
      <c r="O194" s="20" t="str">
        <f aca="false">IF($J194="","","Q"&amp;(INT(MOD(MONTH($J194)-マスタ!$B$4+12,12)/3)+1))</f>
        <v/>
      </c>
      <c r="P194" s="21" t="str">
        <f aca="true">IF($L194="","",IF($M194&lt;&gt;"",$M194-$L194,IF(TODAY()&gt;$L194,TODAY()-$L194,0)))</f>
        <v/>
      </c>
      <c r="Q194" s="38"/>
      <c r="R194" s="23" t="str">
        <f aca="false">IF($Q194="","",$Q194*N($F194))</f>
        <v/>
      </c>
      <c r="S194" s="38"/>
      <c r="T194" s="24" t="str">
        <f aca="false">IF($A194="","",SUMIFS(発注・納品!$H$3:$H$202,発注・納品!$B$3:$B$202,$A194))</f>
        <v/>
      </c>
      <c r="U194" s="23" t="str">
        <f aca="false">IF($Q194="","",N($S194)+N($T194))</f>
        <v/>
      </c>
      <c r="V194" s="23" t="str">
        <f aca="false">IF($Q194="","",$Q194-N($U194))</f>
        <v/>
      </c>
      <c r="W194" s="25" t="str">
        <f aca="false">IF(N($Q194)=0,"",$V194/$Q194)</f>
        <v/>
      </c>
      <c r="X194" s="26" t="str">
        <f aca="false">IF($A194="","",COUNTIFS(発注・納品!$B$3:$B$202,$A194))</f>
        <v/>
      </c>
      <c r="Y194" s="26" t="str">
        <f aca="false">IF($A194="","",COUNTIFS(発注・納品!$B$3:$B$202,$A194,発注・納品!$M$3:$M$202,""))</f>
        <v/>
      </c>
      <c r="Z194" s="27" t="str">
        <f aca="false">IF(N($X194)=0,"",IF(_xlfn.MAXIFS(発注・納品!$M$3:$M$202,発注・納品!$B$3:$B$202,$A194)=0,"",_xlfn.MAXIFS(発注・納品!$M$3:$M$202,発注・納品!$B$3:$B$202,$A194)))</f>
        <v/>
      </c>
      <c r="AA194" s="28" t="str">
        <f aca="false">IF($A194="","",IF(N($X194)=0,"機器なし",IF(N($Y194)&gt;0,"入荷待ち",IF(COUNTIFS(発注・納品!$B$3:$B$202,$A194,発注・納品!$N$3:$N$202,"")&gt;0,"受入待ち","受入完了"))))</f>
        <v/>
      </c>
      <c r="AB194" s="26" t="str">
        <f aca="false">IF($A194="","",COUNTIFS(現地作業!$A$3:$A$202,$A194,現地作業!$L$3:$L$202,"予定"))</f>
        <v/>
      </c>
      <c r="AC194" s="26" t="str">
        <f aca="false">IF($A194="","",COUNTIFS(現地作業!$A$3:$A$202,$A194,現地作業!$L$3:$L$202,"完了"))</f>
        <v/>
      </c>
      <c r="AD194" s="27" t="str">
        <f aca="true">IF(N($AB194)=0,"",IF(_xlfn.MINIFS(現地作業!$C$3:$C$202,現地作業!$A$3:$A$202,$A194,現地作業!$L$3:$L$202,"予定",現地作業!$C$3:$C$202,"&gt;="&amp;TODAY())=0,"",_xlfn.MINIFS(現地作業!$C$3:$C$202,現地作業!$A$3:$A$202,$A194,現地作業!$L$3:$L$202,"予定",現地作業!$C$3:$C$202,"&gt;="&amp;TODAY())))</f>
        <v/>
      </c>
      <c r="AE194" s="39"/>
      <c r="AF194" s="30" t="str">
        <f aca="false">IF($A194="","",SUM(月次工数計画!$G$199:$AD$199))</f>
        <v/>
      </c>
      <c r="AG194" s="30" t="str">
        <f aca="false">IF($A194="","",SUMIFS(工数明細!$G$3:$G$302,工数明細!$B$3:$B$302,$A194))</f>
        <v/>
      </c>
      <c r="AH194" s="31" t="str">
        <f aca="false">IF($AE194="","",$AE194-N($AG194))</f>
        <v/>
      </c>
      <c r="AI194" s="25" t="str">
        <f aca="false">IF(N($AE194)=0,"",$AG194/$AE194)</f>
        <v/>
      </c>
      <c r="AJ194" s="20" t="str">
        <f aca="false">IF(N($AE194)=0,"",IF($AG194&gt;$AE194,"超過",IF($AG194&gt;=$AE194*0.9,"注意","適正")))</f>
        <v/>
      </c>
      <c r="AK194" s="34"/>
    </row>
    <row r="195" customFormat="false" ht="18" hidden="false" customHeight="true" outlineLevel="0" collapsed="false">
      <c r="A195" s="33"/>
      <c r="B195" s="34"/>
      <c r="C195" s="34"/>
      <c r="D195" s="34"/>
      <c r="E195" s="34"/>
      <c r="F195" s="35"/>
      <c r="G195" s="34"/>
      <c r="H195" s="34"/>
      <c r="I195" s="36"/>
      <c r="J195" s="37"/>
      <c r="K195" s="37"/>
      <c r="L195" s="37"/>
      <c r="M195" s="37"/>
      <c r="N195" s="19" t="str">
        <f aca="false">IF($J195="","",YEAR($J195)-IF(MONTH($J195)&lt;マスタ!$B$4,1,0))</f>
        <v/>
      </c>
      <c r="O195" s="20" t="str">
        <f aca="false">IF($J195="","","Q"&amp;(INT(MOD(MONTH($J195)-マスタ!$B$4+12,12)/3)+1))</f>
        <v/>
      </c>
      <c r="P195" s="21" t="str">
        <f aca="true">IF($L195="","",IF($M195&lt;&gt;"",$M195-$L195,IF(TODAY()&gt;$L195,TODAY()-$L195,0)))</f>
        <v/>
      </c>
      <c r="Q195" s="38"/>
      <c r="R195" s="23" t="str">
        <f aca="false">IF($Q195="","",$Q195*N($F195))</f>
        <v/>
      </c>
      <c r="S195" s="38"/>
      <c r="T195" s="24" t="str">
        <f aca="false">IF($A195="","",SUMIFS(発注・納品!$H$3:$H$202,発注・納品!$B$3:$B$202,$A195))</f>
        <v/>
      </c>
      <c r="U195" s="23" t="str">
        <f aca="false">IF($Q195="","",N($S195)+N($T195))</f>
        <v/>
      </c>
      <c r="V195" s="23" t="str">
        <f aca="false">IF($Q195="","",$Q195-N($U195))</f>
        <v/>
      </c>
      <c r="W195" s="25" t="str">
        <f aca="false">IF(N($Q195)=0,"",$V195/$Q195)</f>
        <v/>
      </c>
      <c r="X195" s="26" t="str">
        <f aca="false">IF($A195="","",COUNTIFS(発注・納品!$B$3:$B$202,$A195))</f>
        <v/>
      </c>
      <c r="Y195" s="26" t="str">
        <f aca="false">IF($A195="","",COUNTIFS(発注・納品!$B$3:$B$202,$A195,発注・納品!$M$3:$M$202,""))</f>
        <v/>
      </c>
      <c r="Z195" s="27" t="str">
        <f aca="false">IF(N($X195)=0,"",IF(_xlfn.MAXIFS(発注・納品!$M$3:$M$202,発注・納品!$B$3:$B$202,$A195)=0,"",_xlfn.MAXIFS(発注・納品!$M$3:$M$202,発注・納品!$B$3:$B$202,$A195)))</f>
        <v/>
      </c>
      <c r="AA195" s="28" t="str">
        <f aca="false">IF($A195="","",IF(N($X195)=0,"機器なし",IF(N($Y195)&gt;0,"入荷待ち",IF(COUNTIFS(発注・納品!$B$3:$B$202,$A195,発注・納品!$N$3:$N$202,"")&gt;0,"受入待ち","受入完了"))))</f>
        <v/>
      </c>
      <c r="AB195" s="26" t="str">
        <f aca="false">IF($A195="","",COUNTIFS(現地作業!$A$3:$A$202,$A195,現地作業!$L$3:$L$202,"予定"))</f>
        <v/>
      </c>
      <c r="AC195" s="26" t="str">
        <f aca="false">IF($A195="","",COUNTIFS(現地作業!$A$3:$A$202,$A195,現地作業!$L$3:$L$202,"完了"))</f>
        <v/>
      </c>
      <c r="AD195" s="27" t="str">
        <f aca="true">IF(N($AB195)=0,"",IF(_xlfn.MINIFS(現地作業!$C$3:$C$202,現地作業!$A$3:$A$202,$A195,現地作業!$L$3:$L$202,"予定",現地作業!$C$3:$C$202,"&gt;="&amp;TODAY())=0,"",_xlfn.MINIFS(現地作業!$C$3:$C$202,現地作業!$A$3:$A$202,$A195,現地作業!$L$3:$L$202,"予定",現地作業!$C$3:$C$202,"&gt;="&amp;TODAY())))</f>
        <v/>
      </c>
      <c r="AE195" s="39"/>
      <c r="AF195" s="30" t="str">
        <f aca="false">IF($A195="","",SUM(月次工数計画!$G$200:$AD$200))</f>
        <v/>
      </c>
      <c r="AG195" s="30" t="str">
        <f aca="false">IF($A195="","",SUMIFS(工数明細!$G$3:$G$302,工数明細!$B$3:$B$302,$A195))</f>
        <v/>
      </c>
      <c r="AH195" s="31" t="str">
        <f aca="false">IF($AE195="","",$AE195-N($AG195))</f>
        <v/>
      </c>
      <c r="AI195" s="25" t="str">
        <f aca="false">IF(N($AE195)=0,"",$AG195/$AE195)</f>
        <v/>
      </c>
      <c r="AJ195" s="20" t="str">
        <f aca="false">IF(N($AE195)=0,"",IF($AG195&gt;$AE195,"超過",IF($AG195&gt;=$AE195*0.9,"注意","適正")))</f>
        <v/>
      </c>
      <c r="AK195" s="34"/>
    </row>
    <row r="196" customFormat="false" ht="18" hidden="false" customHeight="true" outlineLevel="0" collapsed="false">
      <c r="A196" s="33"/>
      <c r="B196" s="34"/>
      <c r="C196" s="34"/>
      <c r="D196" s="34"/>
      <c r="E196" s="34"/>
      <c r="F196" s="35"/>
      <c r="G196" s="34"/>
      <c r="H196" s="34"/>
      <c r="I196" s="36"/>
      <c r="J196" s="37"/>
      <c r="K196" s="37"/>
      <c r="L196" s="37"/>
      <c r="M196" s="37"/>
      <c r="N196" s="19" t="str">
        <f aca="false">IF($J196="","",YEAR($J196)-IF(MONTH($J196)&lt;マスタ!$B$4,1,0))</f>
        <v/>
      </c>
      <c r="O196" s="20" t="str">
        <f aca="false">IF($J196="","","Q"&amp;(INT(MOD(MONTH($J196)-マスタ!$B$4+12,12)/3)+1))</f>
        <v/>
      </c>
      <c r="P196" s="21" t="str">
        <f aca="true">IF($L196="","",IF($M196&lt;&gt;"",$M196-$L196,IF(TODAY()&gt;$L196,TODAY()-$L196,0)))</f>
        <v/>
      </c>
      <c r="Q196" s="38"/>
      <c r="R196" s="23" t="str">
        <f aca="false">IF($Q196="","",$Q196*N($F196))</f>
        <v/>
      </c>
      <c r="S196" s="38"/>
      <c r="T196" s="24" t="str">
        <f aca="false">IF($A196="","",SUMIFS(発注・納品!$H$3:$H$202,発注・納品!$B$3:$B$202,$A196))</f>
        <v/>
      </c>
      <c r="U196" s="23" t="str">
        <f aca="false">IF($Q196="","",N($S196)+N($T196))</f>
        <v/>
      </c>
      <c r="V196" s="23" t="str">
        <f aca="false">IF($Q196="","",$Q196-N($U196))</f>
        <v/>
      </c>
      <c r="W196" s="25" t="str">
        <f aca="false">IF(N($Q196)=0,"",$V196/$Q196)</f>
        <v/>
      </c>
      <c r="X196" s="26" t="str">
        <f aca="false">IF($A196="","",COUNTIFS(発注・納品!$B$3:$B$202,$A196))</f>
        <v/>
      </c>
      <c r="Y196" s="26" t="str">
        <f aca="false">IF($A196="","",COUNTIFS(発注・納品!$B$3:$B$202,$A196,発注・納品!$M$3:$M$202,""))</f>
        <v/>
      </c>
      <c r="Z196" s="27" t="str">
        <f aca="false">IF(N($X196)=0,"",IF(_xlfn.MAXIFS(発注・納品!$M$3:$M$202,発注・納品!$B$3:$B$202,$A196)=0,"",_xlfn.MAXIFS(発注・納品!$M$3:$M$202,発注・納品!$B$3:$B$202,$A196)))</f>
        <v/>
      </c>
      <c r="AA196" s="28" t="str">
        <f aca="false">IF($A196="","",IF(N($X196)=0,"機器なし",IF(N($Y196)&gt;0,"入荷待ち",IF(COUNTIFS(発注・納品!$B$3:$B$202,$A196,発注・納品!$N$3:$N$202,"")&gt;0,"受入待ち","受入完了"))))</f>
        <v/>
      </c>
      <c r="AB196" s="26" t="str">
        <f aca="false">IF($A196="","",COUNTIFS(現地作業!$A$3:$A$202,$A196,現地作業!$L$3:$L$202,"予定"))</f>
        <v/>
      </c>
      <c r="AC196" s="26" t="str">
        <f aca="false">IF($A196="","",COUNTIFS(現地作業!$A$3:$A$202,$A196,現地作業!$L$3:$L$202,"完了"))</f>
        <v/>
      </c>
      <c r="AD196" s="27" t="str">
        <f aca="true">IF(N($AB196)=0,"",IF(_xlfn.MINIFS(現地作業!$C$3:$C$202,現地作業!$A$3:$A$202,$A196,現地作業!$L$3:$L$202,"予定",現地作業!$C$3:$C$202,"&gt;="&amp;TODAY())=0,"",_xlfn.MINIFS(現地作業!$C$3:$C$202,現地作業!$A$3:$A$202,$A196,現地作業!$L$3:$L$202,"予定",現地作業!$C$3:$C$202,"&gt;="&amp;TODAY())))</f>
        <v/>
      </c>
      <c r="AE196" s="39"/>
      <c r="AF196" s="30" t="str">
        <f aca="false">IF($A196="","",SUM(月次工数計画!$G$201:$AD$201))</f>
        <v/>
      </c>
      <c r="AG196" s="30" t="str">
        <f aca="false">IF($A196="","",SUMIFS(工数明細!$G$3:$G$302,工数明細!$B$3:$B$302,$A196))</f>
        <v/>
      </c>
      <c r="AH196" s="31" t="str">
        <f aca="false">IF($AE196="","",$AE196-N($AG196))</f>
        <v/>
      </c>
      <c r="AI196" s="25" t="str">
        <f aca="false">IF(N($AE196)=0,"",$AG196/$AE196)</f>
        <v/>
      </c>
      <c r="AJ196" s="20" t="str">
        <f aca="false">IF(N($AE196)=0,"",IF($AG196&gt;$AE196,"超過",IF($AG196&gt;=$AE196*0.9,"注意","適正")))</f>
        <v/>
      </c>
      <c r="AK196" s="34"/>
    </row>
    <row r="197" customFormat="false" ht="18" hidden="false" customHeight="true" outlineLevel="0" collapsed="false">
      <c r="A197" s="33"/>
      <c r="B197" s="34"/>
      <c r="C197" s="34"/>
      <c r="D197" s="34"/>
      <c r="E197" s="34"/>
      <c r="F197" s="35"/>
      <c r="G197" s="34"/>
      <c r="H197" s="34"/>
      <c r="I197" s="36"/>
      <c r="J197" s="37"/>
      <c r="K197" s="37"/>
      <c r="L197" s="37"/>
      <c r="M197" s="37"/>
      <c r="N197" s="19" t="str">
        <f aca="false">IF($J197="","",YEAR($J197)-IF(MONTH($J197)&lt;マスタ!$B$4,1,0))</f>
        <v/>
      </c>
      <c r="O197" s="20" t="str">
        <f aca="false">IF($J197="","","Q"&amp;(INT(MOD(MONTH($J197)-マスタ!$B$4+12,12)/3)+1))</f>
        <v/>
      </c>
      <c r="P197" s="21" t="str">
        <f aca="true">IF($L197="","",IF($M197&lt;&gt;"",$M197-$L197,IF(TODAY()&gt;$L197,TODAY()-$L197,0)))</f>
        <v/>
      </c>
      <c r="Q197" s="38"/>
      <c r="R197" s="23" t="str">
        <f aca="false">IF($Q197="","",$Q197*N($F197))</f>
        <v/>
      </c>
      <c r="S197" s="38"/>
      <c r="T197" s="24" t="str">
        <f aca="false">IF($A197="","",SUMIFS(発注・納品!$H$3:$H$202,発注・納品!$B$3:$B$202,$A197))</f>
        <v/>
      </c>
      <c r="U197" s="23" t="str">
        <f aca="false">IF($Q197="","",N($S197)+N($T197))</f>
        <v/>
      </c>
      <c r="V197" s="23" t="str">
        <f aca="false">IF($Q197="","",$Q197-N($U197))</f>
        <v/>
      </c>
      <c r="W197" s="25" t="str">
        <f aca="false">IF(N($Q197)=0,"",$V197/$Q197)</f>
        <v/>
      </c>
      <c r="X197" s="26" t="str">
        <f aca="false">IF($A197="","",COUNTIFS(発注・納品!$B$3:$B$202,$A197))</f>
        <v/>
      </c>
      <c r="Y197" s="26" t="str">
        <f aca="false">IF($A197="","",COUNTIFS(発注・納品!$B$3:$B$202,$A197,発注・納品!$M$3:$M$202,""))</f>
        <v/>
      </c>
      <c r="Z197" s="27" t="str">
        <f aca="false">IF(N($X197)=0,"",IF(_xlfn.MAXIFS(発注・納品!$M$3:$M$202,発注・納品!$B$3:$B$202,$A197)=0,"",_xlfn.MAXIFS(発注・納品!$M$3:$M$202,発注・納品!$B$3:$B$202,$A197)))</f>
        <v/>
      </c>
      <c r="AA197" s="28" t="str">
        <f aca="false">IF($A197="","",IF(N($X197)=0,"機器なし",IF(N($Y197)&gt;0,"入荷待ち",IF(COUNTIFS(発注・納品!$B$3:$B$202,$A197,発注・納品!$N$3:$N$202,"")&gt;0,"受入待ち","受入完了"))))</f>
        <v/>
      </c>
      <c r="AB197" s="26" t="str">
        <f aca="false">IF($A197="","",COUNTIFS(現地作業!$A$3:$A$202,$A197,現地作業!$L$3:$L$202,"予定"))</f>
        <v/>
      </c>
      <c r="AC197" s="26" t="str">
        <f aca="false">IF($A197="","",COUNTIFS(現地作業!$A$3:$A$202,$A197,現地作業!$L$3:$L$202,"完了"))</f>
        <v/>
      </c>
      <c r="AD197" s="27" t="str">
        <f aca="true">IF(N($AB197)=0,"",IF(_xlfn.MINIFS(現地作業!$C$3:$C$202,現地作業!$A$3:$A$202,$A197,現地作業!$L$3:$L$202,"予定",現地作業!$C$3:$C$202,"&gt;="&amp;TODAY())=0,"",_xlfn.MINIFS(現地作業!$C$3:$C$202,現地作業!$A$3:$A$202,$A197,現地作業!$L$3:$L$202,"予定",現地作業!$C$3:$C$202,"&gt;="&amp;TODAY())))</f>
        <v/>
      </c>
      <c r="AE197" s="39"/>
      <c r="AF197" s="30" t="str">
        <f aca="false">IF($A197="","",SUM(月次工数計画!$G$202:$AD$202))</f>
        <v/>
      </c>
      <c r="AG197" s="30" t="str">
        <f aca="false">IF($A197="","",SUMIFS(工数明細!$G$3:$G$302,工数明細!$B$3:$B$302,$A197))</f>
        <v/>
      </c>
      <c r="AH197" s="31" t="str">
        <f aca="false">IF($AE197="","",$AE197-N($AG197))</f>
        <v/>
      </c>
      <c r="AI197" s="25" t="str">
        <f aca="false">IF(N($AE197)=0,"",$AG197/$AE197)</f>
        <v/>
      </c>
      <c r="AJ197" s="20" t="str">
        <f aca="false">IF(N($AE197)=0,"",IF($AG197&gt;$AE197,"超過",IF($AG197&gt;=$AE197*0.9,"注意","適正")))</f>
        <v/>
      </c>
      <c r="AK197" s="34"/>
    </row>
    <row r="198" customFormat="false" ht="18" hidden="false" customHeight="true" outlineLevel="0" collapsed="false">
      <c r="A198" s="33"/>
      <c r="B198" s="34"/>
      <c r="C198" s="34"/>
      <c r="D198" s="34"/>
      <c r="E198" s="34"/>
      <c r="F198" s="35"/>
      <c r="G198" s="34"/>
      <c r="H198" s="34"/>
      <c r="I198" s="36"/>
      <c r="J198" s="37"/>
      <c r="K198" s="37"/>
      <c r="L198" s="37"/>
      <c r="M198" s="37"/>
      <c r="N198" s="19" t="str">
        <f aca="false">IF($J198="","",YEAR($J198)-IF(MONTH($J198)&lt;マスタ!$B$4,1,0))</f>
        <v/>
      </c>
      <c r="O198" s="20" t="str">
        <f aca="false">IF($J198="","","Q"&amp;(INT(MOD(MONTH($J198)-マスタ!$B$4+12,12)/3)+1))</f>
        <v/>
      </c>
      <c r="P198" s="21" t="str">
        <f aca="true">IF($L198="","",IF($M198&lt;&gt;"",$M198-$L198,IF(TODAY()&gt;$L198,TODAY()-$L198,0)))</f>
        <v/>
      </c>
      <c r="Q198" s="38"/>
      <c r="R198" s="23" t="str">
        <f aca="false">IF($Q198="","",$Q198*N($F198))</f>
        <v/>
      </c>
      <c r="S198" s="38"/>
      <c r="T198" s="24" t="str">
        <f aca="false">IF($A198="","",SUMIFS(発注・納品!$H$3:$H$202,発注・納品!$B$3:$B$202,$A198))</f>
        <v/>
      </c>
      <c r="U198" s="23" t="str">
        <f aca="false">IF($Q198="","",N($S198)+N($T198))</f>
        <v/>
      </c>
      <c r="V198" s="23" t="str">
        <f aca="false">IF($Q198="","",$Q198-N($U198))</f>
        <v/>
      </c>
      <c r="W198" s="25" t="str">
        <f aca="false">IF(N($Q198)=0,"",$V198/$Q198)</f>
        <v/>
      </c>
      <c r="X198" s="26" t="str">
        <f aca="false">IF($A198="","",COUNTIFS(発注・納品!$B$3:$B$202,$A198))</f>
        <v/>
      </c>
      <c r="Y198" s="26" t="str">
        <f aca="false">IF($A198="","",COUNTIFS(発注・納品!$B$3:$B$202,$A198,発注・納品!$M$3:$M$202,""))</f>
        <v/>
      </c>
      <c r="Z198" s="27" t="str">
        <f aca="false">IF(N($X198)=0,"",IF(_xlfn.MAXIFS(発注・納品!$M$3:$M$202,発注・納品!$B$3:$B$202,$A198)=0,"",_xlfn.MAXIFS(発注・納品!$M$3:$M$202,発注・納品!$B$3:$B$202,$A198)))</f>
        <v/>
      </c>
      <c r="AA198" s="28" t="str">
        <f aca="false">IF($A198="","",IF(N($X198)=0,"機器なし",IF(N($Y198)&gt;0,"入荷待ち",IF(COUNTIFS(発注・納品!$B$3:$B$202,$A198,発注・納品!$N$3:$N$202,"")&gt;0,"受入待ち","受入完了"))))</f>
        <v/>
      </c>
      <c r="AB198" s="26" t="str">
        <f aca="false">IF($A198="","",COUNTIFS(現地作業!$A$3:$A$202,$A198,現地作業!$L$3:$L$202,"予定"))</f>
        <v/>
      </c>
      <c r="AC198" s="26" t="str">
        <f aca="false">IF($A198="","",COUNTIFS(現地作業!$A$3:$A$202,$A198,現地作業!$L$3:$L$202,"完了"))</f>
        <v/>
      </c>
      <c r="AD198" s="27" t="str">
        <f aca="true">IF(N($AB198)=0,"",IF(_xlfn.MINIFS(現地作業!$C$3:$C$202,現地作業!$A$3:$A$202,$A198,現地作業!$L$3:$L$202,"予定",現地作業!$C$3:$C$202,"&gt;="&amp;TODAY())=0,"",_xlfn.MINIFS(現地作業!$C$3:$C$202,現地作業!$A$3:$A$202,$A198,現地作業!$L$3:$L$202,"予定",現地作業!$C$3:$C$202,"&gt;="&amp;TODAY())))</f>
        <v/>
      </c>
      <c r="AE198" s="39"/>
      <c r="AF198" s="30" t="str">
        <f aca="false">IF($A198="","",SUM(月次工数計画!$G$203:$AD$203))</f>
        <v/>
      </c>
      <c r="AG198" s="30" t="str">
        <f aca="false">IF($A198="","",SUMIFS(工数明細!$G$3:$G$302,工数明細!$B$3:$B$302,$A198))</f>
        <v/>
      </c>
      <c r="AH198" s="31" t="str">
        <f aca="false">IF($AE198="","",$AE198-N($AG198))</f>
        <v/>
      </c>
      <c r="AI198" s="25" t="str">
        <f aca="false">IF(N($AE198)=0,"",$AG198/$AE198)</f>
        <v/>
      </c>
      <c r="AJ198" s="20" t="str">
        <f aca="false">IF(N($AE198)=0,"",IF($AG198&gt;$AE198,"超過",IF($AG198&gt;=$AE198*0.9,"注意","適正")))</f>
        <v/>
      </c>
      <c r="AK198" s="34"/>
    </row>
    <row r="199" customFormat="false" ht="18" hidden="false" customHeight="true" outlineLevel="0" collapsed="false">
      <c r="A199" s="33"/>
      <c r="B199" s="34"/>
      <c r="C199" s="34"/>
      <c r="D199" s="34"/>
      <c r="E199" s="34"/>
      <c r="F199" s="35"/>
      <c r="G199" s="34"/>
      <c r="H199" s="34"/>
      <c r="I199" s="36"/>
      <c r="J199" s="37"/>
      <c r="K199" s="37"/>
      <c r="L199" s="37"/>
      <c r="M199" s="37"/>
      <c r="N199" s="19" t="str">
        <f aca="false">IF($J199="","",YEAR($J199)-IF(MONTH($J199)&lt;マスタ!$B$4,1,0))</f>
        <v/>
      </c>
      <c r="O199" s="20" t="str">
        <f aca="false">IF($J199="","","Q"&amp;(INT(MOD(MONTH($J199)-マスタ!$B$4+12,12)/3)+1))</f>
        <v/>
      </c>
      <c r="P199" s="21" t="str">
        <f aca="true">IF($L199="","",IF($M199&lt;&gt;"",$M199-$L199,IF(TODAY()&gt;$L199,TODAY()-$L199,0)))</f>
        <v/>
      </c>
      <c r="Q199" s="38"/>
      <c r="R199" s="23" t="str">
        <f aca="false">IF($Q199="","",$Q199*N($F199))</f>
        <v/>
      </c>
      <c r="S199" s="38"/>
      <c r="T199" s="24" t="str">
        <f aca="false">IF($A199="","",SUMIFS(発注・納品!$H$3:$H$202,発注・納品!$B$3:$B$202,$A199))</f>
        <v/>
      </c>
      <c r="U199" s="23" t="str">
        <f aca="false">IF($Q199="","",N($S199)+N($T199))</f>
        <v/>
      </c>
      <c r="V199" s="23" t="str">
        <f aca="false">IF($Q199="","",$Q199-N($U199))</f>
        <v/>
      </c>
      <c r="W199" s="25" t="str">
        <f aca="false">IF(N($Q199)=0,"",$V199/$Q199)</f>
        <v/>
      </c>
      <c r="X199" s="26" t="str">
        <f aca="false">IF($A199="","",COUNTIFS(発注・納品!$B$3:$B$202,$A199))</f>
        <v/>
      </c>
      <c r="Y199" s="26" t="str">
        <f aca="false">IF($A199="","",COUNTIFS(発注・納品!$B$3:$B$202,$A199,発注・納品!$M$3:$M$202,""))</f>
        <v/>
      </c>
      <c r="Z199" s="27" t="str">
        <f aca="false">IF(N($X199)=0,"",IF(_xlfn.MAXIFS(発注・納品!$M$3:$M$202,発注・納品!$B$3:$B$202,$A199)=0,"",_xlfn.MAXIFS(発注・納品!$M$3:$M$202,発注・納品!$B$3:$B$202,$A199)))</f>
        <v/>
      </c>
      <c r="AA199" s="28" t="str">
        <f aca="false">IF($A199="","",IF(N($X199)=0,"機器なし",IF(N($Y199)&gt;0,"入荷待ち",IF(COUNTIFS(発注・納品!$B$3:$B$202,$A199,発注・納品!$N$3:$N$202,"")&gt;0,"受入待ち","受入完了"))))</f>
        <v/>
      </c>
      <c r="AB199" s="26" t="str">
        <f aca="false">IF($A199="","",COUNTIFS(現地作業!$A$3:$A$202,$A199,現地作業!$L$3:$L$202,"予定"))</f>
        <v/>
      </c>
      <c r="AC199" s="26" t="str">
        <f aca="false">IF($A199="","",COUNTIFS(現地作業!$A$3:$A$202,$A199,現地作業!$L$3:$L$202,"完了"))</f>
        <v/>
      </c>
      <c r="AD199" s="27" t="str">
        <f aca="true">IF(N($AB199)=0,"",IF(_xlfn.MINIFS(現地作業!$C$3:$C$202,現地作業!$A$3:$A$202,$A199,現地作業!$L$3:$L$202,"予定",現地作業!$C$3:$C$202,"&gt;="&amp;TODAY())=0,"",_xlfn.MINIFS(現地作業!$C$3:$C$202,現地作業!$A$3:$A$202,$A199,現地作業!$L$3:$L$202,"予定",現地作業!$C$3:$C$202,"&gt;="&amp;TODAY())))</f>
        <v/>
      </c>
      <c r="AE199" s="39"/>
      <c r="AF199" s="30" t="str">
        <f aca="false">IF($A199="","",SUM(月次工数計画!$G$204:$AD$204))</f>
        <v/>
      </c>
      <c r="AG199" s="30" t="str">
        <f aca="false">IF($A199="","",SUMIFS(工数明細!$G$3:$G$302,工数明細!$B$3:$B$302,$A199))</f>
        <v/>
      </c>
      <c r="AH199" s="31" t="str">
        <f aca="false">IF($AE199="","",$AE199-N($AG199))</f>
        <v/>
      </c>
      <c r="AI199" s="25" t="str">
        <f aca="false">IF(N($AE199)=0,"",$AG199/$AE199)</f>
        <v/>
      </c>
      <c r="AJ199" s="20" t="str">
        <f aca="false">IF(N($AE199)=0,"",IF($AG199&gt;$AE199,"超過",IF($AG199&gt;=$AE199*0.9,"注意","適正")))</f>
        <v/>
      </c>
      <c r="AK199" s="34"/>
    </row>
    <row r="200" customFormat="false" ht="18" hidden="false" customHeight="true" outlineLevel="0" collapsed="false">
      <c r="A200" s="33"/>
      <c r="B200" s="34"/>
      <c r="C200" s="34"/>
      <c r="D200" s="34"/>
      <c r="E200" s="34"/>
      <c r="F200" s="35"/>
      <c r="G200" s="34"/>
      <c r="H200" s="34"/>
      <c r="I200" s="36"/>
      <c r="J200" s="37"/>
      <c r="K200" s="37"/>
      <c r="L200" s="37"/>
      <c r="M200" s="37"/>
      <c r="N200" s="19" t="str">
        <f aca="false">IF($J200="","",YEAR($J200)-IF(MONTH($J200)&lt;マスタ!$B$4,1,0))</f>
        <v/>
      </c>
      <c r="O200" s="20" t="str">
        <f aca="false">IF($J200="","","Q"&amp;(INT(MOD(MONTH($J200)-マスタ!$B$4+12,12)/3)+1))</f>
        <v/>
      </c>
      <c r="P200" s="21" t="str">
        <f aca="true">IF($L200="","",IF($M200&lt;&gt;"",$M200-$L200,IF(TODAY()&gt;$L200,TODAY()-$L200,0)))</f>
        <v/>
      </c>
      <c r="Q200" s="38"/>
      <c r="R200" s="23" t="str">
        <f aca="false">IF($Q200="","",$Q200*N($F200))</f>
        <v/>
      </c>
      <c r="S200" s="38"/>
      <c r="T200" s="24" t="str">
        <f aca="false">IF($A200="","",SUMIFS(発注・納品!$H$3:$H$202,発注・納品!$B$3:$B$202,$A200))</f>
        <v/>
      </c>
      <c r="U200" s="23" t="str">
        <f aca="false">IF($Q200="","",N($S200)+N($T200))</f>
        <v/>
      </c>
      <c r="V200" s="23" t="str">
        <f aca="false">IF($Q200="","",$Q200-N($U200))</f>
        <v/>
      </c>
      <c r="W200" s="25" t="str">
        <f aca="false">IF(N($Q200)=0,"",$V200/$Q200)</f>
        <v/>
      </c>
      <c r="X200" s="26" t="str">
        <f aca="false">IF($A200="","",COUNTIFS(発注・納品!$B$3:$B$202,$A200))</f>
        <v/>
      </c>
      <c r="Y200" s="26" t="str">
        <f aca="false">IF($A200="","",COUNTIFS(発注・納品!$B$3:$B$202,$A200,発注・納品!$M$3:$M$202,""))</f>
        <v/>
      </c>
      <c r="Z200" s="27" t="str">
        <f aca="false">IF(N($X200)=0,"",IF(_xlfn.MAXIFS(発注・納品!$M$3:$M$202,発注・納品!$B$3:$B$202,$A200)=0,"",_xlfn.MAXIFS(発注・納品!$M$3:$M$202,発注・納品!$B$3:$B$202,$A200)))</f>
        <v/>
      </c>
      <c r="AA200" s="28" t="str">
        <f aca="false">IF($A200="","",IF(N($X200)=0,"機器なし",IF(N($Y200)&gt;0,"入荷待ち",IF(COUNTIFS(発注・納品!$B$3:$B$202,$A200,発注・納品!$N$3:$N$202,"")&gt;0,"受入待ち","受入完了"))))</f>
        <v/>
      </c>
      <c r="AB200" s="26" t="str">
        <f aca="false">IF($A200="","",COUNTIFS(現地作業!$A$3:$A$202,$A200,現地作業!$L$3:$L$202,"予定"))</f>
        <v/>
      </c>
      <c r="AC200" s="26" t="str">
        <f aca="false">IF($A200="","",COUNTIFS(現地作業!$A$3:$A$202,$A200,現地作業!$L$3:$L$202,"完了"))</f>
        <v/>
      </c>
      <c r="AD200" s="27" t="str">
        <f aca="true">IF(N($AB200)=0,"",IF(_xlfn.MINIFS(現地作業!$C$3:$C$202,現地作業!$A$3:$A$202,$A200,現地作業!$L$3:$L$202,"予定",現地作業!$C$3:$C$202,"&gt;="&amp;TODAY())=0,"",_xlfn.MINIFS(現地作業!$C$3:$C$202,現地作業!$A$3:$A$202,$A200,現地作業!$L$3:$L$202,"予定",現地作業!$C$3:$C$202,"&gt;="&amp;TODAY())))</f>
        <v/>
      </c>
      <c r="AE200" s="39"/>
      <c r="AF200" s="30" t="str">
        <f aca="false">IF($A200="","",SUM(月次工数計画!$G$205:$AD$205))</f>
        <v/>
      </c>
      <c r="AG200" s="30" t="str">
        <f aca="false">IF($A200="","",SUMIFS(工数明細!$G$3:$G$302,工数明細!$B$3:$B$302,$A200))</f>
        <v/>
      </c>
      <c r="AH200" s="31" t="str">
        <f aca="false">IF($AE200="","",$AE200-N($AG200))</f>
        <v/>
      </c>
      <c r="AI200" s="25" t="str">
        <f aca="false">IF(N($AE200)=0,"",$AG200/$AE200)</f>
        <v/>
      </c>
      <c r="AJ200" s="20" t="str">
        <f aca="false">IF(N($AE200)=0,"",IF($AG200&gt;$AE200,"超過",IF($AG200&gt;=$AE200*0.9,"注意","適正")))</f>
        <v/>
      </c>
      <c r="AK200" s="34"/>
    </row>
    <row r="201" customFormat="false" ht="18" hidden="false" customHeight="true" outlineLevel="0" collapsed="false">
      <c r="A201" s="33"/>
      <c r="B201" s="34"/>
      <c r="C201" s="34"/>
      <c r="D201" s="34"/>
      <c r="E201" s="34"/>
      <c r="F201" s="35"/>
      <c r="G201" s="34"/>
      <c r="H201" s="34"/>
      <c r="I201" s="36"/>
      <c r="J201" s="37"/>
      <c r="K201" s="37"/>
      <c r="L201" s="37"/>
      <c r="M201" s="37"/>
      <c r="N201" s="19" t="str">
        <f aca="false">IF($J201="","",YEAR($J201)-IF(MONTH($J201)&lt;マスタ!$B$4,1,0))</f>
        <v/>
      </c>
      <c r="O201" s="20" t="str">
        <f aca="false">IF($J201="","","Q"&amp;(INT(MOD(MONTH($J201)-マスタ!$B$4+12,12)/3)+1))</f>
        <v/>
      </c>
      <c r="P201" s="21" t="str">
        <f aca="true">IF($L201="","",IF($M201&lt;&gt;"",$M201-$L201,IF(TODAY()&gt;$L201,TODAY()-$L201,0)))</f>
        <v/>
      </c>
      <c r="Q201" s="38"/>
      <c r="R201" s="23" t="str">
        <f aca="false">IF($Q201="","",$Q201*N($F201))</f>
        <v/>
      </c>
      <c r="S201" s="38"/>
      <c r="T201" s="24" t="str">
        <f aca="false">IF($A201="","",SUMIFS(発注・納品!$H$3:$H$202,発注・納品!$B$3:$B$202,$A201))</f>
        <v/>
      </c>
      <c r="U201" s="23" t="str">
        <f aca="false">IF($Q201="","",N($S201)+N($T201))</f>
        <v/>
      </c>
      <c r="V201" s="23" t="str">
        <f aca="false">IF($Q201="","",$Q201-N($U201))</f>
        <v/>
      </c>
      <c r="W201" s="25" t="str">
        <f aca="false">IF(N($Q201)=0,"",$V201/$Q201)</f>
        <v/>
      </c>
      <c r="X201" s="26" t="str">
        <f aca="false">IF($A201="","",COUNTIFS(発注・納品!$B$3:$B$202,$A201))</f>
        <v/>
      </c>
      <c r="Y201" s="26" t="str">
        <f aca="false">IF($A201="","",COUNTIFS(発注・納品!$B$3:$B$202,$A201,発注・納品!$M$3:$M$202,""))</f>
        <v/>
      </c>
      <c r="Z201" s="27" t="str">
        <f aca="false">IF(N($X201)=0,"",IF(_xlfn.MAXIFS(発注・納品!$M$3:$M$202,発注・納品!$B$3:$B$202,$A201)=0,"",_xlfn.MAXIFS(発注・納品!$M$3:$M$202,発注・納品!$B$3:$B$202,$A201)))</f>
        <v/>
      </c>
      <c r="AA201" s="28" t="str">
        <f aca="false">IF($A201="","",IF(N($X201)=0,"機器なし",IF(N($Y201)&gt;0,"入荷待ち",IF(COUNTIFS(発注・納品!$B$3:$B$202,$A201,発注・納品!$N$3:$N$202,"")&gt;0,"受入待ち","受入完了"))))</f>
        <v/>
      </c>
      <c r="AB201" s="26" t="str">
        <f aca="false">IF($A201="","",COUNTIFS(現地作業!$A$3:$A$202,$A201,現地作業!$L$3:$L$202,"予定"))</f>
        <v/>
      </c>
      <c r="AC201" s="26" t="str">
        <f aca="false">IF($A201="","",COUNTIFS(現地作業!$A$3:$A$202,$A201,現地作業!$L$3:$L$202,"完了"))</f>
        <v/>
      </c>
      <c r="AD201" s="27" t="str">
        <f aca="true">IF(N($AB201)=0,"",IF(_xlfn.MINIFS(現地作業!$C$3:$C$202,現地作業!$A$3:$A$202,$A201,現地作業!$L$3:$L$202,"予定",現地作業!$C$3:$C$202,"&gt;="&amp;TODAY())=0,"",_xlfn.MINIFS(現地作業!$C$3:$C$202,現地作業!$A$3:$A$202,$A201,現地作業!$L$3:$L$202,"予定",現地作業!$C$3:$C$202,"&gt;="&amp;TODAY())))</f>
        <v/>
      </c>
      <c r="AE201" s="39"/>
      <c r="AF201" s="30" t="str">
        <f aca="false">IF($A201="","",SUM(月次工数計画!$G$206:$AD$206))</f>
        <v/>
      </c>
      <c r="AG201" s="30" t="str">
        <f aca="false">IF($A201="","",SUMIFS(工数明細!$G$3:$G$302,工数明細!$B$3:$B$302,$A201))</f>
        <v/>
      </c>
      <c r="AH201" s="31" t="str">
        <f aca="false">IF($AE201="","",$AE201-N($AG201))</f>
        <v/>
      </c>
      <c r="AI201" s="25" t="str">
        <f aca="false">IF(N($AE201)=0,"",$AG201/$AE201)</f>
        <v/>
      </c>
      <c r="AJ201" s="20" t="str">
        <f aca="false">IF(N($AE201)=0,"",IF($AG201&gt;$AE201,"超過",IF($AG201&gt;=$AE201*0.9,"注意","適正")))</f>
        <v/>
      </c>
      <c r="AK201" s="34"/>
    </row>
    <row r="202" customFormat="false" ht="18" hidden="false" customHeight="true" outlineLevel="0" collapsed="false">
      <c r="A202" s="33"/>
      <c r="B202" s="34"/>
      <c r="C202" s="34"/>
      <c r="D202" s="34"/>
      <c r="E202" s="34"/>
      <c r="F202" s="35"/>
      <c r="G202" s="34"/>
      <c r="H202" s="34"/>
      <c r="I202" s="36"/>
      <c r="J202" s="37"/>
      <c r="K202" s="37"/>
      <c r="L202" s="37"/>
      <c r="M202" s="37"/>
      <c r="N202" s="19" t="str">
        <f aca="false">IF($J202="","",YEAR($J202)-IF(MONTH($J202)&lt;マスタ!$B$4,1,0))</f>
        <v/>
      </c>
      <c r="O202" s="20" t="str">
        <f aca="false">IF($J202="","","Q"&amp;(INT(MOD(MONTH($J202)-マスタ!$B$4+12,12)/3)+1))</f>
        <v/>
      </c>
      <c r="P202" s="21" t="str">
        <f aca="true">IF($L202="","",IF($M202&lt;&gt;"",$M202-$L202,IF(TODAY()&gt;$L202,TODAY()-$L202,0)))</f>
        <v/>
      </c>
      <c r="Q202" s="38"/>
      <c r="R202" s="23" t="str">
        <f aca="false">IF($Q202="","",$Q202*N($F202))</f>
        <v/>
      </c>
      <c r="S202" s="38"/>
      <c r="T202" s="24" t="str">
        <f aca="false">IF($A202="","",SUMIFS(発注・納品!$H$3:$H$202,発注・納品!$B$3:$B$202,$A202))</f>
        <v/>
      </c>
      <c r="U202" s="23" t="str">
        <f aca="false">IF($Q202="","",N($S202)+N($T202))</f>
        <v/>
      </c>
      <c r="V202" s="23" t="str">
        <f aca="false">IF($Q202="","",$Q202-N($U202))</f>
        <v/>
      </c>
      <c r="W202" s="25" t="str">
        <f aca="false">IF(N($Q202)=0,"",$V202/$Q202)</f>
        <v/>
      </c>
      <c r="X202" s="26" t="str">
        <f aca="false">IF($A202="","",COUNTIFS(発注・納品!$B$3:$B$202,$A202))</f>
        <v/>
      </c>
      <c r="Y202" s="26" t="str">
        <f aca="false">IF($A202="","",COUNTIFS(発注・納品!$B$3:$B$202,$A202,発注・納品!$M$3:$M$202,""))</f>
        <v/>
      </c>
      <c r="Z202" s="27" t="str">
        <f aca="false">IF(N($X202)=0,"",IF(_xlfn.MAXIFS(発注・納品!$M$3:$M$202,発注・納品!$B$3:$B$202,$A202)=0,"",_xlfn.MAXIFS(発注・納品!$M$3:$M$202,発注・納品!$B$3:$B$202,$A202)))</f>
        <v/>
      </c>
      <c r="AA202" s="28" t="str">
        <f aca="false">IF($A202="","",IF(N($X202)=0,"機器なし",IF(N($Y202)&gt;0,"入荷待ち",IF(COUNTIFS(発注・納品!$B$3:$B$202,$A202,発注・納品!$N$3:$N$202,"")&gt;0,"受入待ち","受入完了"))))</f>
        <v/>
      </c>
      <c r="AB202" s="26" t="str">
        <f aca="false">IF($A202="","",COUNTIFS(現地作業!$A$3:$A$202,$A202,現地作業!$L$3:$L$202,"予定"))</f>
        <v/>
      </c>
      <c r="AC202" s="26" t="str">
        <f aca="false">IF($A202="","",COUNTIFS(現地作業!$A$3:$A$202,$A202,現地作業!$L$3:$L$202,"完了"))</f>
        <v/>
      </c>
      <c r="AD202" s="27" t="str">
        <f aca="true">IF(N($AB202)=0,"",IF(_xlfn.MINIFS(現地作業!$C$3:$C$202,現地作業!$A$3:$A$202,$A202,現地作業!$L$3:$L$202,"予定",現地作業!$C$3:$C$202,"&gt;="&amp;TODAY())=0,"",_xlfn.MINIFS(現地作業!$C$3:$C$202,現地作業!$A$3:$A$202,$A202,現地作業!$L$3:$L$202,"予定",現地作業!$C$3:$C$202,"&gt;="&amp;TODAY())))</f>
        <v/>
      </c>
      <c r="AE202" s="39"/>
      <c r="AF202" s="30" t="str">
        <f aca="false">IF($A202="","",SUM(月次工数計画!$G$207:$AD$207))</f>
        <v/>
      </c>
      <c r="AG202" s="30" t="str">
        <f aca="false">IF($A202="","",SUMIFS(工数明細!$G$3:$G$302,工数明細!$B$3:$B$302,$A202))</f>
        <v/>
      </c>
      <c r="AH202" s="31" t="str">
        <f aca="false">IF($AE202="","",$AE202-N($AG202))</f>
        <v/>
      </c>
      <c r="AI202" s="25" t="str">
        <f aca="false">IF(N($AE202)=0,"",$AG202/$AE202)</f>
        <v/>
      </c>
      <c r="AJ202" s="20" t="str">
        <f aca="false">IF(N($AE202)=0,"",IF($AG202&gt;$AE202,"超過",IF($AG202&gt;=$AE202*0.9,"注意","適正")))</f>
        <v/>
      </c>
      <c r="AK202" s="34"/>
    </row>
    <row r="204" customFormat="false" ht="15" hidden="false" customHeight="false" outlineLevel="0" collapsed="false">
      <c r="A204" s="3" t="s">
        <v>145</v>
      </c>
      <c r="B204" s="40" t="s">
        <v>146</v>
      </c>
      <c r="E204" s="4" t="s">
        <v>147</v>
      </c>
      <c r="L204" s="41" t="s">
        <v>148</v>
      </c>
    </row>
    <row r="205" customFormat="false" ht="15" hidden="false" customHeight="false" outlineLevel="0" collapsed="false">
      <c r="A205" s="42" t="s">
        <v>149</v>
      </c>
    </row>
  </sheetData>
  <autoFilter ref="A2:AK202"/>
  <mergeCells count="1">
    <mergeCell ref="A1:AK1"/>
  </mergeCells>
  <conditionalFormatting sqref="I3:I202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{90423421-58F9-4194-88C5-54A9CCCB5659}</x14:id>
        </ext>
      </extLst>
    </cfRule>
  </conditionalFormatting>
  <conditionalFormatting sqref="G3:G202">
    <cfRule type="cellIs" priority="3" operator="equal" aboveAverage="0" equalAverage="0" bottom="0" percent="0" rank="0" text="" dxfId="17">
      <formula>"完了"</formula>
    </cfRule>
    <cfRule type="cellIs" priority="4" operator="equal" aboveAverage="0" equalAverage="0" bottom="0" percent="0" rank="0" text="" dxfId="18">
      <formula>"進行中"</formula>
    </cfRule>
    <cfRule type="cellIs" priority="5" operator="equal" aboveAverage="0" equalAverage="0" bottom="0" percent="0" rank="0" text="" dxfId="19">
      <formula>"保留"</formula>
    </cfRule>
    <cfRule type="cellIs" priority="6" operator="equal" aboveAverage="0" equalAverage="0" bottom="0" percent="0" rank="0" text="" dxfId="20">
      <formula>"失注"</formula>
    </cfRule>
  </conditionalFormatting>
  <conditionalFormatting sqref="AJ3:AJ202">
    <cfRule type="cellIs" priority="7" operator="equal" aboveAverage="0" equalAverage="0" bottom="0" percent="0" rank="0" text="" dxfId="21">
      <formula>"超過"</formula>
    </cfRule>
    <cfRule type="cellIs" priority="8" operator="equal" aboveAverage="0" equalAverage="0" bottom="0" percent="0" rank="0" text="" dxfId="19">
      <formula>"注意"</formula>
    </cfRule>
    <cfRule type="cellIs" priority="9" operator="equal" aboveAverage="0" equalAverage="0" bottom="0" percent="0" rank="0" text="" dxfId="17">
      <formula>"適正"</formula>
    </cfRule>
  </conditionalFormatting>
  <conditionalFormatting sqref="AA3:AA202">
    <cfRule type="cellIs" priority="10" operator="equal" aboveAverage="0" equalAverage="0" bottom="0" percent="0" rank="0" text="" dxfId="19">
      <formula>"入荷待ち"</formula>
    </cfRule>
    <cfRule type="cellIs" priority="11" operator="equal" aboveAverage="0" equalAverage="0" bottom="0" percent="0" rank="0" text="" dxfId="18">
      <formula>"受入待ち"</formula>
    </cfRule>
    <cfRule type="cellIs" priority="12" operator="equal" aboveAverage="0" equalAverage="0" bottom="0" percent="0" rank="0" text="" dxfId="17">
      <formula>"受入完了"</formula>
    </cfRule>
    <cfRule type="cellIs" priority="13" operator="equal" aboveAverage="0" equalAverage="0" bottom="0" percent="0" rank="0" text="" dxfId="22">
      <formula>"機器なし"</formula>
    </cfRule>
  </conditionalFormatting>
  <conditionalFormatting sqref="P3:P202">
    <cfRule type="cellIs" priority="14" operator="greaterThan" aboveAverage="0" equalAverage="0" bottom="0" percent="0" rank="0" text="" dxfId="23">
      <formula>0</formula>
    </cfRule>
  </conditionalFormatting>
  <conditionalFormatting sqref="Y3:Y202">
    <cfRule type="cellIs" priority="15" operator="greaterThan" aboveAverage="0" equalAverage="0" bottom="0" percent="0" rank="0" text="" dxfId="24">
      <formula>0</formula>
    </cfRule>
  </conditionalFormatting>
  <conditionalFormatting sqref="A3:AK202">
    <cfRule type="expression" priority="16" aboveAverage="0" equalAverage="0" bottom="0" percent="0" rank="0" text="" dxfId="25">
      <formula>$G3="失注"</formula>
    </cfRule>
  </conditionalFormatting>
  <dataValidations count="6">
    <dataValidation allowBlank="true" error="マスタシートのリストから選んでください。" errorStyle="stop" errorTitle="入力できない値です" operator="between" showDropDown="false" showErrorMessage="false" showInputMessage="false" sqref="G3:G202" type="list">
      <formula1>StatusList</formula1>
      <formula2>0</formula2>
    </dataValidation>
    <dataValidation allowBlank="true" error="マスタシートのリストから選んでください。" errorStyle="stop" errorTitle="入力できない値です" operator="between" showDropDown="false" showErrorMessage="false" showInputMessage="false" sqref="H3:H202" type="list">
      <formula1>PhaseList</formula1>
      <formula2>0</formula2>
    </dataValidation>
    <dataValidation allowBlank="true" error="マスタシートのリストから選んでください。" errorStyle="stop" errorTitle="入力できない値です" operator="between" showDropDown="false" showErrorMessage="false" showInputMessage="false" sqref="D3:D202" type="list">
      <formula1>OwnerList</formula1>
      <formula2>0</formula2>
    </dataValidation>
    <dataValidation allowBlank="true" error="マスタシートのリストから選んでください。" errorStyle="stop" errorTitle="入力できない値です" operator="between" showDropDown="false" showErrorMessage="false" showInputMessage="false" sqref="E3:E202" type="list">
      <formula1>TypeList</formula1>
      <formula2>0</formula2>
    </dataValidation>
    <dataValidation allowBlank="true" error="マスタシートのリストから選んでください。" errorStyle="stop" errorTitle="入力できない値です" operator="between" showDropDown="false" showErrorMessage="false" showInputMessage="false" sqref="F3:F202" type="list">
      <formula1>ProbList</formula1>
      <formula2>0</formula2>
    </dataValidation>
    <dataValidation allowBlank="true" error="0%〜100% の範囲で入力してください。" errorStyle="stop" errorTitle="進捗率の入力" operator="between" showDropDown="false" showErrorMessage="false" showInputMessage="false" sqref="I3:I202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423421-58F9-4194-88C5-54A9CCCB565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I3:I202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1"/>
    <col collapsed="false" customWidth="true" hidden="false" outlineLevel="0" max="8" min="8" style="0" width="38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13" t="s">
        <v>151</v>
      </c>
      <c r="B2" s="13" t="s">
        <v>87</v>
      </c>
      <c r="C2" s="14" t="s">
        <v>88</v>
      </c>
      <c r="D2" s="13" t="s">
        <v>90</v>
      </c>
      <c r="E2" s="13" t="s">
        <v>152</v>
      </c>
      <c r="F2" s="13" t="s">
        <v>153</v>
      </c>
      <c r="G2" s="14" t="s">
        <v>154</v>
      </c>
      <c r="H2" s="13" t="s">
        <v>155</v>
      </c>
      <c r="I2" s="14" t="s">
        <v>156</v>
      </c>
    </row>
    <row r="3" customFormat="false" ht="18" hidden="false" customHeight="true" outlineLevel="0" collapsed="false">
      <c r="A3" s="18" t="n">
        <v>46176</v>
      </c>
      <c r="B3" s="15" t="s">
        <v>124</v>
      </c>
      <c r="C3" s="10" t="str">
        <f aca="false">IF($B3="","",IFERROR(INDEX(案件管理!$B$3:$B$202,MATCH($B3,案件管理!$A$3:$A$202,0)),"←IDが未登録です"))</f>
        <v>本社ネットワーク更改</v>
      </c>
      <c r="D3" s="12" t="s">
        <v>127</v>
      </c>
      <c r="E3" s="12" t="s">
        <v>11</v>
      </c>
      <c r="F3" s="43" t="n">
        <v>8</v>
      </c>
      <c r="G3" s="31" t="n">
        <f aca="false">IF(N($F3)=0,"",$F3/マスタ!$B$5)</f>
        <v>1</v>
      </c>
      <c r="H3" s="32" t="s">
        <v>157</v>
      </c>
      <c r="I3" s="44" t="n">
        <f aca="false">IF($A3="","",YEAR($A3)*100+MONTH($A3))</f>
        <v>202606</v>
      </c>
    </row>
    <row r="4" customFormat="false" ht="18" hidden="false" customHeight="true" outlineLevel="0" collapsed="false">
      <c r="A4" s="18" t="n">
        <v>46177</v>
      </c>
      <c r="B4" s="15" t="s">
        <v>124</v>
      </c>
      <c r="C4" s="10" t="str">
        <f aca="false">IF($B4="","",IFERROR(INDEX(案件管理!$B$3:$B$202,MATCH($B4,案件管理!$A$3:$A$202,0)),"←IDが未登録です"))</f>
        <v>本社ネットワーク更改</v>
      </c>
      <c r="D4" s="12" t="s">
        <v>127</v>
      </c>
      <c r="E4" s="12" t="s">
        <v>11</v>
      </c>
      <c r="F4" s="43" t="n">
        <v>6</v>
      </c>
      <c r="G4" s="31" t="n">
        <f aca="false">IF(N($F4)=0,"",$F4/マスタ!$B$5)</f>
        <v>0.75</v>
      </c>
      <c r="H4" s="12" t="s">
        <v>158</v>
      </c>
      <c r="I4" s="44" t="n">
        <f aca="false">IF($A4="","",YEAR($A4)*100+MONTH($A4))</f>
        <v>202606</v>
      </c>
    </row>
    <row r="5" customFormat="false" ht="18" hidden="false" customHeight="true" outlineLevel="0" collapsed="false">
      <c r="A5" s="18" t="n">
        <v>46204</v>
      </c>
      <c r="B5" s="15" t="s">
        <v>124</v>
      </c>
      <c r="C5" s="10" t="str">
        <f aca="false">IF($B5="","",IFERROR(INDEX(案件管理!$B$3:$B$202,MATCH($B5,案件管理!$A$3:$A$202,0)),"←IDが未登録です"))</f>
        <v>本社ネットワーク更改</v>
      </c>
      <c r="D5" s="12" t="s">
        <v>134</v>
      </c>
      <c r="E5" s="12" t="s">
        <v>159</v>
      </c>
      <c r="F5" s="43" t="n">
        <v>4</v>
      </c>
      <c r="G5" s="31" t="n">
        <f aca="false">IF(N($F5)=0,"",$F5/マスタ!$B$5)</f>
        <v>0.5</v>
      </c>
      <c r="H5" s="12" t="s">
        <v>160</v>
      </c>
      <c r="I5" s="44" t="n">
        <f aca="false">IF($A5="","",YEAR($A5)*100+MONTH($A5))</f>
        <v>202607</v>
      </c>
    </row>
    <row r="6" customFormat="false" ht="18" hidden="false" customHeight="true" outlineLevel="0" collapsed="false">
      <c r="A6" s="18" t="n">
        <v>46178</v>
      </c>
      <c r="B6" s="15" t="s">
        <v>131</v>
      </c>
      <c r="C6" s="10" t="str">
        <f aca="false">IF($B6="","",IFERROR(INDEX(案件管理!$B$3:$B$202,MATCH($B6,案件管理!$A$3:$A$202,0)),"←IDが未登録です"))</f>
        <v>基幹システム保守（年間）</v>
      </c>
      <c r="D6" s="12" t="s">
        <v>134</v>
      </c>
      <c r="E6" s="12" t="s">
        <v>159</v>
      </c>
      <c r="F6" s="43" t="n">
        <v>4</v>
      </c>
      <c r="G6" s="31" t="n">
        <f aca="false">IF(N($F6)=0,"",$F6/マスタ!$B$5)</f>
        <v>0.5</v>
      </c>
      <c r="H6" s="12" t="s">
        <v>161</v>
      </c>
      <c r="I6" s="44" t="n">
        <f aca="false">IF($A6="","",YEAR($A6)*100+MONTH($A6))</f>
        <v>202606</v>
      </c>
    </row>
    <row r="7" customFormat="false" ht="18" hidden="false" customHeight="true" outlineLevel="0" collapsed="false">
      <c r="A7" s="37"/>
      <c r="B7" s="33"/>
      <c r="C7" s="10" t="str">
        <f aca="false">IF($B7="","",IFERROR(INDEX(案件管理!$B$3:$B$202,MATCH($B7,案件管理!$A$3:$A$202,0)),"←IDが未登録です"))</f>
        <v/>
      </c>
      <c r="D7" s="34"/>
      <c r="E7" s="34"/>
      <c r="F7" s="45"/>
      <c r="G7" s="31" t="str">
        <f aca="false">IF(N($F7)=0,"",$F7/マスタ!$B$5)</f>
        <v/>
      </c>
      <c r="H7" s="8"/>
      <c r="I7" s="44" t="str">
        <f aca="false">IF($A7="","",YEAR($A7)*100+MONTH($A7))</f>
        <v/>
      </c>
    </row>
    <row r="8" customFormat="false" ht="18" hidden="false" customHeight="true" outlineLevel="0" collapsed="false">
      <c r="A8" s="37"/>
      <c r="B8" s="33"/>
      <c r="C8" s="10" t="str">
        <f aca="false">IF($B8="","",IFERROR(INDEX(案件管理!$B$3:$B$202,MATCH($B8,案件管理!$A$3:$A$202,0)),"←IDが未登録です"))</f>
        <v/>
      </c>
      <c r="D8" s="34"/>
      <c r="E8" s="34"/>
      <c r="F8" s="45"/>
      <c r="G8" s="31" t="str">
        <f aca="false">IF(N($F8)=0,"",$F8/マスタ!$B$5)</f>
        <v/>
      </c>
      <c r="H8" s="8"/>
      <c r="I8" s="44" t="str">
        <f aca="false">IF($A8="","",YEAR($A8)*100+MONTH($A8))</f>
        <v/>
      </c>
    </row>
    <row r="9" customFormat="false" ht="18" hidden="false" customHeight="true" outlineLevel="0" collapsed="false">
      <c r="A9" s="37"/>
      <c r="B9" s="33"/>
      <c r="C9" s="10" t="str">
        <f aca="false">IF($B9="","",IFERROR(INDEX(案件管理!$B$3:$B$202,MATCH($B9,案件管理!$A$3:$A$202,0)),"←IDが未登録です"))</f>
        <v/>
      </c>
      <c r="D9" s="34"/>
      <c r="E9" s="34"/>
      <c r="F9" s="45"/>
      <c r="G9" s="31" t="str">
        <f aca="false">IF(N($F9)=0,"",$F9/マスタ!$B$5)</f>
        <v/>
      </c>
      <c r="H9" s="8"/>
      <c r="I9" s="44" t="str">
        <f aca="false">IF($A9="","",YEAR($A9)*100+MONTH($A9))</f>
        <v/>
      </c>
    </row>
    <row r="10" customFormat="false" ht="18" hidden="false" customHeight="true" outlineLevel="0" collapsed="false">
      <c r="A10" s="37"/>
      <c r="B10" s="33"/>
      <c r="C10" s="10" t="str">
        <f aca="false">IF($B10="","",IFERROR(INDEX(案件管理!$B$3:$B$202,MATCH($B10,案件管理!$A$3:$A$202,0)),"←IDが未登録です"))</f>
        <v/>
      </c>
      <c r="D10" s="34"/>
      <c r="E10" s="34"/>
      <c r="F10" s="45"/>
      <c r="G10" s="31" t="str">
        <f aca="false">IF(N($F10)=0,"",$F10/マスタ!$B$5)</f>
        <v/>
      </c>
      <c r="H10" s="8"/>
      <c r="I10" s="44" t="str">
        <f aca="false">IF($A10="","",YEAR($A10)*100+MONTH($A10))</f>
        <v/>
      </c>
    </row>
    <row r="11" customFormat="false" ht="18" hidden="false" customHeight="true" outlineLevel="0" collapsed="false">
      <c r="A11" s="37"/>
      <c r="B11" s="33"/>
      <c r="C11" s="10" t="str">
        <f aca="false">IF($B11="","",IFERROR(INDEX(案件管理!$B$3:$B$202,MATCH($B11,案件管理!$A$3:$A$202,0)),"←IDが未登録です"))</f>
        <v/>
      </c>
      <c r="D11" s="34"/>
      <c r="E11" s="34"/>
      <c r="F11" s="45"/>
      <c r="G11" s="31" t="str">
        <f aca="false">IF(N($F11)=0,"",$F11/マスタ!$B$5)</f>
        <v/>
      </c>
      <c r="H11" s="8"/>
      <c r="I11" s="44" t="str">
        <f aca="false">IF($A11="","",YEAR($A11)*100+MONTH($A11))</f>
        <v/>
      </c>
    </row>
    <row r="12" customFormat="false" ht="18" hidden="false" customHeight="true" outlineLevel="0" collapsed="false">
      <c r="A12" s="37"/>
      <c r="B12" s="33"/>
      <c r="C12" s="10" t="str">
        <f aca="false">IF($B12="","",IFERROR(INDEX(案件管理!$B$3:$B$202,MATCH($B12,案件管理!$A$3:$A$202,0)),"←IDが未登録です"))</f>
        <v/>
      </c>
      <c r="D12" s="34"/>
      <c r="E12" s="34"/>
      <c r="F12" s="45"/>
      <c r="G12" s="31" t="str">
        <f aca="false">IF(N($F12)=0,"",$F12/マスタ!$B$5)</f>
        <v/>
      </c>
      <c r="H12" s="8"/>
      <c r="I12" s="44" t="str">
        <f aca="false">IF($A12="","",YEAR($A12)*100+MONTH($A12))</f>
        <v/>
      </c>
    </row>
    <row r="13" customFormat="false" ht="18" hidden="false" customHeight="true" outlineLevel="0" collapsed="false">
      <c r="A13" s="37"/>
      <c r="B13" s="33"/>
      <c r="C13" s="10" t="str">
        <f aca="false">IF($B13="","",IFERROR(INDEX(案件管理!$B$3:$B$202,MATCH($B13,案件管理!$A$3:$A$202,0)),"←IDが未登録です"))</f>
        <v/>
      </c>
      <c r="D13" s="34"/>
      <c r="E13" s="34"/>
      <c r="F13" s="45"/>
      <c r="G13" s="31" t="str">
        <f aca="false">IF(N($F13)=0,"",$F13/マスタ!$B$5)</f>
        <v/>
      </c>
      <c r="H13" s="8"/>
      <c r="I13" s="44" t="str">
        <f aca="false">IF($A13="","",YEAR($A13)*100+MONTH($A13))</f>
        <v/>
      </c>
    </row>
    <row r="14" customFormat="false" ht="18" hidden="false" customHeight="true" outlineLevel="0" collapsed="false">
      <c r="A14" s="37"/>
      <c r="B14" s="33"/>
      <c r="C14" s="10" t="str">
        <f aca="false">IF($B14="","",IFERROR(INDEX(案件管理!$B$3:$B$202,MATCH($B14,案件管理!$A$3:$A$202,0)),"←IDが未登録です"))</f>
        <v/>
      </c>
      <c r="D14" s="34"/>
      <c r="E14" s="34"/>
      <c r="F14" s="45"/>
      <c r="G14" s="31" t="str">
        <f aca="false">IF(N($F14)=0,"",$F14/マスタ!$B$5)</f>
        <v/>
      </c>
      <c r="H14" s="8"/>
      <c r="I14" s="44" t="str">
        <f aca="false">IF($A14="","",YEAR($A14)*100+MONTH($A14))</f>
        <v/>
      </c>
    </row>
    <row r="15" customFormat="false" ht="18" hidden="false" customHeight="true" outlineLevel="0" collapsed="false">
      <c r="A15" s="37"/>
      <c r="B15" s="33"/>
      <c r="C15" s="10" t="str">
        <f aca="false">IF($B15="","",IFERROR(INDEX(案件管理!$B$3:$B$202,MATCH($B15,案件管理!$A$3:$A$202,0)),"←IDが未登録です"))</f>
        <v/>
      </c>
      <c r="D15" s="34"/>
      <c r="E15" s="34"/>
      <c r="F15" s="45"/>
      <c r="G15" s="31" t="str">
        <f aca="false">IF(N($F15)=0,"",$F15/マスタ!$B$5)</f>
        <v/>
      </c>
      <c r="H15" s="8"/>
      <c r="I15" s="44" t="str">
        <f aca="false">IF($A15="","",YEAR($A15)*100+MONTH($A15))</f>
        <v/>
      </c>
    </row>
    <row r="16" customFormat="false" ht="18" hidden="false" customHeight="true" outlineLevel="0" collapsed="false">
      <c r="A16" s="37"/>
      <c r="B16" s="33"/>
      <c r="C16" s="10" t="str">
        <f aca="false">IF($B16="","",IFERROR(INDEX(案件管理!$B$3:$B$202,MATCH($B16,案件管理!$A$3:$A$202,0)),"←IDが未登録です"))</f>
        <v/>
      </c>
      <c r="D16" s="34"/>
      <c r="E16" s="34"/>
      <c r="F16" s="45"/>
      <c r="G16" s="31" t="str">
        <f aca="false">IF(N($F16)=0,"",$F16/マスタ!$B$5)</f>
        <v/>
      </c>
      <c r="H16" s="8"/>
      <c r="I16" s="44" t="str">
        <f aca="false">IF($A16="","",YEAR($A16)*100+MONTH($A16))</f>
        <v/>
      </c>
    </row>
    <row r="17" customFormat="false" ht="18" hidden="false" customHeight="true" outlineLevel="0" collapsed="false">
      <c r="A17" s="37"/>
      <c r="B17" s="33"/>
      <c r="C17" s="10" t="str">
        <f aca="false">IF($B17="","",IFERROR(INDEX(案件管理!$B$3:$B$202,MATCH($B17,案件管理!$A$3:$A$202,0)),"←IDが未登録です"))</f>
        <v/>
      </c>
      <c r="D17" s="34"/>
      <c r="E17" s="34"/>
      <c r="F17" s="45"/>
      <c r="G17" s="31" t="str">
        <f aca="false">IF(N($F17)=0,"",$F17/マスタ!$B$5)</f>
        <v/>
      </c>
      <c r="H17" s="8"/>
      <c r="I17" s="44" t="str">
        <f aca="false">IF($A17="","",YEAR($A17)*100+MONTH($A17))</f>
        <v/>
      </c>
    </row>
    <row r="18" customFormat="false" ht="18" hidden="false" customHeight="true" outlineLevel="0" collapsed="false">
      <c r="A18" s="37"/>
      <c r="B18" s="33"/>
      <c r="C18" s="10" t="str">
        <f aca="false">IF($B18="","",IFERROR(INDEX(案件管理!$B$3:$B$202,MATCH($B18,案件管理!$A$3:$A$202,0)),"←IDが未登録です"))</f>
        <v/>
      </c>
      <c r="D18" s="34"/>
      <c r="E18" s="34"/>
      <c r="F18" s="45"/>
      <c r="G18" s="31" t="str">
        <f aca="false">IF(N($F18)=0,"",$F18/マスタ!$B$5)</f>
        <v/>
      </c>
      <c r="H18" s="8"/>
      <c r="I18" s="44" t="str">
        <f aca="false">IF($A18="","",YEAR($A18)*100+MONTH($A18))</f>
        <v/>
      </c>
    </row>
    <row r="19" customFormat="false" ht="18" hidden="false" customHeight="true" outlineLevel="0" collapsed="false">
      <c r="A19" s="37"/>
      <c r="B19" s="33"/>
      <c r="C19" s="10" t="str">
        <f aca="false">IF($B19="","",IFERROR(INDEX(案件管理!$B$3:$B$202,MATCH($B19,案件管理!$A$3:$A$202,0)),"←IDが未登録です"))</f>
        <v/>
      </c>
      <c r="D19" s="34"/>
      <c r="E19" s="34"/>
      <c r="F19" s="45"/>
      <c r="G19" s="31" t="str">
        <f aca="false">IF(N($F19)=0,"",$F19/マスタ!$B$5)</f>
        <v/>
      </c>
      <c r="H19" s="8"/>
      <c r="I19" s="44" t="str">
        <f aca="false">IF($A19="","",YEAR($A19)*100+MONTH($A19))</f>
        <v/>
      </c>
    </row>
    <row r="20" customFormat="false" ht="18" hidden="false" customHeight="true" outlineLevel="0" collapsed="false">
      <c r="A20" s="37"/>
      <c r="B20" s="33"/>
      <c r="C20" s="10" t="str">
        <f aca="false">IF($B20="","",IFERROR(INDEX(案件管理!$B$3:$B$202,MATCH($B20,案件管理!$A$3:$A$202,0)),"←IDが未登録です"))</f>
        <v/>
      </c>
      <c r="D20" s="34"/>
      <c r="E20" s="34"/>
      <c r="F20" s="45"/>
      <c r="G20" s="31" t="str">
        <f aca="false">IF(N($F20)=0,"",$F20/マスタ!$B$5)</f>
        <v/>
      </c>
      <c r="H20" s="8"/>
      <c r="I20" s="44" t="str">
        <f aca="false">IF($A20="","",YEAR($A20)*100+MONTH($A20))</f>
        <v/>
      </c>
    </row>
    <row r="21" customFormat="false" ht="18" hidden="false" customHeight="true" outlineLevel="0" collapsed="false">
      <c r="A21" s="37"/>
      <c r="B21" s="33"/>
      <c r="C21" s="10" t="str">
        <f aca="false">IF($B21="","",IFERROR(INDEX(案件管理!$B$3:$B$202,MATCH($B21,案件管理!$A$3:$A$202,0)),"←IDが未登録です"))</f>
        <v/>
      </c>
      <c r="D21" s="34"/>
      <c r="E21" s="34"/>
      <c r="F21" s="45"/>
      <c r="G21" s="31" t="str">
        <f aca="false">IF(N($F21)=0,"",$F21/マスタ!$B$5)</f>
        <v/>
      </c>
      <c r="H21" s="8"/>
      <c r="I21" s="44" t="str">
        <f aca="false">IF($A21="","",YEAR($A21)*100+MONTH($A21))</f>
        <v/>
      </c>
    </row>
    <row r="22" customFormat="false" ht="18" hidden="false" customHeight="true" outlineLevel="0" collapsed="false">
      <c r="A22" s="37"/>
      <c r="B22" s="33"/>
      <c r="C22" s="10" t="str">
        <f aca="false">IF($B22="","",IFERROR(INDEX(案件管理!$B$3:$B$202,MATCH($B22,案件管理!$A$3:$A$202,0)),"←IDが未登録です"))</f>
        <v/>
      </c>
      <c r="D22" s="34"/>
      <c r="E22" s="34"/>
      <c r="F22" s="45"/>
      <c r="G22" s="31" t="str">
        <f aca="false">IF(N($F22)=0,"",$F22/マスタ!$B$5)</f>
        <v/>
      </c>
      <c r="H22" s="8"/>
      <c r="I22" s="44" t="str">
        <f aca="false">IF($A22="","",YEAR($A22)*100+MONTH($A22))</f>
        <v/>
      </c>
    </row>
    <row r="23" customFormat="false" ht="18" hidden="false" customHeight="true" outlineLevel="0" collapsed="false">
      <c r="A23" s="37"/>
      <c r="B23" s="33"/>
      <c r="C23" s="10" t="str">
        <f aca="false">IF($B23="","",IFERROR(INDEX(案件管理!$B$3:$B$202,MATCH($B23,案件管理!$A$3:$A$202,0)),"←IDが未登録です"))</f>
        <v/>
      </c>
      <c r="D23" s="34"/>
      <c r="E23" s="34"/>
      <c r="F23" s="45"/>
      <c r="G23" s="31" t="str">
        <f aca="false">IF(N($F23)=0,"",$F23/マスタ!$B$5)</f>
        <v/>
      </c>
      <c r="H23" s="8"/>
      <c r="I23" s="44" t="str">
        <f aca="false">IF($A23="","",YEAR($A23)*100+MONTH($A23))</f>
        <v/>
      </c>
    </row>
    <row r="24" customFormat="false" ht="18" hidden="false" customHeight="true" outlineLevel="0" collapsed="false">
      <c r="A24" s="37"/>
      <c r="B24" s="33"/>
      <c r="C24" s="10" t="str">
        <f aca="false">IF($B24="","",IFERROR(INDEX(案件管理!$B$3:$B$202,MATCH($B24,案件管理!$A$3:$A$202,0)),"←IDが未登録です"))</f>
        <v/>
      </c>
      <c r="D24" s="34"/>
      <c r="E24" s="34"/>
      <c r="F24" s="45"/>
      <c r="G24" s="31" t="str">
        <f aca="false">IF(N($F24)=0,"",$F24/マスタ!$B$5)</f>
        <v/>
      </c>
      <c r="H24" s="8"/>
      <c r="I24" s="44" t="str">
        <f aca="false">IF($A24="","",YEAR($A24)*100+MONTH($A24))</f>
        <v/>
      </c>
    </row>
    <row r="25" customFormat="false" ht="18" hidden="false" customHeight="true" outlineLevel="0" collapsed="false">
      <c r="A25" s="37"/>
      <c r="B25" s="33"/>
      <c r="C25" s="10" t="str">
        <f aca="false">IF($B25="","",IFERROR(INDEX(案件管理!$B$3:$B$202,MATCH($B25,案件管理!$A$3:$A$202,0)),"←IDが未登録です"))</f>
        <v/>
      </c>
      <c r="D25" s="34"/>
      <c r="E25" s="34"/>
      <c r="F25" s="45"/>
      <c r="G25" s="31" t="str">
        <f aca="false">IF(N($F25)=0,"",$F25/マスタ!$B$5)</f>
        <v/>
      </c>
      <c r="H25" s="8"/>
      <c r="I25" s="44" t="str">
        <f aca="false">IF($A25="","",YEAR($A25)*100+MONTH($A25))</f>
        <v/>
      </c>
    </row>
    <row r="26" customFormat="false" ht="18" hidden="false" customHeight="true" outlineLevel="0" collapsed="false">
      <c r="A26" s="37"/>
      <c r="B26" s="33"/>
      <c r="C26" s="10" t="str">
        <f aca="false">IF($B26="","",IFERROR(INDEX(案件管理!$B$3:$B$202,MATCH($B26,案件管理!$A$3:$A$202,0)),"←IDが未登録です"))</f>
        <v/>
      </c>
      <c r="D26" s="34"/>
      <c r="E26" s="34"/>
      <c r="F26" s="45"/>
      <c r="G26" s="31" t="str">
        <f aca="false">IF(N($F26)=0,"",$F26/マスタ!$B$5)</f>
        <v/>
      </c>
      <c r="H26" s="8"/>
      <c r="I26" s="44" t="str">
        <f aca="false">IF($A26="","",YEAR($A26)*100+MONTH($A26))</f>
        <v/>
      </c>
    </row>
    <row r="27" customFormat="false" ht="18" hidden="false" customHeight="true" outlineLevel="0" collapsed="false">
      <c r="A27" s="37"/>
      <c r="B27" s="33"/>
      <c r="C27" s="10" t="str">
        <f aca="false">IF($B27="","",IFERROR(INDEX(案件管理!$B$3:$B$202,MATCH($B27,案件管理!$A$3:$A$202,0)),"←IDが未登録です"))</f>
        <v/>
      </c>
      <c r="D27" s="34"/>
      <c r="E27" s="34"/>
      <c r="F27" s="45"/>
      <c r="G27" s="31" t="str">
        <f aca="false">IF(N($F27)=0,"",$F27/マスタ!$B$5)</f>
        <v/>
      </c>
      <c r="H27" s="8"/>
      <c r="I27" s="44" t="str">
        <f aca="false">IF($A27="","",YEAR($A27)*100+MONTH($A27))</f>
        <v/>
      </c>
    </row>
    <row r="28" customFormat="false" ht="18" hidden="false" customHeight="true" outlineLevel="0" collapsed="false">
      <c r="A28" s="37"/>
      <c r="B28" s="33"/>
      <c r="C28" s="10" t="str">
        <f aca="false">IF($B28="","",IFERROR(INDEX(案件管理!$B$3:$B$202,MATCH($B28,案件管理!$A$3:$A$202,0)),"←IDが未登録です"))</f>
        <v/>
      </c>
      <c r="D28" s="34"/>
      <c r="E28" s="34"/>
      <c r="F28" s="45"/>
      <c r="G28" s="31" t="str">
        <f aca="false">IF(N($F28)=0,"",$F28/マスタ!$B$5)</f>
        <v/>
      </c>
      <c r="H28" s="8"/>
      <c r="I28" s="44" t="str">
        <f aca="false">IF($A28="","",YEAR($A28)*100+MONTH($A28))</f>
        <v/>
      </c>
    </row>
    <row r="29" customFormat="false" ht="18" hidden="false" customHeight="true" outlineLevel="0" collapsed="false">
      <c r="A29" s="37"/>
      <c r="B29" s="33"/>
      <c r="C29" s="10" t="str">
        <f aca="false">IF($B29="","",IFERROR(INDEX(案件管理!$B$3:$B$202,MATCH($B29,案件管理!$A$3:$A$202,0)),"←IDが未登録です"))</f>
        <v/>
      </c>
      <c r="D29" s="34"/>
      <c r="E29" s="34"/>
      <c r="F29" s="45"/>
      <c r="G29" s="31" t="str">
        <f aca="false">IF(N($F29)=0,"",$F29/マスタ!$B$5)</f>
        <v/>
      </c>
      <c r="H29" s="8"/>
      <c r="I29" s="44" t="str">
        <f aca="false">IF($A29="","",YEAR($A29)*100+MONTH($A29))</f>
        <v/>
      </c>
    </row>
    <row r="30" customFormat="false" ht="18" hidden="false" customHeight="true" outlineLevel="0" collapsed="false">
      <c r="A30" s="37"/>
      <c r="B30" s="33"/>
      <c r="C30" s="10" t="str">
        <f aca="false">IF($B30="","",IFERROR(INDEX(案件管理!$B$3:$B$202,MATCH($B30,案件管理!$A$3:$A$202,0)),"←IDが未登録です"))</f>
        <v/>
      </c>
      <c r="D30" s="34"/>
      <c r="E30" s="34"/>
      <c r="F30" s="45"/>
      <c r="G30" s="31" t="str">
        <f aca="false">IF(N($F30)=0,"",$F30/マスタ!$B$5)</f>
        <v/>
      </c>
      <c r="H30" s="8"/>
      <c r="I30" s="44" t="str">
        <f aca="false">IF($A30="","",YEAR($A30)*100+MONTH($A30))</f>
        <v/>
      </c>
    </row>
    <row r="31" customFormat="false" ht="18" hidden="false" customHeight="true" outlineLevel="0" collapsed="false">
      <c r="A31" s="37"/>
      <c r="B31" s="33"/>
      <c r="C31" s="10" t="str">
        <f aca="false">IF($B31="","",IFERROR(INDEX(案件管理!$B$3:$B$202,MATCH($B31,案件管理!$A$3:$A$202,0)),"←IDが未登録です"))</f>
        <v/>
      </c>
      <c r="D31" s="34"/>
      <c r="E31" s="34"/>
      <c r="F31" s="45"/>
      <c r="G31" s="31" t="str">
        <f aca="false">IF(N($F31)=0,"",$F31/マスタ!$B$5)</f>
        <v/>
      </c>
      <c r="H31" s="8"/>
      <c r="I31" s="44" t="str">
        <f aca="false">IF($A31="","",YEAR($A31)*100+MONTH($A31))</f>
        <v/>
      </c>
    </row>
    <row r="32" customFormat="false" ht="18" hidden="false" customHeight="true" outlineLevel="0" collapsed="false">
      <c r="A32" s="37"/>
      <c r="B32" s="33"/>
      <c r="C32" s="10" t="str">
        <f aca="false">IF($B32="","",IFERROR(INDEX(案件管理!$B$3:$B$202,MATCH($B32,案件管理!$A$3:$A$202,0)),"←IDが未登録です"))</f>
        <v/>
      </c>
      <c r="D32" s="34"/>
      <c r="E32" s="34"/>
      <c r="F32" s="45"/>
      <c r="G32" s="31" t="str">
        <f aca="false">IF(N($F32)=0,"",$F32/マスタ!$B$5)</f>
        <v/>
      </c>
      <c r="H32" s="8"/>
      <c r="I32" s="44" t="str">
        <f aca="false">IF($A32="","",YEAR($A32)*100+MONTH($A32))</f>
        <v/>
      </c>
    </row>
    <row r="33" customFormat="false" ht="18" hidden="false" customHeight="true" outlineLevel="0" collapsed="false">
      <c r="A33" s="37"/>
      <c r="B33" s="33"/>
      <c r="C33" s="10" t="str">
        <f aca="false">IF($B33="","",IFERROR(INDEX(案件管理!$B$3:$B$202,MATCH($B33,案件管理!$A$3:$A$202,0)),"←IDが未登録です"))</f>
        <v/>
      </c>
      <c r="D33" s="34"/>
      <c r="E33" s="34"/>
      <c r="F33" s="45"/>
      <c r="G33" s="31" t="str">
        <f aca="false">IF(N($F33)=0,"",$F33/マスタ!$B$5)</f>
        <v/>
      </c>
      <c r="H33" s="8"/>
      <c r="I33" s="44" t="str">
        <f aca="false">IF($A33="","",YEAR($A33)*100+MONTH($A33))</f>
        <v/>
      </c>
    </row>
    <row r="34" customFormat="false" ht="18" hidden="false" customHeight="true" outlineLevel="0" collapsed="false">
      <c r="A34" s="37"/>
      <c r="B34" s="33"/>
      <c r="C34" s="10" t="str">
        <f aca="false">IF($B34="","",IFERROR(INDEX(案件管理!$B$3:$B$202,MATCH($B34,案件管理!$A$3:$A$202,0)),"←IDが未登録です"))</f>
        <v/>
      </c>
      <c r="D34" s="34"/>
      <c r="E34" s="34"/>
      <c r="F34" s="45"/>
      <c r="G34" s="31" t="str">
        <f aca="false">IF(N($F34)=0,"",$F34/マスタ!$B$5)</f>
        <v/>
      </c>
      <c r="H34" s="8"/>
      <c r="I34" s="44" t="str">
        <f aca="false">IF($A34="","",YEAR($A34)*100+MONTH($A34))</f>
        <v/>
      </c>
    </row>
    <row r="35" customFormat="false" ht="18" hidden="false" customHeight="true" outlineLevel="0" collapsed="false">
      <c r="A35" s="37"/>
      <c r="B35" s="33"/>
      <c r="C35" s="10" t="str">
        <f aca="false">IF($B35="","",IFERROR(INDEX(案件管理!$B$3:$B$202,MATCH($B35,案件管理!$A$3:$A$202,0)),"←IDが未登録です"))</f>
        <v/>
      </c>
      <c r="D35" s="34"/>
      <c r="E35" s="34"/>
      <c r="F35" s="45"/>
      <c r="G35" s="31" t="str">
        <f aca="false">IF(N($F35)=0,"",$F35/マスタ!$B$5)</f>
        <v/>
      </c>
      <c r="H35" s="8"/>
      <c r="I35" s="44" t="str">
        <f aca="false">IF($A35="","",YEAR($A35)*100+MONTH($A35))</f>
        <v/>
      </c>
    </row>
    <row r="36" customFormat="false" ht="18" hidden="false" customHeight="true" outlineLevel="0" collapsed="false">
      <c r="A36" s="37"/>
      <c r="B36" s="33"/>
      <c r="C36" s="10" t="str">
        <f aca="false">IF($B36="","",IFERROR(INDEX(案件管理!$B$3:$B$202,MATCH($B36,案件管理!$A$3:$A$202,0)),"←IDが未登録です"))</f>
        <v/>
      </c>
      <c r="D36" s="34"/>
      <c r="E36" s="34"/>
      <c r="F36" s="45"/>
      <c r="G36" s="31" t="str">
        <f aca="false">IF(N($F36)=0,"",$F36/マスタ!$B$5)</f>
        <v/>
      </c>
      <c r="H36" s="8"/>
      <c r="I36" s="44" t="str">
        <f aca="false">IF($A36="","",YEAR($A36)*100+MONTH($A36))</f>
        <v/>
      </c>
    </row>
    <row r="37" customFormat="false" ht="18" hidden="false" customHeight="true" outlineLevel="0" collapsed="false">
      <c r="A37" s="37"/>
      <c r="B37" s="33"/>
      <c r="C37" s="10" t="str">
        <f aca="false">IF($B37="","",IFERROR(INDEX(案件管理!$B$3:$B$202,MATCH($B37,案件管理!$A$3:$A$202,0)),"←IDが未登録です"))</f>
        <v/>
      </c>
      <c r="D37" s="34"/>
      <c r="E37" s="34"/>
      <c r="F37" s="45"/>
      <c r="G37" s="31" t="str">
        <f aca="false">IF(N($F37)=0,"",$F37/マスタ!$B$5)</f>
        <v/>
      </c>
      <c r="H37" s="8"/>
      <c r="I37" s="44" t="str">
        <f aca="false">IF($A37="","",YEAR($A37)*100+MONTH($A37))</f>
        <v/>
      </c>
    </row>
    <row r="38" customFormat="false" ht="18" hidden="false" customHeight="true" outlineLevel="0" collapsed="false">
      <c r="A38" s="37"/>
      <c r="B38" s="33"/>
      <c r="C38" s="10" t="str">
        <f aca="false">IF($B38="","",IFERROR(INDEX(案件管理!$B$3:$B$202,MATCH($B38,案件管理!$A$3:$A$202,0)),"←IDが未登録です"))</f>
        <v/>
      </c>
      <c r="D38" s="34"/>
      <c r="E38" s="34"/>
      <c r="F38" s="45"/>
      <c r="G38" s="31" t="str">
        <f aca="false">IF(N($F38)=0,"",$F38/マスタ!$B$5)</f>
        <v/>
      </c>
      <c r="H38" s="8"/>
      <c r="I38" s="44" t="str">
        <f aca="false">IF($A38="","",YEAR($A38)*100+MONTH($A38))</f>
        <v/>
      </c>
    </row>
    <row r="39" customFormat="false" ht="18" hidden="false" customHeight="true" outlineLevel="0" collapsed="false">
      <c r="A39" s="37"/>
      <c r="B39" s="33"/>
      <c r="C39" s="10" t="str">
        <f aca="false">IF($B39="","",IFERROR(INDEX(案件管理!$B$3:$B$202,MATCH($B39,案件管理!$A$3:$A$202,0)),"←IDが未登録です"))</f>
        <v/>
      </c>
      <c r="D39" s="34"/>
      <c r="E39" s="34"/>
      <c r="F39" s="45"/>
      <c r="G39" s="31" t="str">
        <f aca="false">IF(N($F39)=0,"",$F39/マスタ!$B$5)</f>
        <v/>
      </c>
      <c r="H39" s="8"/>
      <c r="I39" s="44" t="str">
        <f aca="false">IF($A39="","",YEAR($A39)*100+MONTH($A39))</f>
        <v/>
      </c>
    </row>
    <row r="40" customFormat="false" ht="18" hidden="false" customHeight="true" outlineLevel="0" collapsed="false">
      <c r="A40" s="37"/>
      <c r="B40" s="33"/>
      <c r="C40" s="10" t="str">
        <f aca="false">IF($B40="","",IFERROR(INDEX(案件管理!$B$3:$B$202,MATCH($B40,案件管理!$A$3:$A$202,0)),"←IDが未登録です"))</f>
        <v/>
      </c>
      <c r="D40" s="34"/>
      <c r="E40" s="34"/>
      <c r="F40" s="45"/>
      <c r="G40" s="31" t="str">
        <f aca="false">IF(N($F40)=0,"",$F40/マスタ!$B$5)</f>
        <v/>
      </c>
      <c r="H40" s="8"/>
      <c r="I40" s="44" t="str">
        <f aca="false">IF($A40="","",YEAR($A40)*100+MONTH($A40))</f>
        <v/>
      </c>
    </row>
    <row r="41" customFormat="false" ht="18" hidden="false" customHeight="true" outlineLevel="0" collapsed="false">
      <c r="A41" s="37"/>
      <c r="B41" s="33"/>
      <c r="C41" s="10" t="str">
        <f aca="false">IF($B41="","",IFERROR(INDEX(案件管理!$B$3:$B$202,MATCH($B41,案件管理!$A$3:$A$202,0)),"←IDが未登録です"))</f>
        <v/>
      </c>
      <c r="D41" s="34"/>
      <c r="E41" s="34"/>
      <c r="F41" s="45"/>
      <c r="G41" s="31" t="str">
        <f aca="false">IF(N($F41)=0,"",$F41/マスタ!$B$5)</f>
        <v/>
      </c>
      <c r="H41" s="8"/>
      <c r="I41" s="44" t="str">
        <f aca="false">IF($A41="","",YEAR($A41)*100+MONTH($A41))</f>
        <v/>
      </c>
    </row>
    <row r="42" customFormat="false" ht="18" hidden="false" customHeight="true" outlineLevel="0" collapsed="false">
      <c r="A42" s="37"/>
      <c r="B42" s="33"/>
      <c r="C42" s="10" t="str">
        <f aca="false">IF($B42="","",IFERROR(INDEX(案件管理!$B$3:$B$202,MATCH($B42,案件管理!$A$3:$A$202,0)),"←IDが未登録です"))</f>
        <v/>
      </c>
      <c r="D42" s="34"/>
      <c r="E42" s="34"/>
      <c r="F42" s="45"/>
      <c r="G42" s="31" t="str">
        <f aca="false">IF(N($F42)=0,"",$F42/マスタ!$B$5)</f>
        <v/>
      </c>
      <c r="H42" s="8"/>
      <c r="I42" s="44" t="str">
        <f aca="false">IF($A42="","",YEAR($A42)*100+MONTH($A42))</f>
        <v/>
      </c>
    </row>
    <row r="43" customFormat="false" ht="18" hidden="false" customHeight="true" outlineLevel="0" collapsed="false">
      <c r="A43" s="37"/>
      <c r="B43" s="33"/>
      <c r="C43" s="10" t="str">
        <f aca="false">IF($B43="","",IFERROR(INDEX(案件管理!$B$3:$B$202,MATCH($B43,案件管理!$A$3:$A$202,0)),"←IDが未登録です"))</f>
        <v/>
      </c>
      <c r="D43" s="34"/>
      <c r="E43" s="34"/>
      <c r="F43" s="45"/>
      <c r="G43" s="31" t="str">
        <f aca="false">IF(N($F43)=0,"",$F43/マスタ!$B$5)</f>
        <v/>
      </c>
      <c r="H43" s="8"/>
      <c r="I43" s="44" t="str">
        <f aca="false">IF($A43="","",YEAR($A43)*100+MONTH($A43))</f>
        <v/>
      </c>
    </row>
    <row r="44" customFormat="false" ht="18" hidden="false" customHeight="true" outlineLevel="0" collapsed="false">
      <c r="A44" s="37"/>
      <c r="B44" s="33"/>
      <c r="C44" s="10" t="str">
        <f aca="false">IF($B44="","",IFERROR(INDEX(案件管理!$B$3:$B$202,MATCH($B44,案件管理!$A$3:$A$202,0)),"←IDが未登録です"))</f>
        <v/>
      </c>
      <c r="D44" s="34"/>
      <c r="E44" s="34"/>
      <c r="F44" s="45"/>
      <c r="G44" s="31" t="str">
        <f aca="false">IF(N($F44)=0,"",$F44/マスタ!$B$5)</f>
        <v/>
      </c>
      <c r="H44" s="8"/>
      <c r="I44" s="44" t="str">
        <f aca="false">IF($A44="","",YEAR($A44)*100+MONTH($A44))</f>
        <v/>
      </c>
    </row>
    <row r="45" customFormat="false" ht="18" hidden="false" customHeight="true" outlineLevel="0" collapsed="false">
      <c r="A45" s="37"/>
      <c r="B45" s="33"/>
      <c r="C45" s="10" t="str">
        <f aca="false">IF($B45="","",IFERROR(INDEX(案件管理!$B$3:$B$202,MATCH($B45,案件管理!$A$3:$A$202,0)),"←IDが未登録です"))</f>
        <v/>
      </c>
      <c r="D45" s="34"/>
      <c r="E45" s="34"/>
      <c r="F45" s="45"/>
      <c r="G45" s="31" t="str">
        <f aca="false">IF(N($F45)=0,"",$F45/マスタ!$B$5)</f>
        <v/>
      </c>
      <c r="H45" s="8"/>
      <c r="I45" s="44" t="str">
        <f aca="false">IF($A45="","",YEAR($A45)*100+MONTH($A45))</f>
        <v/>
      </c>
    </row>
    <row r="46" customFormat="false" ht="18" hidden="false" customHeight="true" outlineLevel="0" collapsed="false">
      <c r="A46" s="37"/>
      <c r="B46" s="33"/>
      <c r="C46" s="10" t="str">
        <f aca="false">IF($B46="","",IFERROR(INDEX(案件管理!$B$3:$B$202,MATCH($B46,案件管理!$A$3:$A$202,0)),"←IDが未登録です"))</f>
        <v/>
      </c>
      <c r="D46" s="34"/>
      <c r="E46" s="34"/>
      <c r="F46" s="45"/>
      <c r="G46" s="31" t="str">
        <f aca="false">IF(N($F46)=0,"",$F46/マスタ!$B$5)</f>
        <v/>
      </c>
      <c r="H46" s="8"/>
      <c r="I46" s="44" t="str">
        <f aca="false">IF($A46="","",YEAR($A46)*100+MONTH($A46))</f>
        <v/>
      </c>
    </row>
    <row r="47" customFormat="false" ht="18" hidden="false" customHeight="true" outlineLevel="0" collapsed="false">
      <c r="A47" s="37"/>
      <c r="B47" s="33"/>
      <c r="C47" s="10" t="str">
        <f aca="false">IF($B47="","",IFERROR(INDEX(案件管理!$B$3:$B$202,MATCH($B47,案件管理!$A$3:$A$202,0)),"←IDが未登録です"))</f>
        <v/>
      </c>
      <c r="D47" s="34"/>
      <c r="E47" s="34"/>
      <c r="F47" s="45"/>
      <c r="G47" s="31" t="str">
        <f aca="false">IF(N($F47)=0,"",$F47/マスタ!$B$5)</f>
        <v/>
      </c>
      <c r="H47" s="8"/>
      <c r="I47" s="44" t="str">
        <f aca="false">IF($A47="","",YEAR($A47)*100+MONTH($A47))</f>
        <v/>
      </c>
    </row>
    <row r="48" customFormat="false" ht="18" hidden="false" customHeight="true" outlineLevel="0" collapsed="false">
      <c r="A48" s="37"/>
      <c r="B48" s="33"/>
      <c r="C48" s="10" t="str">
        <f aca="false">IF($B48="","",IFERROR(INDEX(案件管理!$B$3:$B$202,MATCH($B48,案件管理!$A$3:$A$202,0)),"←IDが未登録です"))</f>
        <v/>
      </c>
      <c r="D48" s="34"/>
      <c r="E48" s="34"/>
      <c r="F48" s="45"/>
      <c r="G48" s="31" t="str">
        <f aca="false">IF(N($F48)=0,"",$F48/マスタ!$B$5)</f>
        <v/>
      </c>
      <c r="H48" s="8"/>
      <c r="I48" s="44" t="str">
        <f aca="false">IF($A48="","",YEAR($A48)*100+MONTH($A48))</f>
        <v/>
      </c>
    </row>
    <row r="49" customFormat="false" ht="18" hidden="false" customHeight="true" outlineLevel="0" collapsed="false">
      <c r="A49" s="37"/>
      <c r="B49" s="33"/>
      <c r="C49" s="10" t="str">
        <f aca="false">IF($B49="","",IFERROR(INDEX(案件管理!$B$3:$B$202,MATCH($B49,案件管理!$A$3:$A$202,0)),"←IDが未登録です"))</f>
        <v/>
      </c>
      <c r="D49" s="34"/>
      <c r="E49" s="34"/>
      <c r="F49" s="45"/>
      <c r="G49" s="31" t="str">
        <f aca="false">IF(N($F49)=0,"",$F49/マスタ!$B$5)</f>
        <v/>
      </c>
      <c r="H49" s="8"/>
      <c r="I49" s="44" t="str">
        <f aca="false">IF($A49="","",YEAR($A49)*100+MONTH($A49))</f>
        <v/>
      </c>
    </row>
    <row r="50" customFormat="false" ht="18" hidden="false" customHeight="true" outlineLevel="0" collapsed="false">
      <c r="A50" s="37"/>
      <c r="B50" s="33"/>
      <c r="C50" s="10" t="str">
        <f aca="false">IF($B50="","",IFERROR(INDEX(案件管理!$B$3:$B$202,MATCH($B50,案件管理!$A$3:$A$202,0)),"←IDが未登録です"))</f>
        <v/>
      </c>
      <c r="D50" s="34"/>
      <c r="E50" s="34"/>
      <c r="F50" s="45"/>
      <c r="G50" s="31" t="str">
        <f aca="false">IF(N($F50)=0,"",$F50/マスタ!$B$5)</f>
        <v/>
      </c>
      <c r="H50" s="8"/>
      <c r="I50" s="44" t="str">
        <f aca="false">IF($A50="","",YEAR($A50)*100+MONTH($A50))</f>
        <v/>
      </c>
    </row>
    <row r="51" customFormat="false" ht="18" hidden="false" customHeight="true" outlineLevel="0" collapsed="false">
      <c r="A51" s="37"/>
      <c r="B51" s="33"/>
      <c r="C51" s="10" t="str">
        <f aca="false">IF($B51="","",IFERROR(INDEX(案件管理!$B$3:$B$202,MATCH($B51,案件管理!$A$3:$A$202,0)),"←IDが未登録です"))</f>
        <v/>
      </c>
      <c r="D51" s="34"/>
      <c r="E51" s="34"/>
      <c r="F51" s="45"/>
      <c r="G51" s="31" t="str">
        <f aca="false">IF(N($F51)=0,"",$F51/マスタ!$B$5)</f>
        <v/>
      </c>
      <c r="H51" s="8"/>
      <c r="I51" s="44" t="str">
        <f aca="false">IF($A51="","",YEAR($A51)*100+MONTH($A51))</f>
        <v/>
      </c>
    </row>
    <row r="52" customFormat="false" ht="18" hidden="false" customHeight="true" outlineLevel="0" collapsed="false">
      <c r="A52" s="37"/>
      <c r="B52" s="33"/>
      <c r="C52" s="10" t="str">
        <f aca="false">IF($B52="","",IFERROR(INDEX(案件管理!$B$3:$B$202,MATCH($B52,案件管理!$A$3:$A$202,0)),"←IDが未登録です"))</f>
        <v/>
      </c>
      <c r="D52" s="34"/>
      <c r="E52" s="34"/>
      <c r="F52" s="45"/>
      <c r="G52" s="31" t="str">
        <f aca="false">IF(N($F52)=0,"",$F52/マスタ!$B$5)</f>
        <v/>
      </c>
      <c r="H52" s="8"/>
      <c r="I52" s="44" t="str">
        <f aca="false">IF($A52="","",YEAR($A52)*100+MONTH($A52))</f>
        <v/>
      </c>
    </row>
    <row r="53" customFormat="false" ht="18" hidden="false" customHeight="true" outlineLevel="0" collapsed="false">
      <c r="A53" s="37"/>
      <c r="B53" s="33"/>
      <c r="C53" s="10" t="str">
        <f aca="false">IF($B53="","",IFERROR(INDEX(案件管理!$B$3:$B$202,MATCH($B53,案件管理!$A$3:$A$202,0)),"←IDが未登録です"))</f>
        <v/>
      </c>
      <c r="D53" s="34"/>
      <c r="E53" s="34"/>
      <c r="F53" s="45"/>
      <c r="G53" s="31" t="str">
        <f aca="false">IF(N($F53)=0,"",$F53/マスタ!$B$5)</f>
        <v/>
      </c>
      <c r="H53" s="8"/>
      <c r="I53" s="44" t="str">
        <f aca="false">IF($A53="","",YEAR($A53)*100+MONTH($A53))</f>
        <v/>
      </c>
    </row>
    <row r="54" customFormat="false" ht="18" hidden="false" customHeight="true" outlineLevel="0" collapsed="false">
      <c r="A54" s="37"/>
      <c r="B54" s="33"/>
      <c r="C54" s="10" t="str">
        <f aca="false">IF($B54="","",IFERROR(INDEX(案件管理!$B$3:$B$202,MATCH($B54,案件管理!$A$3:$A$202,0)),"←IDが未登録です"))</f>
        <v/>
      </c>
      <c r="D54" s="34"/>
      <c r="E54" s="34"/>
      <c r="F54" s="45"/>
      <c r="G54" s="31" t="str">
        <f aca="false">IF(N($F54)=0,"",$F54/マスタ!$B$5)</f>
        <v/>
      </c>
      <c r="H54" s="8"/>
      <c r="I54" s="44" t="str">
        <f aca="false">IF($A54="","",YEAR($A54)*100+MONTH($A54))</f>
        <v/>
      </c>
    </row>
    <row r="55" customFormat="false" ht="18" hidden="false" customHeight="true" outlineLevel="0" collapsed="false">
      <c r="A55" s="37"/>
      <c r="B55" s="33"/>
      <c r="C55" s="10" t="str">
        <f aca="false">IF($B55="","",IFERROR(INDEX(案件管理!$B$3:$B$202,MATCH($B55,案件管理!$A$3:$A$202,0)),"←IDが未登録です"))</f>
        <v/>
      </c>
      <c r="D55" s="34"/>
      <c r="E55" s="34"/>
      <c r="F55" s="45"/>
      <c r="G55" s="31" t="str">
        <f aca="false">IF(N($F55)=0,"",$F55/マスタ!$B$5)</f>
        <v/>
      </c>
      <c r="H55" s="8"/>
      <c r="I55" s="44" t="str">
        <f aca="false">IF($A55="","",YEAR($A55)*100+MONTH($A55))</f>
        <v/>
      </c>
    </row>
    <row r="56" customFormat="false" ht="18" hidden="false" customHeight="true" outlineLevel="0" collapsed="false">
      <c r="A56" s="37"/>
      <c r="B56" s="33"/>
      <c r="C56" s="10" t="str">
        <f aca="false">IF($B56="","",IFERROR(INDEX(案件管理!$B$3:$B$202,MATCH($B56,案件管理!$A$3:$A$202,0)),"←IDが未登録です"))</f>
        <v/>
      </c>
      <c r="D56" s="34"/>
      <c r="E56" s="34"/>
      <c r="F56" s="45"/>
      <c r="G56" s="31" t="str">
        <f aca="false">IF(N($F56)=0,"",$F56/マスタ!$B$5)</f>
        <v/>
      </c>
      <c r="H56" s="8"/>
      <c r="I56" s="44" t="str">
        <f aca="false">IF($A56="","",YEAR($A56)*100+MONTH($A56))</f>
        <v/>
      </c>
    </row>
    <row r="57" customFormat="false" ht="18" hidden="false" customHeight="true" outlineLevel="0" collapsed="false">
      <c r="A57" s="37"/>
      <c r="B57" s="33"/>
      <c r="C57" s="10" t="str">
        <f aca="false">IF($B57="","",IFERROR(INDEX(案件管理!$B$3:$B$202,MATCH($B57,案件管理!$A$3:$A$202,0)),"←IDが未登録です"))</f>
        <v/>
      </c>
      <c r="D57" s="34"/>
      <c r="E57" s="34"/>
      <c r="F57" s="45"/>
      <c r="G57" s="31" t="str">
        <f aca="false">IF(N($F57)=0,"",$F57/マスタ!$B$5)</f>
        <v/>
      </c>
      <c r="H57" s="8"/>
      <c r="I57" s="44" t="str">
        <f aca="false">IF($A57="","",YEAR($A57)*100+MONTH($A57))</f>
        <v/>
      </c>
    </row>
    <row r="58" customFormat="false" ht="18" hidden="false" customHeight="true" outlineLevel="0" collapsed="false">
      <c r="A58" s="37"/>
      <c r="B58" s="33"/>
      <c r="C58" s="10" t="str">
        <f aca="false">IF($B58="","",IFERROR(INDEX(案件管理!$B$3:$B$202,MATCH($B58,案件管理!$A$3:$A$202,0)),"←IDが未登録です"))</f>
        <v/>
      </c>
      <c r="D58" s="34"/>
      <c r="E58" s="34"/>
      <c r="F58" s="45"/>
      <c r="G58" s="31" t="str">
        <f aca="false">IF(N($F58)=0,"",$F58/マスタ!$B$5)</f>
        <v/>
      </c>
      <c r="H58" s="8"/>
      <c r="I58" s="44" t="str">
        <f aca="false">IF($A58="","",YEAR($A58)*100+MONTH($A58))</f>
        <v/>
      </c>
    </row>
    <row r="59" customFormat="false" ht="18" hidden="false" customHeight="true" outlineLevel="0" collapsed="false">
      <c r="A59" s="37"/>
      <c r="B59" s="33"/>
      <c r="C59" s="10" t="str">
        <f aca="false">IF($B59="","",IFERROR(INDEX(案件管理!$B$3:$B$202,MATCH($B59,案件管理!$A$3:$A$202,0)),"←IDが未登録です"))</f>
        <v/>
      </c>
      <c r="D59" s="34"/>
      <c r="E59" s="34"/>
      <c r="F59" s="45"/>
      <c r="G59" s="31" t="str">
        <f aca="false">IF(N($F59)=0,"",$F59/マスタ!$B$5)</f>
        <v/>
      </c>
      <c r="H59" s="8"/>
      <c r="I59" s="44" t="str">
        <f aca="false">IF($A59="","",YEAR($A59)*100+MONTH($A59))</f>
        <v/>
      </c>
    </row>
    <row r="60" customFormat="false" ht="18" hidden="false" customHeight="true" outlineLevel="0" collapsed="false">
      <c r="A60" s="37"/>
      <c r="B60" s="33"/>
      <c r="C60" s="10" t="str">
        <f aca="false">IF($B60="","",IFERROR(INDEX(案件管理!$B$3:$B$202,MATCH($B60,案件管理!$A$3:$A$202,0)),"←IDが未登録です"))</f>
        <v/>
      </c>
      <c r="D60" s="34"/>
      <c r="E60" s="34"/>
      <c r="F60" s="45"/>
      <c r="G60" s="31" t="str">
        <f aca="false">IF(N($F60)=0,"",$F60/マスタ!$B$5)</f>
        <v/>
      </c>
      <c r="H60" s="8"/>
      <c r="I60" s="44" t="str">
        <f aca="false">IF($A60="","",YEAR($A60)*100+MONTH($A60))</f>
        <v/>
      </c>
    </row>
    <row r="61" customFormat="false" ht="18" hidden="false" customHeight="true" outlineLevel="0" collapsed="false">
      <c r="A61" s="37"/>
      <c r="B61" s="33"/>
      <c r="C61" s="10" t="str">
        <f aca="false">IF($B61="","",IFERROR(INDEX(案件管理!$B$3:$B$202,MATCH($B61,案件管理!$A$3:$A$202,0)),"←IDが未登録です"))</f>
        <v/>
      </c>
      <c r="D61" s="34"/>
      <c r="E61" s="34"/>
      <c r="F61" s="45"/>
      <c r="G61" s="31" t="str">
        <f aca="false">IF(N($F61)=0,"",$F61/マスタ!$B$5)</f>
        <v/>
      </c>
      <c r="H61" s="8"/>
      <c r="I61" s="44" t="str">
        <f aca="false">IF($A61="","",YEAR($A61)*100+MONTH($A61))</f>
        <v/>
      </c>
    </row>
    <row r="62" customFormat="false" ht="18" hidden="false" customHeight="true" outlineLevel="0" collapsed="false">
      <c r="A62" s="37"/>
      <c r="B62" s="33"/>
      <c r="C62" s="10" t="str">
        <f aca="false">IF($B62="","",IFERROR(INDEX(案件管理!$B$3:$B$202,MATCH($B62,案件管理!$A$3:$A$202,0)),"←IDが未登録です"))</f>
        <v/>
      </c>
      <c r="D62" s="34"/>
      <c r="E62" s="34"/>
      <c r="F62" s="45"/>
      <c r="G62" s="31" t="str">
        <f aca="false">IF(N($F62)=0,"",$F62/マスタ!$B$5)</f>
        <v/>
      </c>
      <c r="H62" s="8"/>
      <c r="I62" s="44" t="str">
        <f aca="false">IF($A62="","",YEAR($A62)*100+MONTH($A62))</f>
        <v/>
      </c>
    </row>
    <row r="63" customFormat="false" ht="18" hidden="false" customHeight="true" outlineLevel="0" collapsed="false">
      <c r="A63" s="37"/>
      <c r="B63" s="33"/>
      <c r="C63" s="10" t="str">
        <f aca="false">IF($B63="","",IFERROR(INDEX(案件管理!$B$3:$B$202,MATCH($B63,案件管理!$A$3:$A$202,0)),"←IDが未登録です"))</f>
        <v/>
      </c>
      <c r="D63" s="34"/>
      <c r="E63" s="34"/>
      <c r="F63" s="45"/>
      <c r="G63" s="31" t="str">
        <f aca="false">IF(N($F63)=0,"",$F63/マスタ!$B$5)</f>
        <v/>
      </c>
      <c r="H63" s="8"/>
      <c r="I63" s="44" t="str">
        <f aca="false">IF($A63="","",YEAR($A63)*100+MONTH($A63))</f>
        <v/>
      </c>
    </row>
    <row r="64" customFormat="false" ht="18" hidden="false" customHeight="true" outlineLevel="0" collapsed="false">
      <c r="A64" s="37"/>
      <c r="B64" s="33"/>
      <c r="C64" s="10" t="str">
        <f aca="false">IF($B64="","",IFERROR(INDEX(案件管理!$B$3:$B$202,MATCH($B64,案件管理!$A$3:$A$202,0)),"←IDが未登録です"))</f>
        <v/>
      </c>
      <c r="D64" s="34"/>
      <c r="E64" s="34"/>
      <c r="F64" s="45"/>
      <c r="G64" s="31" t="str">
        <f aca="false">IF(N($F64)=0,"",$F64/マスタ!$B$5)</f>
        <v/>
      </c>
      <c r="H64" s="8"/>
      <c r="I64" s="44" t="str">
        <f aca="false">IF($A64="","",YEAR($A64)*100+MONTH($A64))</f>
        <v/>
      </c>
    </row>
    <row r="65" customFormat="false" ht="18" hidden="false" customHeight="true" outlineLevel="0" collapsed="false">
      <c r="A65" s="37"/>
      <c r="B65" s="33"/>
      <c r="C65" s="10" t="str">
        <f aca="false">IF($B65="","",IFERROR(INDEX(案件管理!$B$3:$B$202,MATCH($B65,案件管理!$A$3:$A$202,0)),"←IDが未登録です"))</f>
        <v/>
      </c>
      <c r="D65" s="34"/>
      <c r="E65" s="34"/>
      <c r="F65" s="45"/>
      <c r="G65" s="31" t="str">
        <f aca="false">IF(N($F65)=0,"",$F65/マスタ!$B$5)</f>
        <v/>
      </c>
      <c r="H65" s="8"/>
      <c r="I65" s="44" t="str">
        <f aca="false">IF($A65="","",YEAR($A65)*100+MONTH($A65))</f>
        <v/>
      </c>
    </row>
    <row r="66" customFormat="false" ht="18" hidden="false" customHeight="true" outlineLevel="0" collapsed="false">
      <c r="A66" s="37"/>
      <c r="B66" s="33"/>
      <c r="C66" s="10" t="str">
        <f aca="false">IF($B66="","",IFERROR(INDEX(案件管理!$B$3:$B$202,MATCH($B66,案件管理!$A$3:$A$202,0)),"←IDが未登録です"))</f>
        <v/>
      </c>
      <c r="D66" s="34"/>
      <c r="E66" s="34"/>
      <c r="F66" s="45"/>
      <c r="G66" s="31" t="str">
        <f aca="false">IF(N($F66)=0,"",$F66/マスタ!$B$5)</f>
        <v/>
      </c>
      <c r="H66" s="8"/>
      <c r="I66" s="44" t="str">
        <f aca="false">IF($A66="","",YEAR($A66)*100+MONTH($A66))</f>
        <v/>
      </c>
    </row>
    <row r="67" customFormat="false" ht="18" hidden="false" customHeight="true" outlineLevel="0" collapsed="false">
      <c r="A67" s="37"/>
      <c r="B67" s="33"/>
      <c r="C67" s="10" t="str">
        <f aca="false">IF($B67="","",IFERROR(INDEX(案件管理!$B$3:$B$202,MATCH($B67,案件管理!$A$3:$A$202,0)),"←IDが未登録です"))</f>
        <v/>
      </c>
      <c r="D67" s="34"/>
      <c r="E67" s="34"/>
      <c r="F67" s="45"/>
      <c r="G67" s="31" t="str">
        <f aca="false">IF(N($F67)=0,"",$F67/マスタ!$B$5)</f>
        <v/>
      </c>
      <c r="H67" s="8"/>
      <c r="I67" s="44" t="str">
        <f aca="false">IF($A67="","",YEAR($A67)*100+MONTH($A67))</f>
        <v/>
      </c>
    </row>
    <row r="68" customFormat="false" ht="18" hidden="false" customHeight="true" outlineLevel="0" collapsed="false">
      <c r="A68" s="37"/>
      <c r="B68" s="33"/>
      <c r="C68" s="10" t="str">
        <f aca="false">IF($B68="","",IFERROR(INDEX(案件管理!$B$3:$B$202,MATCH($B68,案件管理!$A$3:$A$202,0)),"←IDが未登録です"))</f>
        <v/>
      </c>
      <c r="D68" s="34"/>
      <c r="E68" s="34"/>
      <c r="F68" s="45"/>
      <c r="G68" s="31" t="str">
        <f aca="false">IF(N($F68)=0,"",$F68/マスタ!$B$5)</f>
        <v/>
      </c>
      <c r="H68" s="8"/>
      <c r="I68" s="44" t="str">
        <f aca="false">IF($A68="","",YEAR($A68)*100+MONTH($A68))</f>
        <v/>
      </c>
    </row>
    <row r="69" customFormat="false" ht="18" hidden="false" customHeight="true" outlineLevel="0" collapsed="false">
      <c r="A69" s="37"/>
      <c r="B69" s="33"/>
      <c r="C69" s="10" t="str">
        <f aca="false">IF($B69="","",IFERROR(INDEX(案件管理!$B$3:$B$202,MATCH($B69,案件管理!$A$3:$A$202,0)),"←IDが未登録です"))</f>
        <v/>
      </c>
      <c r="D69" s="34"/>
      <c r="E69" s="34"/>
      <c r="F69" s="45"/>
      <c r="G69" s="31" t="str">
        <f aca="false">IF(N($F69)=0,"",$F69/マスタ!$B$5)</f>
        <v/>
      </c>
      <c r="H69" s="8"/>
      <c r="I69" s="44" t="str">
        <f aca="false">IF($A69="","",YEAR($A69)*100+MONTH($A69))</f>
        <v/>
      </c>
    </row>
    <row r="70" customFormat="false" ht="18" hidden="false" customHeight="true" outlineLevel="0" collapsed="false">
      <c r="A70" s="37"/>
      <c r="B70" s="33"/>
      <c r="C70" s="10" t="str">
        <f aca="false">IF($B70="","",IFERROR(INDEX(案件管理!$B$3:$B$202,MATCH($B70,案件管理!$A$3:$A$202,0)),"←IDが未登録です"))</f>
        <v/>
      </c>
      <c r="D70" s="34"/>
      <c r="E70" s="34"/>
      <c r="F70" s="45"/>
      <c r="G70" s="31" t="str">
        <f aca="false">IF(N($F70)=0,"",$F70/マスタ!$B$5)</f>
        <v/>
      </c>
      <c r="H70" s="8"/>
      <c r="I70" s="44" t="str">
        <f aca="false">IF($A70="","",YEAR($A70)*100+MONTH($A70))</f>
        <v/>
      </c>
    </row>
    <row r="71" customFormat="false" ht="18" hidden="false" customHeight="true" outlineLevel="0" collapsed="false">
      <c r="A71" s="37"/>
      <c r="B71" s="33"/>
      <c r="C71" s="10" t="str">
        <f aca="false">IF($B71="","",IFERROR(INDEX(案件管理!$B$3:$B$202,MATCH($B71,案件管理!$A$3:$A$202,0)),"←IDが未登録です"))</f>
        <v/>
      </c>
      <c r="D71" s="34"/>
      <c r="E71" s="34"/>
      <c r="F71" s="45"/>
      <c r="G71" s="31" t="str">
        <f aca="false">IF(N($F71)=0,"",$F71/マスタ!$B$5)</f>
        <v/>
      </c>
      <c r="H71" s="8"/>
      <c r="I71" s="44" t="str">
        <f aca="false">IF($A71="","",YEAR($A71)*100+MONTH($A71))</f>
        <v/>
      </c>
    </row>
    <row r="72" customFormat="false" ht="18" hidden="false" customHeight="true" outlineLevel="0" collapsed="false">
      <c r="A72" s="37"/>
      <c r="B72" s="33"/>
      <c r="C72" s="10" t="str">
        <f aca="false">IF($B72="","",IFERROR(INDEX(案件管理!$B$3:$B$202,MATCH($B72,案件管理!$A$3:$A$202,0)),"←IDが未登録です"))</f>
        <v/>
      </c>
      <c r="D72" s="34"/>
      <c r="E72" s="34"/>
      <c r="F72" s="45"/>
      <c r="G72" s="31" t="str">
        <f aca="false">IF(N($F72)=0,"",$F72/マスタ!$B$5)</f>
        <v/>
      </c>
      <c r="H72" s="8"/>
      <c r="I72" s="44" t="str">
        <f aca="false">IF($A72="","",YEAR($A72)*100+MONTH($A72))</f>
        <v/>
      </c>
    </row>
    <row r="73" customFormat="false" ht="18" hidden="false" customHeight="true" outlineLevel="0" collapsed="false">
      <c r="A73" s="37"/>
      <c r="B73" s="33"/>
      <c r="C73" s="10" t="str">
        <f aca="false">IF($B73="","",IFERROR(INDEX(案件管理!$B$3:$B$202,MATCH($B73,案件管理!$A$3:$A$202,0)),"←IDが未登録です"))</f>
        <v/>
      </c>
      <c r="D73" s="34"/>
      <c r="E73" s="34"/>
      <c r="F73" s="45"/>
      <c r="G73" s="31" t="str">
        <f aca="false">IF(N($F73)=0,"",$F73/マスタ!$B$5)</f>
        <v/>
      </c>
      <c r="H73" s="8"/>
      <c r="I73" s="44" t="str">
        <f aca="false">IF($A73="","",YEAR($A73)*100+MONTH($A73))</f>
        <v/>
      </c>
    </row>
    <row r="74" customFormat="false" ht="18" hidden="false" customHeight="true" outlineLevel="0" collapsed="false">
      <c r="A74" s="37"/>
      <c r="B74" s="33"/>
      <c r="C74" s="10" t="str">
        <f aca="false">IF($B74="","",IFERROR(INDEX(案件管理!$B$3:$B$202,MATCH($B74,案件管理!$A$3:$A$202,0)),"←IDが未登録です"))</f>
        <v/>
      </c>
      <c r="D74" s="34"/>
      <c r="E74" s="34"/>
      <c r="F74" s="45"/>
      <c r="G74" s="31" t="str">
        <f aca="false">IF(N($F74)=0,"",$F74/マスタ!$B$5)</f>
        <v/>
      </c>
      <c r="H74" s="8"/>
      <c r="I74" s="44" t="str">
        <f aca="false">IF($A74="","",YEAR($A74)*100+MONTH($A74))</f>
        <v/>
      </c>
    </row>
    <row r="75" customFormat="false" ht="18" hidden="false" customHeight="true" outlineLevel="0" collapsed="false">
      <c r="A75" s="37"/>
      <c r="B75" s="33"/>
      <c r="C75" s="10" t="str">
        <f aca="false">IF($B75="","",IFERROR(INDEX(案件管理!$B$3:$B$202,MATCH($B75,案件管理!$A$3:$A$202,0)),"←IDが未登録です"))</f>
        <v/>
      </c>
      <c r="D75" s="34"/>
      <c r="E75" s="34"/>
      <c r="F75" s="45"/>
      <c r="G75" s="31" t="str">
        <f aca="false">IF(N($F75)=0,"",$F75/マスタ!$B$5)</f>
        <v/>
      </c>
      <c r="H75" s="8"/>
      <c r="I75" s="44" t="str">
        <f aca="false">IF($A75="","",YEAR($A75)*100+MONTH($A75))</f>
        <v/>
      </c>
    </row>
    <row r="76" customFormat="false" ht="18" hidden="false" customHeight="true" outlineLevel="0" collapsed="false">
      <c r="A76" s="37"/>
      <c r="B76" s="33"/>
      <c r="C76" s="10" t="str">
        <f aca="false">IF($B76="","",IFERROR(INDEX(案件管理!$B$3:$B$202,MATCH($B76,案件管理!$A$3:$A$202,0)),"←IDが未登録です"))</f>
        <v/>
      </c>
      <c r="D76" s="34"/>
      <c r="E76" s="34"/>
      <c r="F76" s="45"/>
      <c r="G76" s="31" t="str">
        <f aca="false">IF(N($F76)=0,"",$F76/マスタ!$B$5)</f>
        <v/>
      </c>
      <c r="H76" s="8"/>
      <c r="I76" s="44" t="str">
        <f aca="false">IF($A76="","",YEAR($A76)*100+MONTH($A76))</f>
        <v/>
      </c>
    </row>
    <row r="77" customFormat="false" ht="18" hidden="false" customHeight="true" outlineLevel="0" collapsed="false">
      <c r="A77" s="37"/>
      <c r="B77" s="33"/>
      <c r="C77" s="10" t="str">
        <f aca="false">IF($B77="","",IFERROR(INDEX(案件管理!$B$3:$B$202,MATCH($B77,案件管理!$A$3:$A$202,0)),"←IDが未登録です"))</f>
        <v/>
      </c>
      <c r="D77" s="34"/>
      <c r="E77" s="34"/>
      <c r="F77" s="45"/>
      <c r="G77" s="31" t="str">
        <f aca="false">IF(N($F77)=0,"",$F77/マスタ!$B$5)</f>
        <v/>
      </c>
      <c r="H77" s="8"/>
      <c r="I77" s="44" t="str">
        <f aca="false">IF($A77="","",YEAR($A77)*100+MONTH($A77))</f>
        <v/>
      </c>
    </row>
    <row r="78" customFormat="false" ht="18" hidden="false" customHeight="true" outlineLevel="0" collapsed="false">
      <c r="A78" s="37"/>
      <c r="B78" s="33"/>
      <c r="C78" s="10" t="str">
        <f aca="false">IF($B78="","",IFERROR(INDEX(案件管理!$B$3:$B$202,MATCH($B78,案件管理!$A$3:$A$202,0)),"←IDが未登録です"))</f>
        <v/>
      </c>
      <c r="D78" s="34"/>
      <c r="E78" s="34"/>
      <c r="F78" s="45"/>
      <c r="G78" s="31" t="str">
        <f aca="false">IF(N($F78)=0,"",$F78/マスタ!$B$5)</f>
        <v/>
      </c>
      <c r="H78" s="8"/>
      <c r="I78" s="44" t="str">
        <f aca="false">IF($A78="","",YEAR($A78)*100+MONTH($A78))</f>
        <v/>
      </c>
    </row>
    <row r="79" customFormat="false" ht="18" hidden="false" customHeight="true" outlineLevel="0" collapsed="false">
      <c r="A79" s="37"/>
      <c r="B79" s="33"/>
      <c r="C79" s="10" t="str">
        <f aca="false">IF($B79="","",IFERROR(INDEX(案件管理!$B$3:$B$202,MATCH($B79,案件管理!$A$3:$A$202,0)),"←IDが未登録です"))</f>
        <v/>
      </c>
      <c r="D79" s="34"/>
      <c r="E79" s="34"/>
      <c r="F79" s="45"/>
      <c r="G79" s="31" t="str">
        <f aca="false">IF(N($F79)=0,"",$F79/マスタ!$B$5)</f>
        <v/>
      </c>
      <c r="H79" s="8"/>
      <c r="I79" s="44" t="str">
        <f aca="false">IF($A79="","",YEAR($A79)*100+MONTH($A79))</f>
        <v/>
      </c>
    </row>
    <row r="80" customFormat="false" ht="18" hidden="false" customHeight="true" outlineLevel="0" collapsed="false">
      <c r="A80" s="37"/>
      <c r="B80" s="33"/>
      <c r="C80" s="10" t="str">
        <f aca="false">IF($B80="","",IFERROR(INDEX(案件管理!$B$3:$B$202,MATCH($B80,案件管理!$A$3:$A$202,0)),"←IDが未登録です"))</f>
        <v/>
      </c>
      <c r="D80" s="34"/>
      <c r="E80" s="34"/>
      <c r="F80" s="45"/>
      <c r="G80" s="31" t="str">
        <f aca="false">IF(N($F80)=0,"",$F80/マスタ!$B$5)</f>
        <v/>
      </c>
      <c r="H80" s="8"/>
      <c r="I80" s="44" t="str">
        <f aca="false">IF($A80="","",YEAR($A80)*100+MONTH($A80))</f>
        <v/>
      </c>
    </row>
    <row r="81" customFormat="false" ht="18" hidden="false" customHeight="true" outlineLevel="0" collapsed="false">
      <c r="A81" s="37"/>
      <c r="B81" s="33"/>
      <c r="C81" s="10" t="str">
        <f aca="false">IF($B81="","",IFERROR(INDEX(案件管理!$B$3:$B$202,MATCH($B81,案件管理!$A$3:$A$202,0)),"←IDが未登録です"))</f>
        <v/>
      </c>
      <c r="D81" s="34"/>
      <c r="E81" s="34"/>
      <c r="F81" s="45"/>
      <c r="G81" s="31" t="str">
        <f aca="false">IF(N($F81)=0,"",$F81/マスタ!$B$5)</f>
        <v/>
      </c>
      <c r="H81" s="8"/>
      <c r="I81" s="44" t="str">
        <f aca="false">IF($A81="","",YEAR($A81)*100+MONTH($A81))</f>
        <v/>
      </c>
    </row>
    <row r="82" customFormat="false" ht="18" hidden="false" customHeight="true" outlineLevel="0" collapsed="false">
      <c r="A82" s="37"/>
      <c r="B82" s="33"/>
      <c r="C82" s="10" t="str">
        <f aca="false">IF($B82="","",IFERROR(INDEX(案件管理!$B$3:$B$202,MATCH($B82,案件管理!$A$3:$A$202,0)),"←IDが未登録です"))</f>
        <v/>
      </c>
      <c r="D82" s="34"/>
      <c r="E82" s="34"/>
      <c r="F82" s="45"/>
      <c r="G82" s="31" t="str">
        <f aca="false">IF(N($F82)=0,"",$F82/マスタ!$B$5)</f>
        <v/>
      </c>
      <c r="H82" s="8"/>
      <c r="I82" s="44" t="str">
        <f aca="false">IF($A82="","",YEAR($A82)*100+MONTH($A82))</f>
        <v/>
      </c>
    </row>
    <row r="83" customFormat="false" ht="18" hidden="false" customHeight="true" outlineLevel="0" collapsed="false">
      <c r="A83" s="37"/>
      <c r="B83" s="33"/>
      <c r="C83" s="10" t="str">
        <f aca="false">IF($B83="","",IFERROR(INDEX(案件管理!$B$3:$B$202,MATCH($B83,案件管理!$A$3:$A$202,0)),"←IDが未登録です"))</f>
        <v/>
      </c>
      <c r="D83" s="34"/>
      <c r="E83" s="34"/>
      <c r="F83" s="45"/>
      <c r="G83" s="31" t="str">
        <f aca="false">IF(N($F83)=0,"",$F83/マスタ!$B$5)</f>
        <v/>
      </c>
      <c r="H83" s="8"/>
      <c r="I83" s="44" t="str">
        <f aca="false">IF($A83="","",YEAR($A83)*100+MONTH($A83))</f>
        <v/>
      </c>
    </row>
    <row r="84" customFormat="false" ht="18" hidden="false" customHeight="true" outlineLevel="0" collapsed="false">
      <c r="A84" s="37"/>
      <c r="B84" s="33"/>
      <c r="C84" s="10" t="str">
        <f aca="false">IF($B84="","",IFERROR(INDEX(案件管理!$B$3:$B$202,MATCH($B84,案件管理!$A$3:$A$202,0)),"←IDが未登録です"))</f>
        <v/>
      </c>
      <c r="D84" s="34"/>
      <c r="E84" s="34"/>
      <c r="F84" s="45"/>
      <c r="G84" s="31" t="str">
        <f aca="false">IF(N($F84)=0,"",$F84/マスタ!$B$5)</f>
        <v/>
      </c>
      <c r="H84" s="8"/>
      <c r="I84" s="44" t="str">
        <f aca="false">IF($A84="","",YEAR($A84)*100+MONTH($A84))</f>
        <v/>
      </c>
    </row>
    <row r="85" customFormat="false" ht="18" hidden="false" customHeight="true" outlineLevel="0" collapsed="false">
      <c r="A85" s="37"/>
      <c r="B85" s="33"/>
      <c r="C85" s="10" t="str">
        <f aca="false">IF($B85="","",IFERROR(INDEX(案件管理!$B$3:$B$202,MATCH($B85,案件管理!$A$3:$A$202,0)),"←IDが未登録です"))</f>
        <v/>
      </c>
      <c r="D85" s="34"/>
      <c r="E85" s="34"/>
      <c r="F85" s="45"/>
      <c r="G85" s="31" t="str">
        <f aca="false">IF(N($F85)=0,"",$F85/マスタ!$B$5)</f>
        <v/>
      </c>
      <c r="H85" s="8"/>
      <c r="I85" s="44" t="str">
        <f aca="false">IF($A85="","",YEAR($A85)*100+MONTH($A85))</f>
        <v/>
      </c>
    </row>
    <row r="86" customFormat="false" ht="18" hidden="false" customHeight="true" outlineLevel="0" collapsed="false">
      <c r="A86" s="37"/>
      <c r="B86" s="33"/>
      <c r="C86" s="10" t="str">
        <f aca="false">IF($B86="","",IFERROR(INDEX(案件管理!$B$3:$B$202,MATCH($B86,案件管理!$A$3:$A$202,0)),"←IDが未登録です"))</f>
        <v/>
      </c>
      <c r="D86" s="34"/>
      <c r="E86" s="34"/>
      <c r="F86" s="45"/>
      <c r="G86" s="31" t="str">
        <f aca="false">IF(N($F86)=0,"",$F86/マスタ!$B$5)</f>
        <v/>
      </c>
      <c r="H86" s="8"/>
      <c r="I86" s="44" t="str">
        <f aca="false">IF($A86="","",YEAR($A86)*100+MONTH($A86))</f>
        <v/>
      </c>
    </row>
    <row r="87" customFormat="false" ht="18" hidden="false" customHeight="true" outlineLevel="0" collapsed="false">
      <c r="A87" s="37"/>
      <c r="B87" s="33"/>
      <c r="C87" s="10" t="str">
        <f aca="false">IF($B87="","",IFERROR(INDEX(案件管理!$B$3:$B$202,MATCH($B87,案件管理!$A$3:$A$202,0)),"←IDが未登録です"))</f>
        <v/>
      </c>
      <c r="D87" s="34"/>
      <c r="E87" s="34"/>
      <c r="F87" s="45"/>
      <c r="G87" s="31" t="str">
        <f aca="false">IF(N($F87)=0,"",$F87/マスタ!$B$5)</f>
        <v/>
      </c>
      <c r="H87" s="8"/>
      <c r="I87" s="44" t="str">
        <f aca="false">IF($A87="","",YEAR($A87)*100+MONTH($A87))</f>
        <v/>
      </c>
    </row>
    <row r="88" customFormat="false" ht="18" hidden="false" customHeight="true" outlineLevel="0" collapsed="false">
      <c r="A88" s="37"/>
      <c r="B88" s="33"/>
      <c r="C88" s="10" t="str">
        <f aca="false">IF($B88="","",IFERROR(INDEX(案件管理!$B$3:$B$202,MATCH($B88,案件管理!$A$3:$A$202,0)),"←IDが未登録です"))</f>
        <v/>
      </c>
      <c r="D88" s="34"/>
      <c r="E88" s="34"/>
      <c r="F88" s="45"/>
      <c r="G88" s="31" t="str">
        <f aca="false">IF(N($F88)=0,"",$F88/マスタ!$B$5)</f>
        <v/>
      </c>
      <c r="H88" s="8"/>
      <c r="I88" s="44" t="str">
        <f aca="false">IF($A88="","",YEAR($A88)*100+MONTH($A88))</f>
        <v/>
      </c>
    </row>
    <row r="89" customFormat="false" ht="18" hidden="false" customHeight="true" outlineLevel="0" collapsed="false">
      <c r="A89" s="37"/>
      <c r="B89" s="33"/>
      <c r="C89" s="10" t="str">
        <f aca="false">IF($B89="","",IFERROR(INDEX(案件管理!$B$3:$B$202,MATCH($B89,案件管理!$A$3:$A$202,0)),"←IDが未登録です"))</f>
        <v/>
      </c>
      <c r="D89" s="34"/>
      <c r="E89" s="34"/>
      <c r="F89" s="45"/>
      <c r="G89" s="31" t="str">
        <f aca="false">IF(N($F89)=0,"",$F89/マスタ!$B$5)</f>
        <v/>
      </c>
      <c r="H89" s="8"/>
      <c r="I89" s="44" t="str">
        <f aca="false">IF($A89="","",YEAR($A89)*100+MONTH($A89))</f>
        <v/>
      </c>
    </row>
    <row r="90" customFormat="false" ht="18" hidden="false" customHeight="true" outlineLevel="0" collapsed="false">
      <c r="A90" s="37"/>
      <c r="B90" s="33"/>
      <c r="C90" s="10" t="str">
        <f aca="false">IF($B90="","",IFERROR(INDEX(案件管理!$B$3:$B$202,MATCH($B90,案件管理!$A$3:$A$202,0)),"←IDが未登録です"))</f>
        <v/>
      </c>
      <c r="D90" s="34"/>
      <c r="E90" s="34"/>
      <c r="F90" s="45"/>
      <c r="G90" s="31" t="str">
        <f aca="false">IF(N($F90)=0,"",$F90/マスタ!$B$5)</f>
        <v/>
      </c>
      <c r="H90" s="8"/>
      <c r="I90" s="44" t="str">
        <f aca="false">IF($A90="","",YEAR($A90)*100+MONTH($A90))</f>
        <v/>
      </c>
    </row>
    <row r="91" customFormat="false" ht="18" hidden="false" customHeight="true" outlineLevel="0" collapsed="false">
      <c r="A91" s="37"/>
      <c r="B91" s="33"/>
      <c r="C91" s="10" t="str">
        <f aca="false">IF($B91="","",IFERROR(INDEX(案件管理!$B$3:$B$202,MATCH($B91,案件管理!$A$3:$A$202,0)),"←IDが未登録です"))</f>
        <v/>
      </c>
      <c r="D91" s="34"/>
      <c r="E91" s="34"/>
      <c r="F91" s="45"/>
      <c r="G91" s="31" t="str">
        <f aca="false">IF(N($F91)=0,"",$F91/マスタ!$B$5)</f>
        <v/>
      </c>
      <c r="H91" s="8"/>
      <c r="I91" s="44" t="str">
        <f aca="false">IF($A91="","",YEAR($A91)*100+MONTH($A91))</f>
        <v/>
      </c>
    </row>
    <row r="92" customFormat="false" ht="18" hidden="false" customHeight="true" outlineLevel="0" collapsed="false">
      <c r="A92" s="37"/>
      <c r="B92" s="33"/>
      <c r="C92" s="10" t="str">
        <f aca="false">IF($B92="","",IFERROR(INDEX(案件管理!$B$3:$B$202,MATCH($B92,案件管理!$A$3:$A$202,0)),"←IDが未登録です"))</f>
        <v/>
      </c>
      <c r="D92" s="34"/>
      <c r="E92" s="34"/>
      <c r="F92" s="45"/>
      <c r="G92" s="31" t="str">
        <f aca="false">IF(N($F92)=0,"",$F92/マスタ!$B$5)</f>
        <v/>
      </c>
      <c r="H92" s="8"/>
      <c r="I92" s="44" t="str">
        <f aca="false">IF($A92="","",YEAR($A92)*100+MONTH($A92))</f>
        <v/>
      </c>
    </row>
    <row r="93" customFormat="false" ht="18" hidden="false" customHeight="true" outlineLevel="0" collapsed="false">
      <c r="A93" s="37"/>
      <c r="B93" s="33"/>
      <c r="C93" s="10" t="str">
        <f aca="false">IF($B93="","",IFERROR(INDEX(案件管理!$B$3:$B$202,MATCH($B93,案件管理!$A$3:$A$202,0)),"←IDが未登録です"))</f>
        <v/>
      </c>
      <c r="D93" s="34"/>
      <c r="E93" s="34"/>
      <c r="F93" s="45"/>
      <c r="G93" s="31" t="str">
        <f aca="false">IF(N($F93)=0,"",$F93/マスタ!$B$5)</f>
        <v/>
      </c>
      <c r="H93" s="8"/>
      <c r="I93" s="44" t="str">
        <f aca="false">IF($A93="","",YEAR($A93)*100+MONTH($A93))</f>
        <v/>
      </c>
    </row>
    <row r="94" customFormat="false" ht="18" hidden="false" customHeight="true" outlineLevel="0" collapsed="false">
      <c r="A94" s="37"/>
      <c r="B94" s="33"/>
      <c r="C94" s="10" t="str">
        <f aca="false">IF($B94="","",IFERROR(INDEX(案件管理!$B$3:$B$202,MATCH($B94,案件管理!$A$3:$A$202,0)),"←IDが未登録です"))</f>
        <v/>
      </c>
      <c r="D94" s="34"/>
      <c r="E94" s="34"/>
      <c r="F94" s="45"/>
      <c r="G94" s="31" t="str">
        <f aca="false">IF(N($F94)=0,"",$F94/マスタ!$B$5)</f>
        <v/>
      </c>
      <c r="H94" s="8"/>
      <c r="I94" s="44" t="str">
        <f aca="false">IF($A94="","",YEAR($A94)*100+MONTH($A94))</f>
        <v/>
      </c>
    </row>
    <row r="95" customFormat="false" ht="18" hidden="false" customHeight="true" outlineLevel="0" collapsed="false">
      <c r="A95" s="37"/>
      <c r="B95" s="33"/>
      <c r="C95" s="10" t="str">
        <f aca="false">IF($B95="","",IFERROR(INDEX(案件管理!$B$3:$B$202,MATCH($B95,案件管理!$A$3:$A$202,0)),"←IDが未登録です"))</f>
        <v/>
      </c>
      <c r="D95" s="34"/>
      <c r="E95" s="34"/>
      <c r="F95" s="45"/>
      <c r="G95" s="31" t="str">
        <f aca="false">IF(N($F95)=0,"",$F95/マスタ!$B$5)</f>
        <v/>
      </c>
      <c r="H95" s="8"/>
      <c r="I95" s="44" t="str">
        <f aca="false">IF($A95="","",YEAR($A95)*100+MONTH($A95))</f>
        <v/>
      </c>
    </row>
    <row r="96" customFormat="false" ht="18" hidden="false" customHeight="true" outlineLevel="0" collapsed="false">
      <c r="A96" s="37"/>
      <c r="B96" s="33"/>
      <c r="C96" s="10" t="str">
        <f aca="false">IF($B96="","",IFERROR(INDEX(案件管理!$B$3:$B$202,MATCH($B96,案件管理!$A$3:$A$202,0)),"←IDが未登録です"))</f>
        <v/>
      </c>
      <c r="D96" s="34"/>
      <c r="E96" s="34"/>
      <c r="F96" s="45"/>
      <c r="G96" s="31" t="str">
        <f aca="false">IF(N($F96)=0,"",$F96/マスタ!$B$5)</f>
        <v/>
      </c>
      <c r="H96" s="8"/>
      <c r="I96" s="44" t="str">
        <f aca="false">IF($A96="","",YEAR($A96)*100+MONTH($A96))</f>
        <v/>
      </c>
    </row>
    <row r="97" customFormat="false" ht="18" hidden="false" customHeight="true" outlineLevel="0" collapsed="false">
      <c r="A97" s="37"/>
      <c r="B97" s="33"/>
      <c r="C97" s="10" t="str">
        <f aca="false">IF($B97="","",IFERROR(INDEX(案件管理!$B$3:$B$202,MATCH($B97,案件管理!$A$3:$A$202,0)),"←IDが未登録です"))</f>
        <v/>
      </c>
      <c r="D97" s="34"/>
      <c r="E97" s="34"/>
      <c r="F97" s="45"/>
      <c r="G97" s="31" t="str">
        <f aca="false">IF(N($F97)=0,"",$F97/マスタ!$B$5)</f>
        <v/>
      </c>
      <c r="H97" s="8"/>
      <c r="I97" s="44" t="str">
        <f aca="false">IF($A97="","",YEAR($A97)*100+MONTH($A97))</f>
        <v/>
      </c>
    </row>
    <row r="98" customFormat="false" ht="18" hidden="false" customHeight="true" outlineLevel="0" collapsed="false">
      <c r="A98" s="37"/>
      <c r="B98" s="33"/>
      <c r="C98" s="10" t="str">
        <f aca="false">IF($B98="","",IFERROR(INDEX(案件管理!$B$3:$B$202,MATCH($B98,案件管理!$A$3:$A$202,0)),"←IDが未登録です"))</f>
        <v/>
      </c>
      <c r="D98" s="34"/>
      <c r="E98" s="34"/>
      <c r="F98" s="45"/>
      <c r="G98" s="31" t="str">
        <f aca="false">IF(N($F98)=0,"",$F98/マスタ!$B$5)</f>
        <v/>
      </c>
      <c r="H98" s="8"/>
      <c r="I98" s="44" t="str">
        <f aca="false">IF($A98="","",YEAR($A98)*100+MONTH($A98))</f>
        <v/>
      </c>
    </row>
    <row r="99" customFormat="false" ht="18" hidden="false" customHeight="true" outlineLevel="0" collapsed="false">
      <c r="A99" s="37"/>
      <c r="B99" s="33"/>
      <c r="C99" s="10" t="str">
        <f aca="false">IF($B99="","",IFERROR(INDEX(案件管理!$B$3:$B$202,MATCH($B99,案件管理!$A$3:$A$202,0)),"←IDが未登録です"))</f>
        <v/>
      </c>
      <c r="D99" s="34"/>
      <c r="E99" s="34"/>
      <c r="F99" s="45"/>
      <c r="G99" s="31" t="str">
        <f aca="false">IF(N($F99)=0,"",$F99/マスタ!$B$5)</f>
        <v/>
      </c>
      <c r="H99" s="8"/>
      <c r="I99" s="44" t="str">
        <f aca="false">IF($A99="","",YEAR($A99)*100+MONTH($A99))</f>
        <v/>
      </c>
    </row>
    <row r="100" customFormat="false" ht="18" hidden="false" customHeight="true" outlineLevel="0" collapsed="false">
      <c r="A100" s="37"/>
      <c r="B100" s="33"/>
      <c r="C100" s="10" t="str">
        <f aca="false">IF($B100="","",IFERROR(INDEX(案件管理!$B$3:$B$202,MATCH($B100,案件管理!$A$3:$A$202,0)),"←IDが未登録です"))</f>
        <v/>
      </c>
      <c r="D100" s="34"/>
      <c r="E100" s="34"/>
      <c r="F100" s="45"/>
      <c r="G100" s="31" t="str">
        <f aca="false">IF(N($F100)=0,"",$F100/マスタ!$B$5)</f>
        <v/>
      </c>
      <c r="H100" s="8"/>
      <c r="I100" s="44" t="str">
        <f aca="false">IF($A100="","",YEAR($A100)*100+MONTH($A100))</f>
        <v/>
      </c>
    </row>
    <row r="101" customFormat="false" ht="18" hidden="false" customHeight="true" outlineLevel="0" collapsed="false">
      <c r="A101" s="37"/>
      <c r="B101" s="33"/>
      <c r="C101" s="10" t="str">
        <f aca="false">IF($B101="","",IFERROR(INDEX(案件管理!$B$3:$B$202,MATCH($B101,案件管理!$A$3:$A$202,0)),"←IDが未登録です"))</f>
        <v/>
      </c>
      <c r="D101" s="34"/>
      <c r="E101" s="34"/>
      <c r="F101" s="45"/>
      <c r="G101" s="31" t="str">
        <f aca="false">IF(N($F101)=0,"",$F101/マスタ!$B$5)</f>
        <v/>
      </c>
      <c r="H101" s="8"/>
      <c r="I101" s="44" t="str">
        <f aca="false">IF($A101="","",YEAR($A101)*100+MONTH($A101))</f>
        <v/>
      </c>
    </row>
    <row r="102" customFormat="false" ht="18" hidden="false" customHeight="true" outlineLevel="0" collapsed="false">
      <c r="A102" s="37"/>
      <c r="B102" s="33"/>
      <c r="C102" s="10" t="str">
        <f aca="false">IF($B102="","",IFERROR(INDEX(案件管理!$B$3:$B$202,MATCH($B102,案件管理!$A$3:$A$202,0)),"←IDが未登録です"))</f>
        <v/>
      </c>
      <c r="D102" s="34"/>
      <c r="E102" s="34"/>
      <c r="F102" s="45"/>
      <c r="G102" s="31" t="str">
        <f aca="false">IF(N($F102)=0,"",$F102/マスタ!$B$5)</f>
        <v/>
      </c>
      <c r="H102" s="8"/>
      <c r="I102" s="44" t="str">
        <f aca="false">IF($A102="","",YEAR($A102)*100+MONTH($A102))</f>
        <v/>
      </c>
    </row>
    <row r="103" customFormat="false" ht="18" hidden="false" customHeight="true" outlineLevel="0" collapsed="false">
      <c r="A103" s="37"/>
      <c r="B103" s="33"/>
      <c r="C103" s="10" t="str">
        <f aca="false">IF($B103="","",IFERROR(INDEX(案件管理!$B$3:$B$202,MATCH($B103,案件管理!$A$3:$A$202,0)),"←IDが未登録です"))</f>
        <v/>
      </c>
      <c r="D103" s="34"/>
      <c r="E103" s="34"/>
      <c r="F103" s="45"/>
      <c r="G103" s="31" t="str">
        <f aca="false">IF(N($F103)=0,"",$F103/マスタ!$B$5)</f>
        <v/>
      </c>
      <c r="H103" s="8"/>
      <c r="I103" s="44" t="str">
        <f aca="false">IF($A103="","",YEAR($A103)*100+MONTH($A103))</f>
        <v/>
      </c>
    </row>
    <row r="104" customFormat="false" ht="18" hidden="false" customHeight="true" outlineLevel="0" collapsed="false">
      <c r="A104" s="37"/>
      <c r="B104" s="33"/>
      <c r="C104" s="10" t="str">
        <f aca="false">IF($B104="","",IFERROR(INDEX(案件管理!$B$3:$B$202,MATCH($B104,案件管理!$A$3:$A$202,0)),"←IDが未登録です"))</f>
        <v/>
      </c>
      <c r="D104" s="34"/>
      <c r="E104" s="34"/>
      <c r="F104" s="45"/>
      <c r="G104" s="31" t="str">
        <f aca="false">IF(N($F104)=0,"",$F104/マスタ!$B$5)</f>
        <v/>
      </c>
      <c r="H104" s="8"/>
      <c r="I104" s="44" t="str">
        <f aca="false">IF($A104="","",YEAR($A104)*100+MONTH($A104))</f>
        <v/>
      </c>
    </row>
    <row r="105" customFormat="false" ht="18" hidden="false" customHeight="true" outlineLevel="0" collapsed="false">
      <c r="A105" s="37"/>
      <c r="B105" s="33"/>
      <c r="C105" s="10" t="str">
        <f aca="false">IF($B105="","",IFERROR(INDEX(案件管理!$B$3:$B$202,MATCH($B105,案件管理!$A$3:$A$202,0)),"←IDが未登録です"))</f>
        <v/>
      </c>
      <c r="D105" s="34"/>
      <c r="E105" s="34"/>
      <c r="F105" s="45"/>
      <c r="G105" s="31" t="str">
        <f aca="false">IF(N($F105)=0,"",$F105/マスタ!$B$5)</f>
        <v/>
      </c>
      <c r="H105" s="8"/>
      <c r="I105" s="44" t="str">
        <f aca="false">IF($A105="","",YEAR($A105)*100+MONTH($A105))</f>
        <v/>
      </c>
    </row>
    <row r="106" customFormat="false" ht="18" hidden="false" customHeight="true" outlineLevel="0" collapsed="false">
      <c r="A106" s="37"/>
      <c r="B106" s="33"/>
      <c r="C106" s="10" t="str">
        <f aca="false">IF($B106="","",IFERROR(INDEX(案件管理!$B$3:$B$202,MATCH($B106,案件管理!$A$3:$A$202,0)),"←IDが未登録です"))</f>
        <v/>
      </c>
      <c r="D106" s="34"/>
      <c r="E106" s="34"/>
      <c r="F106" s="45"/>
      <c r="G106" s="31" t="str">
        <f aca="false">IF(N($F106)=0,"",$F106/マスタ!$B$5)</f>
        <v/>
      </c>
      <c r="H106" s="8"/>
      <c r="I106" s="44" t="str">
        <f aca="false">IF($A106="","",YEAR($A106)*100+MONTH($A106))</f>
        <v/>
      </c>
    </row>
    <row r="107" customFormat="false" ht="18" hidden="false" customHeight="true" outlineLevel="0" collapsed="false">
      <c r="A107" s="37"/>
      <c r="B107" s="33"/>
      <c r="C107" s="10" t="str">
        <f aca="false">IF($B107="","",IFERROR(INDEX(案件管理!$B$3:$B$202,MATCH($B107,案件管理!$A$3:$A$202,0)),"←IDが未登録です"))</f>
        <v/>
      </c>
      <c r="D107" s="34"/>
      <c r="E107" s="34"/>
      <c r="F107" s="45"/>
      <c r="G107" s="31" t="str">
        <f aca="false">IF(N($F107)=0,"",$F107/マスタ!$B$5)</f>
        <v/>
      </c>
      <c r="H107" s="8"/>
      <c r="I107" s="44" t="str">
        <f aca="false">IF($A107="","",YEAR($A107)*100+MONTH($A107))</f>
        <v/>
      </c>
    </row>
    <row r="108" customFormat="false" ht="18" hidden="false" customHeight="true" outlineLevel="0" collapsed="false">
      <c r="A108" s="37"/>
      <c r="B108" s="33"/>
      <c r="C108" s="10" t="str">
        <f aca="false">IF($B108="","",IFERROR(INDEX(案件管理!$B$3:$B$202,MATCH($B108,案件管理!$A$3:$A$202,0)),"←IDが未登録です"))</f>
        <v/>
      </c>
      <c r="D108" s="34"/>
      <c r="E108" s="34"/>
      <c r="F108" s="45"/>
      <c r="G108" s="31" t="str">
        <f aca="false">IF(N($F108)=0,"",$F108/マスタ!$B$5)</f>
        <v/>
      </c>
      <c r="H108" s="8"/>
      <c r="I108" s="44" t="str">
        <f aca="false">IF($A108="","",YEAR($A108)*100+MONTH($A108))</f>
        <v/>
      </c>
    </row>
    <row r="109" customFormat="false" ht="18" hidden="false" customHeight="true" outlineLevel="0" collapsed="false">
      <c r="A109" s="37"/>
      <c r="B109" s="33"/>
      <c r="C109" s="10" t="str">
        <f aca="false">IF($B109="","",IFERROR(INDEX(案件管理!$B$3:$B$202,MATCH($B109,案件管理!$A$3:$A$202,0)),"←IDが未登録です"))</f>
        <v/>
      </c>
      <c r="D109" s="34"/>
      <c r="E109" s="34"/>
      <c r="F109" s="45"/>
      <c r="G109" s="31" t="str">
        <f aca="false">IF(N($F109)=0,"",$F109/マスタ!$B$5)</f>
        <v/>
      </c>
      <c r="H109" s="8"/>
      <c r="I109" s="44" t="str">
        <f aca="false">IF($A109="","",YEAR($A109)*100+MONTH($A109))</f>
        <v/>
      </c>
    </row>
    <row r="110" customFormat="false" ht="18" hidden="false" customHeight="true" outlineLevel="0" collapsed="false">
      <c r="A110" s="37"/>
      <c r="B110" s="33"/>
      <c r="C110" s="10" t="str">
        <f aca="false">IF($B110="","",IFERROR(INDEX(案件管理!$B$3:$B$202,MATCH($B110,案件管理!$A$3:$A$202,0)),"←IDが未登録です"))</f>
        <v/>
      </c>
      <c r="D110" s="34"/>
      <c r="E110" s="34"/>
      <c r="F110" s="45"/>
      <c r="G110" s="31" t="str">
        <f aca="false">IF(N($F110)=0,"",$F110/マスタ!$B$5)</f>
        <v/>
      </c>
      <c r="H110" s="8"/>
      <c r="I110" s="44" t="str">
        <f aca="false">IF($A110="","",YEAR($A110)*100+MONTH($A110))</f>
        <v/>
      </c>
    </row>
    <row r="111" customFormat="false" ht="18" hidden="false" customHeight="true" outlineLevel="0" collapsed="false">
      <c r="A111" s="37"/>
      <c r="B111" s="33"/>
      <c r="C111" s="10" t="str">
        <f aca="false">IF($B111="","",IFERROR(INDEX(案件管理!$B$3:$B$202,MATCH($B111,案件管理!$A$3:$A$202,0)),"←IDが未登録です"))</f>
        <v/>
      </c>
      <c r="D111" s="34"/>
      <c r="E111" s="34"/>
      <c r="F111" s="45"/>
      <c r="G111" s="31" t="str">
        <f aca="false">IF(N($F111)=0,"",$F111/マスタ!$B$5)</f>
        <v/>
      </c>
      <c r="H111" s="8"/>
      <c r="I111" s="44" t="str">
        <f aca="false">IF($A111="","",YEAR($A111)*100+MONTH($A111))</f>
        <v/>
      </c>
    </row>
    <row r="112" customFormat="false" ht="18" hidden="false" customHeight="true" outlineLevel="0" collapsed="false">
      <c r="A112" s="37"/>
      <c r="B112" s="33"/>
      <c r="C112" s="10" t="str">
        <f aca="false">IF($B112="","",IFERROR(INDEX(案件管理!$B$3:$B$202,MATCH($B112,案件管理!$A$3:$A$202,0)),"←IDが未登録です"))</f>
        <v/>
      </c>
      <c r="D112" s="34"/>
      <c r="E112" s="34"/>
      <c r="F112" s="45"/>
      <c r="G112" s="31" t="str">
        <f aca="false">IF(N($F112)=0,"",$F112/マスタ!$B$5)</f>
        <v/>
      </c>
      <c r="H112" s="8"/>
      <c r="I112" s="44" t="str">
        <f aca="false">IF($A112="","",YEAR($A112)*100+MONTH($A112))</f>
        <v/>
      </c>
    </row>
    <row r="113" customFormat="false" ht="18" hidden="false" customHeight="true" outlineLevel="0" collapsed="false">
      <c r="A113" s="37"/>
      <c r="B113" s="33"/>
      <c r="C113" s="10" t="str">
        <f aca="false">IF($B113="","",IFERROR(INDEX(案件管理!$B$3:$B$202,MATCH($B113,案件管理!$A$3:$A$202,0)),"←IDが未登録です"))</f>
        <v/>
      </c>
      <c r="D113" s="34"/>
      <c r="E113" s="34"/>
      <c r="F113" s="45"/>
      <c r="G113" s="31" t="str">
        <f aca="false">IF(N($F113)=0,"",$F113/マスタ!$B$5)</f>
        <v/>
      </c>
      <c r="H113" s="8"/>
      <c r="I113" s="44" t="str">
        <f aca="false">IF($A113="","",YEAR($A113)*100+MONTH($A113))</f>
        <v/>
      </c>
    </row>
    <row r="114" customFormat="false" ht="18" hidden="false" customHeight="true" outlineLevel="0" collapsed="false">
      <c r="A114" s="37"/>
      <c r="B114" s="33"/>
      <c r="C114" s="10" t="str">
        <f aca="false">IF($B114="","",IFERROR(INDEX(案件管理!$B$3:$B$202,MATCH($B114,案件管理!$A$3:$A$202,0)),"←IDが未登録です"))</f>
        <v/>
      </c>
      <c r="D114" s="34"/>
      <c r="E114" s="34"/>
      <c r="F114" s="45"/>
      <c r="G114" s="31" t="str">
        <f aca="false">IF(N($F114)=0,"",$F114/マスタ!$B$5)</f>
        <v/>
      </c>
      <c r="H114" s="8"/>
      <c r="I114" s="44" t="str">
        <f aca="false">IF($A114="","",YEAR($A114)*100+MONTH($A114))</f>
        <v/>
      </c>
    </row>
    <row r="115" customFormat="false" ht="18" hidden="false" customHeight="true" outlineLevel="0" collapsed="false">
      <c r="A115" s="37"/>
      <c r="B115" s="33"/>
      <c r="C115" s="10" t="str">
        <f aca="false">IF($B115="","",IFERROR(INDEX(案件管理!$B$3:$B$202,MATCH($B115,案件管理!$A$3:$A$202,0)),"←IDが未登録です"))</f>
        <v/>
      </c>
      <c r="D115" s="34"/>
      <c r="E115" s="34"/>
      <c r="F115" s="45"/>
      <c r="G115" s="31" t="str">
        <f aca="false">IF(N($F115)=0,"",$F115/マスタ!$B$5)</f>
        <v/>
      </c>
      <c r="H115" s="8"/>
      <c r="I115" s="44" t="str">
        <f aca="false">IF($A115="","",YEAR($A115)*100+MONTH($A115))</f>
        <v/>
      </c>
    </row>
    <row r="116" customFormat="false" ht="18" hidden="false" customHeight="true" outlineLevel="0" collapsed="false">
      <c r="A116" s="37"/>
      <c r="B116" s="33"/>
      <c r="C116" s="10" t="str">
        <f aca="false">IF($B116="","",IFERROR(INDEX(案件管理!$B$3:$B$202,MATCH($B116,案件管理!$A$3:$A$202,0)),"←IDが未登録です"))</f>
        <v/>
      </c>
      <c r="D116" s="34"/>
      <c r="E116" s="34"/>
      <c r="F116" s="45"/>
      <c r="G116" s="31" t="str">
        <f aca="false">IF(N($F116)=0,"",$F116/マスタ!$B$5)</f>
        <v/>
      </c>
      <c r="H116" s="8"/>
      <c r="I116" s="44" t="str">
        <f aca="false">IF($A116="","",YEAR($A116)*100+MONTH($A116))</f>
        <v/>
      </c>
    </row>
    <row r="117" customFormat="false" ht="18" hidden="false" customHeight="true" outlineLevel="0" collapsed="false">
      <c r="A117" s="37"/>
      <c r="B117" s="33"/>
      <c r="C117" s="10" t="str">
        <f aca="false">IF($B117="","",IFERROR(INDEX(案件管理!$B$3:$B$202,MATCH($B117,案件管理!$A$3:$A$202,0)),"←IDが未登録です"))</f>
        <v/>
      </c>
      <c r="D117" s="34"/>
      <c r="E117" s="34"/>
      <c r="F117" s="45"/>
      <c r="G117" s="31" t="str">
        <f aca="false">IF(N($F117)=0,"",$F117/マスタ!$B$5)</f>
        <v/>
      </c>
      <c r="H117" s="8"/>
      <c r="I117" s="44" t="str">
        <f aca="false">IF($A117="","",YEAR($A117)*100+MONTH($A117))</f>
        <v/>
      </c>
    </row>
    <row r="118" customFormat="false" ht="18" hidden="false" customHeight="true" outlineLevel="0" collapsed="false">
      <c r="A118" s="37"/>
      <c r="B118" s="33"/>
      <c r="C118" s="10" t="str">
        <f aca="false">IF($B118="","",IFERROR(INDEX(案件管理!$B$3:$B$202,MATCH($B118,案件管理!$A$3:$A$202,0)),"←IDが未登録です"))</f>
        <v/>
      </c>
      <c r="D118" s="34"/>
      <c r="E118" s="34"/>
      <c r="F118" s="45"/>
      <c r="G118" s="31" t="str">
        <f aca="false">IF(N($F118)=0,"",$F118/マスタ!$B$5)</f>
        <v/>
      </c>
      <c r="H118" s="8"/>
      <c r="I118" s="44" t="str">
        <f aca="false">IF($A118="","",YEAR($A118)*100+MONTH($A118))</f>
        <v/>
      </c>
    </row>
    <row r="119" customFormat="false" ht="18" hidden="false" customHeight="true" outlineLevel="0" collapsed="false">
      <c r="A119" s="37"/>
      <c r="B119" s="33"/>
      <c r="C119" s="10" t="str">
        <f aca="false">IF($B119="","",IFERROR(INDEX(案件管理!$B$3:$B$202,MATCH($B119,案件管理!$A$3:$A$202,0)),"←IDが未登録です"))</f>
        <v/>
      </c>
      <c r="D119" s="34"/>
      <c r="E119" s="34"/>
      <c r="F119" s="45"/>
      <c r="G119" s="31" t="str">
        <f aca="false">IF(N($F119)=0,"",$F119/マスタ!$B$5)</f>
        <v/>
      </c>
      <c r="H119" s="8"/>
      <c r="I119" s="44" t="str">
        <f aca="false">IF($A119="","",YEAR($A119)*100+MONTH($A119))</f>
        <v/>
      </c>
    </row>
    <row r="120" customFormat="false" ht="18" hidden="false" customHeight="true" outlineLevel="0" collapsed="false">
      <c r="A120" s="37"/>
      <c r="B120" s="33"/>
      <c r="C120" s="10" t="str">
        <f aca="false">IF($B120="","",IFERROR(INDEX(案件管理!$B$3:$B$202,MATCH($B120,案件管理!$A$3:$A$202,0)),"←IDが未登録です"))</f>
        <v/>
      </c>
      <c r="D120" s="34"/>
      <c r="E120" s="34"/>
      <c r="F120" s="45"/>
      <c r="G120" s="31" t="str">
        <f aca="false">IF(N($F120)=0,"",$F120/マスタ!$B$5)</f>
        <v/>
      </c>
      <c r="H120" s="8"/>
      <c r="I120" s="44" t="str">
        <f aca="false">IF($A120="","",YEAR($A120)*100+MONTH($A120))</f>
        <v/>
      </c>
    </row>
    <row r="121" customFormat="false" ht="18" hidden="false" customHeight="true" outlineLevel="0" collapsed="false">
      <c r="A121" s="37"/>
      <c r="B121" s="33"/>
      <c r="C121" s="10" t="str">
        <f aca="false">IF($B121="","",IFERROR(INDEX(案件管理!$B$3:$B$202,MATCH($B121,案件管理!$A$3:$A$202,0)),"←IDが未登録です"))</f>
        <v/>
      </c>
      <c r="D121" s="34"/>
      <c r="E121" s="34"/>
      <c r="F121" s="45"/>
      <c r="G121" s="31" t="str">
        <f aca="false">IF(N($F121)=0,"",$F121/マスタ!$B$5)</f>
        <v/>
      </c>
      <c r="H121" s="8"/>
      <c r="I121" s="44" t="str">
        <f aca="false">IF($A121="","",YEAR($A121)*100+MONTH($A121))</f>
        <v/>
      </c>
    </row>
    <row r="122" customFormat="false" ht="18" hidden="false" customHeight="true" outlineLevel="0" collapsed="false">
      <c r="A122" s="37"/>
      <c r="B122" s="33"/>
      <c r="C122" s="10" t="str">
        <f aca="false">IF($B122="","",IFERROR(INDEX(案件管理!$B$3:$B$202,MATCH($B122,案件管理!$A$3:$A$202,0)),"←IDが未登録です"))</f>
        <v/>
      </c>
      <c r="D122" s="34"/>
      <c r="E122" s="34"/>
      <c r="F122" s="45"/>
      <c r="G122" s="31" t="str">
        <f aca="false">IF(N($F122)=0,"",$F122/マスタ!$B$5)</f>
        <v/>
      </c>
      <c r="H122" s="8"/>
      <c r="I122" s="44" t="str">
        <f aca="false">IF($A122="","",YEAR($A122)*100+MONTH($A122))</f>
        <v/>
      </c>
    </row>
    <row r="123" customFormat="false" ht="18" hidden="false" customHeight="true" outlineLevel="0" collapsed="false">
      <c r="A123" s="37"/>
      <c r="B123" s="33"/>
      <c r="C123" s="10" t="str">
        <f aca="false">IF($B123="","",IFERROR(INDEX(案件管理!$B$3:$B$202,MATCH($B123,案件管理!$A$3:$A$202,0)),"←IDが未登録です"))</f>
        <v/>
      </c>
      <c r="D123" s="34"/>
      <c r="E123" s="34"/>
      <c r="F123" s="45"/>
      <c r="G123" s="31" t="str">
        <f aca="false">IF(N($F123)=0,"",$F123/マスタ!$B$5)</f>
        <v/>
      </c>
      <c r="H123" s="8"/>
      <c r="I123" s="44" t="str">
        <f aca="false">IF($A123="","",YEAR($A123)*100+MONTH($A123))</f>
        <v/>
      </c>
    </row>
    <row r="124" customFormat="false" ht="18" hidden="false" customHeight="true" outlineLevel="0" collapsed="false">
      <c r="A124" s="37"/>
      <c r="B124" s="33"/>
      <c r="C124" s="10" t="str">
        <f aca="false">IF($B124="","",IFERROR(INDEX(案件管理!$B$3:$B$202,MATCH($B124,案件管理!$A$3:$A$202,0)),"←IDが未登録です"))</f>
        <v/>
      </c>
      <c r="D124" s="34"/>
      <c r="E124" s="34"/>
      <c r="F124" s="45"/>
      <c r="G124" s="31" t="str">
        <f aca="false">IF(N($F124)=0,"",$F124/マスタ!$B$5)</f>
        <v/>
      </c>
      <c r="H124" s="8"/>
      <c r="I124" s="44" t="str">
        <f aca="false">IF($A124="","",YEAR($A124)*100+MONTH($A124))</f>
        <v/>
      </c>
    </row>
    <row r="125" customFormat="false" ht="18" hidden="false" customHeight="true" outlineLevel="0" collapsed="false">
      <c r="A125" s="37"/>
      <c r="B125" s="33"/>
      <c r="C125" s="10" t="str">
        <f aca="false">IF($B125="","",IFERROR(INDEX(案件管理!$B$3:$B$202,MATCH($B125,案件管理!$A$3:$A$202,0)),"←IDが未登録です"))</f>
        <v/>
      </c>
      <c r="D125" s="34"/>
      <c r="E125" s="34"/>
      <c r="F125" s="45"/>
      <c r="G125" s="31" t="str">
        <f aca="false">IF(N($F125)=0,"",$F125/マスタ!$B$5)</f>
        <v/>
      </c>
      <c r="H125" s="8"/>
      <c r="I125" s="44" t="str">
        <f aca="false">IF($A125="","",YEAR($A125)*100+MONTH($A125))</f>
        <v/>
      </c>
    </row>
    <row r="126" customFormat="false" ht="18" hidden="false" customHeight="true" outlineLevel="0" collapsed="false">
      <c r="A126" s="37"/>
      <c r="B126" s="33"/>
      <c r="C126" s="10" t="str">
        <f aca="false">IF($B126="","",IFERROR(INDEX(案件管理!$B$3:$B$202,MATCH($B126,案件管理!$A$3:$A$202,0)),"←IDが未登録です"))</f>
        <v/>
      </c>
      <c r="D126" s="34"/>
      <c r="E126" s="34"/>
      <c r="F126" s="45"/>
      <c r="G126" s="31" t="str">
        <f aca="false">IF(N($F126)=0,"",$F126/マスタ!$B$5)</f>
        <v/>
      </c>
      <c r="H126" s="8"/>
      <c r="I126" s="44" t="str">
        <f aca="false">IF($A126="","",YEAR($A126)*100+MONTH($A126))</f>
        <v/>
      </c>
    </row>
    <row r="127" customFormat="false" ht="18" hidden="false" customHeight="true" outlineLevel="0" collapsed="false">
      <c r="A127" s="37"/>
      <c r="B127" s="33"/>
      <c r="C127" s="10" t="str">
        <f aca="false">IF($B127="","",IFERROR(INDEX(案件管理!$B$3:$B$202,MATCH($B127,案件管理!$A$3:$A$202,0)),"←IDが未登録です"))</f>
        <v/>
      </c>
      <c r="D127" s="34"/>
      <c r="E127" s="34"/>
      <c r="F127" s="45"/>
      <c r="G127" s="31" t="str">
        <f aca="false">IF(N($F127)=0,"",$F127/マスタ!$B$5)</f>
        <v/>
      </c>
      <c r="H127" s="8"/>
      <c r="I127" s="44" t="str">
        <f aca="false">IF($A127="","",YEAR($A127)*100+MONTH($A127))</f>
        <v/>
      </c>
    </row>
    <row r="128" customFormat="false" ht="18" hidden="false" customHeight="true" outlineLevel="0" collapsed="false">
      <c r="A128" s="37"/>
      <c r="B128" s="33"/>
      <c r="C128" s="10" t="str">
        <f aca="false">IF($B128="","",IFERROR(INDEX(案件管理!$B$3:$B$202,MATCH($B128,案件管理!$A$3:$A$202,0)),"←IDが未登録です"))</f>
        <v/>
      </c>
      <c r="D128" s="34"/>
      <c r="E128" s="34"/>
      <c r="F128" s="45"/>
      <c r="G128" s="31" t="str">
        <f aca="false">IF(N($F128)=0,"",$F128/マスタ!$B$5)</f>
        <v/>
      </c>
      <c r="H128" s="8"/>
      <c r="I128" s="44" t="str">
        <f aca="false">IF($A128="","",YEAR($A128)*100+MONTH($A128))</f>
        <v/>
      </c>
    </row>
    <row r="129" customFormat="false" ht="18" hidden="false" customHeight="true" outlineLevel="0" collapsed="false">
      <c r="A129" s="37"/>
      <c r="B129" s="33"/>
      <c r="C129" s="10" t="str">
        <f aca="false">IF($B129="","",IFERROR(INDEX(案件管理!$B$3:$B$202,MATCH($B129,案件管理!$A$3:$A$202,0)),"←IDが未登録です"))</f>
        <v/>
      </c>
      <c r="D129" s="34"/>
      <c r="E129" s="34"/>
      <c r="F129" s="45"/>
      <c r="G129" s="31" t="str">
        <f aca="false">IF(N($F129)=0,"",$F129/マスタ!$B$5)</f>
        <v/>
      </c>
      <c r="H129" s="8"/>
      <c r="I129" s="44" t="str">
        <f aca="false">IF($A129="","",YEAR($A129)*100+MONTH($A129))</f>
        <v/>
      </c>
    </row>
    <row r="130" customFormat="false" ht="18" hidden="false" customHeight="true" outlineLevel="0" collapsed="false">
      <c r="A130" s="37"/>
      <c r="B130" s="33"/>
      <c r="C130" s="10" t="str">
        <f aca="false">IF($B130="","",IFERROR(INDEX(案件管理!$B$3:$B$202,MATCH($B130,案件管理!$A$3:$A$202,0)),"←IDが未登録です"))</f>
        <v/>
      </c>
      <c r="D130" s="34"/>
      <c r="E130" s="34"/>
      <c r="F130" s="45"/>
      <c r="G130" s="31" t="str">
        <f aca="false">IF(N($F130)=0,"",$F130/マスタ!$B$5)</f>
        <v/>
      </c>
      <c r="H130" s="8"/>
      <c r="I130" s="44" t="str">
        <f aca="false">IF($A130="","",YEAR($A130)*100+MONTH($A130))</f>
        <v/>
      </c>
    </row>
    <row r="131" customFormat="false" ht="18" hidden="false" customHeight="true" outlineLevel="0" collapsed="false">
      <c r="A131" s="37"/>
      <c r="B131" s="33"/>
      <c r="C131" s="10" t="str">
        <f aca="false">IF($B131="","",IFERROR(INDEX(案件管理!$B$3:$B$202,MATCH($B131,案件管理!$A$3:$A$202,0)),"←IDが未登録です"))</f>
        <v/>
      </c>
      <c r="D131" s="34"/>
      <c r="E131" s="34"/>
      <c r="F131" s="45"/>
      <c r="G131" s="31" t="str">
        <f aca="false">IF(N($F131)=0,"",$F131/マスタ!$B$5)</f>
        <v/>
      </c>
      <c r="H131" s="8"/>
      <c r="I131" s="44" t="str">
        <f aca="false">IF($A131="","",YEAR($A131)*100+MONTH($A131))</f>
        <v/>
      </c>
    </row>
    <row r="132" customFormat="false" ht="18" hidden="false" customHeight="true" outlineLevel="0" collapsed="false">
      <c r="A132" s="37"/>
      <c r="B132" s="33"/>
      <c r="C132" s="10" t="str">
        <f aca="false">IF($B132="","",IFERROR(INDEX(案件管理!$B$3:$B$202,MATCH($B132,案件管理!$A$3:$A$202,0)),"←IDが未登録です"))</f>
        <v/>
      </c>
      <c r="D132" s="34"/>
      <c r="E132" s="34"/>
      <c r="F132" s="45"/>
      <c r="G132" s="31" t="str">
        <f aca="false">IF(N($F132)=0,"",$F132/マスタ!$B$5)</f>
        <v/>
      </c>
      <c r="H132" s="8"/>
      <c r="I132" s="44" t="str">
        <f aca="false">IF($A132="","",YEAR($A132)*100+MONTH($A132))</f>
        <v/>
      </c>
    </row>
    <row r="133" customFormat="false" ht="18" hidden="false" customHeight="true" outlineLevel="0" collapsed="false">
      <c r="A133" s="37"/>
      <c r="B133" s="33"/>
      <c r="C133" s="10" t="str">
        <f aca="false">IF($B133="","",IFERROR(INDEX(案件管理!$B$3:$B$202,MATCH($B133,案件管理!$A$3:$A$202,0)),"←IDが未登録です"))</f>
        <v/>
      </c>
      <c r="D133" s="34"/>
      <c r="E133" s="34"/>
      <c r="F133" s="45"/>
      <c r="G133" s="31" t="str">
        <f aca="false">IF(N($F133)=0,"",$F133/マスタ!$B$5)</f>
        <v/>
      </c>
      <c r="H133" s="8"/>
      <c r="I133" s="44" t="str">
        <f aca="false">IF($A133="","",YEAR($A133)*100+MONTH($A133))</f>
        <v/>
      </c>
    </row>
    <row r="134" customFormat="false" ht="18" hidden="false" customHeight="true" outlineLevel="0" collapsed="false">
      <c r="A134" s="37"/>
      <c r="B134" s="33"/>
      <c r="C134" s="10" t="str">
        <f aca="false">IF($B134="","",IFERROR(INDEX(案件管理!$B$3:$B$202,MATCH($B134,案件管理!$A$3:$A$202,0)),"←IDが未登録です"))</f>
        <v/>
      </c>
      <c r="D134" s="34"/>
      <c r="E134" s="34"/>
      <c r="F134" s="45"/>
      <c r="G134" s="31" t="str">
        <f aca="false">IF(N($F134)=0,"",$F134/マスタ!$B$5)</f>
        <v/>
      </c>
      <c r="H134" s="8"/>
      <c r="I134" s="44" t="str">
        <f aca="false">IF($A134="","",YEAR($A134)*100+MONTH($A134))</f>
        <v/>
      </c>
    </row>
    <row r="135" customFormat="false" ht="18" hidden="false" customHeight="true" outlineLevel="0" collapsed="false">
      <c r="A135" s="37"/>
      <c r="B135" s="33"/>
      <c r="C135" s="10" t="str">
        <f aca="false">IF($B135="","",IFERROR(INDEX(案件管理!$B$3:$B$202,MATCH($B135,案件管理!$A$3:$A$202,0)),"←IDが未登録です"))</f>
        <v/>
      </c>
      <c r="D135" s="34"/>
      <c r="E135" s="34"/>
      <c r="F135" s="45"/>
      <c r="G135" s="31" t="str">
        <f aca="false">IF(N($F135)=0,"",$F135/マスタ!$B$5)</f>
        <v/>
      </c>
      <c r="H135" s="8"/>
      <c r="I135" s="44" t="str">
        <f aca="false">IF($A135="","",YEAR($A135)*100+MONTH($A135))</f>
        <v/>
      </c>
    </row>
    <row r="136" customFormat="false" ht="18" hidden="false" customHeight="true" outlineLevel="0" collapsed="false">
      <c r="A136" s="37"/>
      <c r="B136" s="33"/>
      <c r="C136" s="10" t="str">
        <f aca="false">IF($B136="","",IFERROR(INDEX(案件管理!$B$3:$B$202,MATCH($B136,案件管理!$A$3:$A$202,0)),"←IDが未登録です"))</f>
        <v/>
      </c>
      <c r="D136" s="34"/>
      <c r="E136" s="34"/>
      <c r="F136" s="45"/>
      <c r="G136" s="31" t="str">
        <f aca="false">IF(N($F136)=0,"",$F136/マスタ!$B$5)</f>
        <v/>
      </c>
      <c r="H136" s="8"/>
      <c r="I136" s="44" t="str">
        <f aca="false">IF($A136="","",YEAR($A136)*100+MONTH($A136))</f>
        <v/>
      </c>
    </row>
    <row r="137" customFormat="false" ht="18" hidden="false" customHeight="true" outlineLevel="0" collapsed="false">
      <c r="A137" s="37"/>
      <c r="B137" s="33"/>
      <c r="C137" s="10" t="str">
        <f aca="false">IF($B137="","",IFERROR(INDEX(案件管理!$B$3:$B$202,MATCH($B137,案件管理!$A$3:$A$202,0)),"←IDが未登録です"))</f>
        <v/>
      </c>
      <c r="D137" s="34"/>
      <c r="E137" s="34"/>
      <c r="F137" s="45"/>
      <c r="G137" s="31" t="str">
        <f aca="false">IF(N($F137)=0,"",$F137/マスタ!$B$5)</f>
        <v/>
      </c>
      <c r="H137" s="8"/>
      <c r="I137" s="44" t="str">
        <f aca="false">IF($A137="","",YEAR($A137)*100+MONTH($A137))</f>
        <v/>
      </c>
    </row>
    <row r="138" customFormat="false" ht="18" hidden="false" customHeight="true" outlineLevel="0" collapsed="false">
      <c r="A138" s="37"/>
      <c r="B138" s="33"/>
      <c r="C138" s="10" t="str">
        <f aca="false">IF($B138="","",IFERROR(INDEX(案件管理!$B$3:$B$202,MATCH($B138,案件管理!$A$3:$A$202,0)),"←IDが未登録です"))</f>
        <v/>
      </c>
      <c r="D138" s="34"/>
      <c r="E138" s="34"/>
      <c r="F138" s="45"/>
      <c r="G138" s="31" t="str">
        <f aca="false">IF(N($F138)=0,"",$F138/マスタ!$B$5)</f>
        <v/>
      </c>
      <c r="H138" s="8"/>
      <c r="I138" s="44" t="str">
        <f aca="false">IF($A138="","",YEAR($A138)*100+MONTH($A138))</f>
        <v/>
      </c>
    </row>
    <row r="139" customFormat="false" ht="18" hidden="false" customHeight="true" outlineLevel="0" collapsed="false">
      <c r="A139" s="37"/>
      <c r="B139" s="33"/>
      <c r="C139" s="10" t="str">
        <f aca="false">IF($B139="","",IFERROR(INDEX(案件管理!$B$3:$B$202,MATCH($B139,案件管理!$A$3:$A$202,0)),"←IDが未登録です"))</f>
        <v/>
      </c>
      <c r="D139" s="34"/>
      <c r="E139" s="34"/>
      <c r="F139" s="45"/>
      <c r="G139" s="31" t="str">
        <f aca="false">IF(N($F139)=0,"",$F139/マスタ!$B$5)</f>
        <v/>
      </c>
      <c r="H139" s="8"/>
      <c r="I139" s="44" t="str">
        <f aca="false">IF($A139="","",YEAR($A139)*100+MONTH($A139))</f>
        <v/>
      </c>
    </row>
    <row r="140" customFormat="false" ht="18" hidden="false" customHeight="true" outlineLevel="0" collapsed="false">
      <c r="A140" s="37"/>
      <c r="B140" s="33"/>
      <c r="C140" s="10" t="str">
        <f aca="false">IF($B140="","",IFERROR(INDEX(案件管理!$B$3:$B$202,MATCH($B140,案件管理!$A$3:$A$202,0)),"←IDが未登録です"))</f>
        <v/>
      </c>
      <c r="D140" s="34"/>
      <c r="E140" s="34"/>
      <c r="F140" s="45"/>
      <c r="G140" s="31" t="str">
        <f aca="false">IF(N($F140)=0,"",$F140/マスタ!$B$5)</f>
        <v/>
      </c>
      <c r="H140" s="8"/>
      <c r="I140" s="44" t="str">
        <f aca="false">IF($A140="","",YEAR($A140)*100+MONTH($A140))</f>
        <v/>
      </c>
    </row>
    <row r="141" customFormat="false" ht="18" hidden="false" customHeight="true" outlineLevel="0" collapsed="false">
      <c r="A141" s="37"/>
      <c r="B141" s="33"/>
      <c r="C141" s="10" t="str">
        <f aca="false">IF($B141="","",IFERROR(INDEX(案件管理!$B$3:$B$202,MATCH($B141,案件管理!$A$3:$A$202,0)),"←IDが未登録です"))</f>
        <v/>
      </c>
      <c r="D141" s="34"/>
      <c r="E141" s="34"/>
      <c r="F141" s="45"/>
      <c r="G141" s="31" t="str">
        <f aca="false">IF(N($F141)=0,"",$F141/マスタ!$B$5)</f>
        <v/>
      </c>
      <c r="H141" s="8"/>
      <c r="I141" s="44" t="str">
        <f aca="false">IF($A141="","",YEAR($A141)*100+MONTH($A141))</f>
        <v/>
      </c>
    </row>
    <row r="142" customFormat="false" ht="18" hidden="false" customHeight="true" outlineLevel="0" collapsed="false">
      <c r="A142" s="37"/>
      <c r="B142" s="33"/>
      <c r="C142" s="10" t="str">
        <f aca="false">IF($B142="","",IFERROR(INDEX(案件管理!$B$3:$B$202,MATCH($B142,案件管理!$A$3:$A$202,0)),"←IDが未登録です"))</f>
        <v/>
      </c>
      <c r="D142" s="34"/>
      <c r="E142" s="34"/>
      <c r="F142" s="45"/>
      <c r="G142" s="31" t="str">
        <f aca="false">IF(N($F142)=0,"",$F142/マスタ!$B$5)</f>
        <v/>
      </c>
      <c r="H142" s="8"/>
      <c r="I142" s="44" t="str">
        <f aca="false">IF($A142="","",YEAR($A142)*100+MONTH($A142))</f>
        <v/>
      </c>
    </row>
    <row r="143" customFormat="false" ht="18" hidden="false" customHeight="true" outlineLevel="0" collapsed="false">
      <c r="A143" s="37"/>
      <c r="B143" s="33"/>
      <c r="C143" s="10" t="str">
        <f aca="false">IF($B143="","",IFERROR(INDEX(案件管理!$B$3:$B$202,MATCH($B143,案件管理!$A$3:$A$202,0)),"←IDが未登録です"))</f>
        <v/>
      </c>
      <c r="D143" s="34"/>
      <c r="E143" s="34"/>
      <c r="F143" s="45"/>
      <c r="G143" s="31" t="str">
        <f aca="false">IF(N($F143)=0,"",$F143/マスタ!$B$5)</f>
        <v/>
      </c>
      <c r="H143" s="8"/>
      <c r="I143" s="44" t="str">
        <f aca="false">IF($A143="","",YEAR($A143)*100+MONTH($A143))</f>
        <v/>
      </c>
    </row>
    <row r="144" customFormat="false" ht="18" hidden="false" customHeight="true" outlineLevel="0" collapsed="false">
      <c r="A144" s="37"/>
      <c r="B144" s="33"/>
      <c r="C144" s="10" t="str">
        <f aca="false">IF($B144="","",IFERROR(INDEX(案件管理!$B$3:$B$202,MATCH($B144,案件管理!$A$3:$A$202,0)),"←IDが未登録です"))</f>
        <v/>
      </c>
      <c r="D144" s="34"/>
      <c r="E144" s="34"/>
      <c r="F144" s="45"/>
      <c r="G144" s="31" t="str">
        <f aca="false">IF(N($F144)=0,"",$F144/マスタ!$B$5)</f>
        <v/>
      </c>
      <c r="H144" s="8"/>
      <c r="I144" s="44" t="str">
        <f aca="false">IF($A144="","",YEAR($A144)*100+MONTH($A144))</f>
        <v/>
      </c>
    </row>
    <row r="145" customFormat="false" ht="18" hidden="false" customHeight="true" outlineLevel="0" collapsed="false">
      <c r="A145" s="37"/>
      <c r="B145" s="33"/>
      <c r="C145" s="10" t="str">
        <f aca="false">IF($B145="","",IFERROR(INDEX(案件管理!$B$3:$B$202,MATCH($B145,案件管理!$A$3:$A$202,0)),"←IDが未登録です"))</f>
        <v/>
      </c>
      <c r="D145" s="34"/>
      <c r="E145" s="34"/>
      <c r="F145" s="45"/>
      <c r="G145" s="31" t="str">
        <f aca="false">IF(N($F145)=0,"",$F145/マスタ!$B$5)</f>
        <v/>
      </c>
      <c r="H145" s="8"/>
      <c r="I145" s="44" t="str">
        <f aca="false">IF($A145="","",YEAR($A145)*100+MONTH($A145))</f>
        <v/>
      </c>
    </row>
    <row r="146" customFormat="false" ht="18" hidden="false" customHeight="true" outlineLevel="0" collapsed="false">
      <c r="A146" s="37"/>
      <c r="B146" s="33"/>
      <c r="C146" s="10" t="str">
        <f aca="false">IF($B146="","",IFERROR(INDEX(案件管理!$B$3:$B$202,MATCH($B146,案件管理!$A$3:$A$202,0)),"←IDが未登録です"))</f>
        <v/>
      </c>
      <c r="D146" s="34"/>
      <c r="E146" s="34"/>
      <c r="F146" s="45"/>
      <c r="G146" s="31" t="str">
        <f aca="false">IF(N($F146)=0,"",$F146/マスタ!$B$5)</f>
        <v/>
      </c>
      <c r="H146" s="8"/>
      <c r="I146" s="44" t="str">
        <f aca="false">IF($A146="","",YEAR($A146)*100+MONTH($A146))</f>
        <v/>
      </c>
    </row>
    <row r="147" customFormat="false" ht="18" hidden="false" customHeight="true" outlineLevel="0" collapsed="false">
      <c r="A147" s="37"/>
      <c r="B147" s="33"/>
      <c r="C147" s="10" t="str">
        <f aca="false">IF($B147="","",IFERROR(INDEX(案件管理!$B$3:$B$202,MATCH($B147,案件管理!$A$3:$A$202,0)),"←IDが未登録です"))</f>
        <v/>
      </c>
      <c r="D147" s="34"/>
      <c r="E147" s="34"/>
      <c r="F147" s="45"/>
      <c r="G147" s="31" t="str">
        <f aca="false">IF(N($F147)=0,"",$F147/マスタ!$B$5)</f>
        <v/>
      </c>
      <c r="H147" s="8"/>
      <c r="I147" s="44" t="str">
        <f aca="false">IF($A147="","",YEAR($A147)*100+MONTH($A147))</f>
        <v/>
      </c>
    </row>
    <row r="148" customFormat="false" ht="18" hidden="false" customHeight="true" outlineLevel="0" collapsed="false">
      <c r="A148" s="37"/>
      <c r="B148" s="33"/>
      <c r="C148" s="10" t="str">
        <f aca="false">IF($B148="","",IFERROR(INDEX(案件管理!$B$3:$B$202,MATCH($B148,案件管理!$A$3:$A$202,0)),"←IDが未登録です"))</f>
        <v/>
      </c>
      <c r="D148" s="34"/>
      <c r="E148" s="34"/>
      <c r="F148" s="45"/>
      <c r="G148" s="31" t="str">
        <f aca="false">IF(N($F148)=0,"",$F148/マスタ!$B$5)</f>
        <v/>
      </c>
      <c r="H148" s="8"/>
      <c r="I148" s="44" t="str">
        <f aca="false">IF($A148="","",YEAR($A148)*100+MONTH($A148))</f>
        <v/>
      </c>
    </row>
    <row r="149" customFormat="false" ht="18" hidden="false" customHeight="true" outlineLevel="0" collapsed="false">
      <c r="A149" s="37"/>
      <c r="B149" s="33"/>
      <c r="C149" s="10" t="str">
        <f aca="false">IF($B149="","",IFERROR(INDEX(案件管理!$B$3:$B$202,MATCH($B149,案件管理!$A$3:$A$202,0)),"←IDが未登録です"))</f>
        <v/>
      </c>
      <c r="D149" s="34"/>
      <c r="E149" s="34"/>
      <c r="F149" s="45"/>
      <c r="G149" s="31" t="str">
        <f aca="false">IF(N($F149)=0,"",$F149/マスタ!$B$5)</f>
        <v/>
      </c>
      <c r="H149" s="8"/>
      <c r="I149" s="44" t="str">
        <f aca="false">IF($A149="","",YEAR($A149)*100+MONTH($A149))</f>
        <v/>
      </c>
    </row>
    <row r="150" customFormat="false" ht="18" hidden="false" customHeight="true" outlineLevel="0" collapsed="false">
      <c r="A150" s="37"/>
      <c r="B150" s="33"/>
      <c r="C150" s="10" t="str">
        <f aca="false">IF($B150="","",IFERROR(INDEX(案件管理!$B$3:$B$202,MATCH($B150,案件管理!$A$3:$A$202,0)),"←IDが未登録です"))</f>
        <v/>
      </c>
      <c r="D150" s="34"/>
      <c r="E150" s="34"/>
      <c r="F150" s="45"/>
      <c r="G150" s="31" t="str">
        <f aca="false">IF(N($F150)=0,"",$F150/マスタ!$B$5)</f>
        <v/>
      </c>
      <c r="H150" s="8"/>
      <c r="I150" s="44" t="str">
        <f aca="false">IF($A150="","",YEAR($A150)*100+MONTH($A150))</f>
        <v/>
      </c>
    </row>
    <row r="151" customFormat="false" ht="18" hidden="false" customHeight="true" outlineLevel="0" collapsed="false">
      <c r="A151" s="37"/>
      <c r="B151" s="33"/>
      <c r="C151" s="10" t="str">
        <f aca="false">IF($B151="","",IFERROR(INDEX(案件管理!$B$3:$B$202,MATCH($B151,案件管理!$A$3:$A$202,0)),"←IDが未登録です"))</f>
        <v/>
      </c>
      <c r="D151" s="34"/>
      <c r="E151" s="34"/>
      <c r="F151" s="45"/>
      <c r="G151" s="31" t="str">
        <f aca="false">IF(N($F151)=0,"",$F151/マスタ!$B$5)</f>
        <v/>
      </c>
      <c r="H151" s="8"/>
      <c r="I151" s="44" t="str">
        <f aca="false">IF($A151="","",YEAR($A151)*100+MONTH($A151))</f>
        <v/>
      </c>
    </row>
    <row r="152" customFormat="false" ht="18" hidden="false" customHeight="true" outlineLevel="0" collapsed="false">
      <c r="A152" s="37"/>
      <c r="B152" s="33"/>
      <c r="C152" s="10" t="str">
        <f aca="false">IF($B152="","",IFERROR(INDEX(案件管理!$B$3:$B$202,MATCH($B152,案件管理!$A$3:$A$202,0)),"←IDが未登録です"))</f>
        <v/>
      </c>
      <c r="D152" s="34"/>
      <c r="E152" s="34"/>
      <c r="F152" s="45"/>
      <c r="G152" s="31" t="str">
        <f aca="false">IF(N($F152)=0,"",$F152/マスタ!$B$5)</f>
        <v/>
      </c>
      <c r="H152" s="8"/>
      <c r="I152" s="44" t="str">
        <f aca="false">IF($A152="","",YEAR($A152)*100+MONTH($A152))</f>
        <v/>
      </c>
    </row>
    <row r="153" customFormat="false" ht="18" hidden="false" customHeight="true" outlineLevel="0" collapsed="false">
      <c r="A153" s="37"/>
      <c r="B153" s="33"/>
      <c r="C153" s="10" t="str">
        <f aca="false">IF($B153="","",IFERROR(INDEX(案件管理!$B$3:$B$202,MATCH($B153,案件管理!$A$3:$A$202,0)),"←IDが未登録です"))</f>
        <v/>
      </c>
      <c r="D153" s="34"/>
      <c r="E153" s="34"/>
      <c r="F153" s="45"/>
      <c r="G153" s="31" t="str">
        <f aca="false">IF(N($F153)=0,"",$F153/マスタ!$B$5)</f>
        <v/>
      </c>
      <c r="H153" s="8"/>
      <c r="I153" s="44" t="str">
        <f aca="false">IF($A153="","",YEAR($A153)*100+MONTH($A153))</f>
        <v/>
      </c>
    </row>
    <row r="154" customFormat="false" ht="18" hidden="false" customHeight="true" outlineLevel="0" collapsed="false">
      <c r="A154" s="37"/>
      <c r="B154" s="33"/>
      <c r="C154" s="10" t="str">
        <f aca="false">IF($B154="","",IFERROR(INDEX(案件管理!$B$3:$B$202,MATCH($B154,案件管理!$A$3:$A$202,0)),"←IDが未登録です"))</f>
        <v/>
      </c>
      <c r="D154" s="34"/>
      <c r="E154" s="34"/>
      <c r="F154" s="45"/>
      <c r="G154" s="31" t="str">
        <f aca="false">IF(N($F154)=0,"",$F154/マスタ!$B$5)</f>
        <v/>
      </c>
      <c r="H154" s="8"/>
      <c r="I154" s="44" t="str">
        <f aca="false">IF($A154="","",YEAR($A154)*100+MONTH($A154))</f>
        <v/>
      </c>
    </row>
    <row r="155" customFormat="false" ht="18" hidden="false" customHeight="true" outlineLevel="0" collapsed="false">
      <c r="A155" s="37"/>
      <c r="B155" s="33"/>
      <c r="C155" s="10" t="str">
        <f aca="false">IF($B155="","",IFERROR(INDEX(案件管理!$B$3:$B$202,MATCH($B155,案件管理!$A$3:$A$202,0)),"←IDが未登録です"))</f>
        <v/>
      </c>
      <c r="D155" s="34"/>
      <c r="E155" s="34"/>
      <c r="F155" s="45"/>
      <c r="G155" s="31" t="str">
        <f aca="false">IF(N($F155)=0,"",$F155/マスタ!$B$5)</f>
        <v/>
      </c>
      <c r="H155" s="8"/>
      <c r="I155" s="44" t="str">
        <f aca="false">IF($A155="","",YEAR($A155)*100+MONTH($A155))</f>
        <v/>
      </c>
    </row>
    <row r="156" customFormat="false" ht="18" hidden="false" customHeight="true" outlineLevel="0" collapsed="false">
      <c r="A156" s="37"/>
      <c r="B156" s="33"/>
      <c r="C156" s="10" t="str">
        <f aca="false">IF($B156="","",IFERROR(INDEX(案件管理!$B$3:$B$202,MATCH($B156,案件管理!$A$3:$A$202,0)),"←IDが未登録です"))</f>
        <v/>
      </c>
      <c r="D156" s="34"/>
      <c r="E156" s="34"/>
      <c r="F156" s="45"/>
      <c r="G156" s="31" t="str">
        <f aca="false">IF(N($F156)=0,"",$F156/マスタ!$B$5)</f>
        <v/>
      </c>
      <c r="H156" s="8"/>
      <c r="I156" s="44" t="str">
        <f aca="false">IF($A156="","",YEAR($A156)*100+MONTH($A156))</f>
        <v/>
      </c>
    </row>
    <row r="157" customFormat="false" ht="18" hidden="false" customHeight="true" outlineLevel="0" collapsed="false">
      <c r="A157" s="37"/>
      <c r="B157" s="33"/>
      <c r="C157" s="10" t="str">
        <f aca="false">IF($B157="","",IFERROR(INDEX(案件管理!$B$3:$B$202,MATCH($B157,案件管理!$A$3:$A$202,0)),"←IDが未登録です"))</f>
        <v/>
      </c>
      <c r="D157" s="34"/>
      <c r="E157" s="34"/>
      <c r="F157" s="45"/>
      <c r="G157" s="31" t="str">
        <f aca="false">IF(N($F157)=0,"",$F157/マスタ!$B$5)</f>
        <v/>
      </c>
      <c r="H157" s="8"/>
      <c r="I157" s="44" t="str">
        <f aca="false">IF($A157="","",YEAR($A157)*100+MONTH($A157))</f>
        <v/>
      </c>
    </row>
    <row r="158" customFormat="false" ht="18" hidden="false" customHeight="true" outlineLevel="0" collapsed="false">
      <c r="A158" s="37"/>
      <c r="B158" s="33"/>
      <c r="C158" s="10" t="str">
        <f aca="false">IF($B158="","",IFERROR(INDEX(案件管理!$B$3:$B$202,MATCH($B158,案件管理!$A$3:$A$202,0)),"←IDが未登録です"))</f>
        <v/>
      </c>
      <c r="D158" s="34"/>
      <c r="E158" s="34"/>
      <c r="F158" s="45"/>
      <c r="G158" s="31" t="str">
        <f aca="false">IF(N($F158)=0,"",$F158/マスタ!$B$5)</f>
        <v/>
      </c>
      <c r="H158" s="8"/>
      <c r="I158" s="44" t="str">
        <f aca="false">IF($A158="","",YEAR($A158)*100+MONTH($A158))</f>
        <v/>
      </c>
    </row>
    <row r="159" customFormat="false" ht="18" hidden="false" customHeight="true" outlineLevel="0" collapsed="false">
      <c r="A159" s="37"/>
      <c r="B159" s="33"/>
      <c r="C159" s="10" t="str">
        <f aca="false">IF($B159="","",IFERROR(INDEX(案件管理!$B$3:$B$202,MATCH($B159,案件管理!$A$3:$A$202,0)),"←IDが未登録です"))</f>
        <v/>
      </c>
      <c r="D159" s="34"/>
      <c r="E159" s="34"/>
      <c r="F159" s="45"/>
      <c r="G159" s="31" t="str">
        <f aca="false">IF(N($F159)=0,"",$F159/マスタ!$B$5)</f>
        <v/>
      </c>
      <c r="H159" s="8"/>
      <c r="I159" s="44" t="str">
        <f aca="false">IF($A159="","",YEAR($A159)*100+MONTH($A159))</f>
        <v/>
      </c>
    </row>
    <row r="160" customFormat="false" ht="18" hidden="false" customHeight="true" outlineLevel="0" collapsed="false">
      <c r="A160" s="37"/>
      <c r="B160" s="33"/>
      <c r="C160" s="10" t="str">
        <f aca="false">IF($B160="","",IFERROR(INDEX(案件管理!$B$3:$B$202,MATCH($B160,案件管理!$A$3:$A$202,0)),"←IDが未登録です"))</f>
        <v/>
      </c>
      <c r="D160" s="34"/>
      <c r="E160" s="34"/>
      <c r="F160" s="45"/>
      <c r="G160" s="31" t="str">
        <f aca="false">IF(N($F160)=0,"",$F160/マスタ!$B$5)</f>
        <v/>
      </c>
      <c r="H160" s="8"/>
      <c r="I160" s="44" t="str">
        <f aca="false">IF($A160="","",YEAR($A160)*100+MONTH($A160))</f>
        <v/>
      </c>
    </row>
    <row r="161" customFormat="false" ht="18" hidden="false" customHeight="true" outlineLevel="0" collapsed="false">
      <c r="A161" s="37"/>
      <c r="B161" s="33"/>
      <c r="C161" s="10" t="str">
        <f aca="false">IF($B161="","",IFERROR(INDEX(案件管理!$B$3:$B$202,MATCH($B161,案件管理!$A$3:$A$202,0)),"←IDが未登録です"))</f>
        <v/>
      </c>
      <c r="D161" s="34"/>
      <c r="E161" s="34"/>
      <c r="F161" s="45"/>
      <c r="G161" s="31" t="str">
        <f aca="false">IF(N($F161)=0,"",$F161/マスタ!$B$5)</f>
        <v/>
      </c>
      <c r="H161" s="8"/>
      <c r="I161" s="44" t="str">
        <f aca="false">IF($A161="","",YEAR($A161)*100+MONTH($A161))</f>
        <v/>
      </c>
    </row>
    <row r="162" customFormat="false" ht="18" hidden="false" customHeight="true" outlineLevel="0" collapsed="false">
      <c r="A162" s="37"/>
      <c r="B162" s="33"/>
      <c r="C162" s="10" t="str">
        <f aca="false">IF($B162="","",IFERROR(INDEX(案件管理!$B$3:$B$202,MATCH($B162,案件管理!$A$3:$A$202,0)),"←IDが未登録です"))</f>
        <v/>
      </c>
      <c r="D162" s="34"/>
      <c r="E162" s="34"/>
      <c r="F162" s="45"/>
      <c r="G162" s="31" t="str">
        <f aca="false">IF(N($F162)=0,"",$F162/マスタ!$B$5)</f>
        <v/>
      </c>
      <c r="H162" s="8"/>
      <c r="I162" s="44" t="str">
        <f aca="false">IF($A162="","",YEAR($A162)*100+MONTH($A162))</f>
        <v/>
      </c>
    </row>
    <row r="163" customFormat="false" ht="18" hidden="false" customHeight="true" outlineLevel="0" collapsed="false">
      <c r="A163" s="37"/>
      <c r="B163" s="33"/>
      <c r="C163" s="10" t="str">
        <f aca="false">IF($B163="","",IFERROR(INDEX(案件管理!$B$3:$B$202,MATCH($B163,案件管理!$A$3:$A$202,0)),"←IDが未登録です"))</f>
        <v/>
      </c>
      <c r="D163" s="34"/>
      <c r="E163" s="34"/>
      <c r="F163" s="45"/>
      <c r="G163" s="31" t="str">
        <f aca="false">IF(N($F163)=0,"",$F163/マスタ!$B$5)</f>
        <v/>
      </c>
      <c r="H163" s="8"/>
      <c r="I163" s="44" t="str">
        <f aca="false">IF($A163="","",YEAR($A163)*100+MONTH($A163))</f>
        <v/>
      </c>
    </row>
    <row r="164" customFormat="false" ht="18" hidden="false" customHeight="true" outlineLevel="0" collapsed="false">
      <c r="A164" s="37"/>
      <c r="B164" s="33"/>
      <c r="C164" s="10" t="str">
        <f aca="false">IF($B164="","",IFERROR(INDEX(案件管理!$B$3:$B$202,MATCH($B164,案件管理!$A$3:$A$202,0)),"←IDが未登録です"))</f>
        <v/>
      </c>
      <c r="D164" s="34"/>
      <c r="E164" s="34"/>
      <c r="F164" s="45"/>
      <c r="G164" s="31" t="str">
        <f aca="false">IF(N($F164)=0,"",$F164/マスタ!$B$5)</f>
        <v/>
      </c>
      <c r="H164" s="8"/>
      <c r="I164" s="44" t="str">
        <f aca="false">IF($A164="","",YEAR($A164)*100+MONTH($A164))</f>
        <v/>
      </c>
    </row>
    <row r="165" customFormat="false" ht="18" hidden="false" customHeight="true" outlineLevel="0" collapsed="false">
      <c r="A165" s="37"/>
      <c r="B165" s="33"/>
      <c r="C165" s="10" t="str">
        <f aca="false">IF($B165="","",IFERROR(INDEX(案件管理!$B$3:$B$202,MATCH($B165,案件管理!$A$3:$A$202,0)),"←IDが未登録です"))</f>
        <v/>
      </c>
      <c r="D165" s="34"/>
      <c r="E165" s="34"/>
      <c r="F165" s="45"/>
      <c r="G165" s="31" t="str">
        <f aca="false">IF(N($F165)=0,"",$F165/マスタ!$B$5)</f>
        <v/>
      </c>
      <c r="H165" s="8"/>
      <c r="I165" s="44" t="str">
        <f aca="false">IF($A165="","",YEAR($A165)*100+MONTH($A165))</f>
        <v/>
      </c>
    </row>
    <row r="166" customFormat="false" ht="18" hidden="false" customHeight="true" outlineLevel="0" collapsed="false">
      <c r="A166" s="37"/>
      <c r="B166" s="33"/>
      <c r="C166" s="10" t="str">
        <f aca="false">IF($B166="","",IFERROR(INDEX(案件管理!$B$3:$B$202,MATCH($B166,案件管理!$A$3:$A$202,0)),"←IDが未登録です"))</f>
        <v/>
      </c>
      <c r="D166" s="34"/>
      <c r="E166" s="34"/>
      <c r="F166" s="45"/>
      <c r="G166" s="31" t="str">
        <f aca="false">IF(N($F166)=0,"",$F166/マスタ!$B$5)</f>
        <v/>
      </c>
      <c r="H166" s="8"/>
      <c r="I166" s="44" t="str">
        <f aca="false">IF($A166="","",YEAR($A166)*100+MONTH($A166))</f>
        <v/>
      </c>
    </row>
    <row r="167" customFormat="false" ht="18" hidden="false" customHeight="true" outlineLevel="0" collapsed="false">
      <c r="A167" s="37"/>
      <c r="B167" s="33"/>
      <c r="C167" s="10" t="str">
        <f aca="false">IF($B167="","",IFERROR(INDEX(案件管理!$B$3:$B$202,MATCH($B167,案件管理!$A$3:$A$202,0)),"←IDが未登録です"))</f>
        <v/>
      </c>
      <c r="D167" s="34"/>
      <c r="E167" s="34"/>
      <c r="F167" s="45"/>
      <c r="G167" s="31" t="str">
        <f aca="false">IF(N($F167)=0,"",$F167/マスタ!$B$5)</f>
        <v/>
      </c>
      <c r="H167" s="8"/>
      <c r="I167" s="44" t="str">
        <f aca="false">IF($A167="","",YEAR($A167)*100+MONTH($A167))</f>
        <v/>
      </c>
    </row>
    <row r="168" customFormat="false" ht="18" hidden="false" customHeight="true" outlineLevel="0" collapsed="false">
      <c r="A168" s="37"/>
      <c r="B168" s="33"/>
      <c r="C168" s="10" t="str">
        <f aca="false">IF($B168="","",IFERROR(INDEX(案件管理!$B$3:$B$202,MATCH($B168,案件管理!$A$3:$A$202,0)),"←IDが未登録です"))</f>
        <v/>
      </c>
      <c r="D168" s="34"/>
      <c r="E168" s="34"/>
      <c r="F168" s="45"/>
      <c r="G168" s="31" t="str">
        <f aca="false">IF(N($F168)=0,"",$F168/マスタ!$B$5)</f>
        <v/>
      </c>
      <c r="H168" s="8"/>
      <c r="I168" s="44" t="str">
        <f aca="false">IF($A168="","",YEAR($A168)*100+MONTH($A168))</f>
        <v/>
      </c>
    </row>
    <row r="169" customFormat="false" ht="18" hidden="false" customHeight="true" outlineLevel="0" collapsed="false">
      <c r="A169" s="37"/>
      <c r="B169" s="33"/>
      <c r="C169" s="10" t="str">
        <f aca="false">IF($B169="","",IFERROR(INDEX(案件管理!$B$3:$B$202,MATCH($B169,案件管理!$A$3:$A$202,0)),"←IDが未登録です"))</f>
        <v/>
      </c>
      <c r="D169" s="34"/>
      <c r="E169" s="34"/>
      <c r="F169" s="45"/>
      <c r="G169" s="31" t="str">
        <f aca="false">IF(N($F169)=0,"",$F169/マスタ!$B$5)</f>
        <v/>
      </c>
      <c r="H169" s="8"/>
      <c r="I169" s="44" t="str">
        <f aca="false">IF($A169="","",YEAR($A169)*100+MONTH($A169))</f>
        <v/>
      </c>
    </row>
    <row r="170" customFormat="false" ht="18" hidden="false" customHeight="true" outlineLevel="0" collapsed="false">
      <c r="A170" s="37"/>
      <c r="B170" s="33"/>
      <c r="C170" s="10" t="str">
        <f aca="false">IF($B170="","",IFERROR(INDEX(案件管理!$B$3:$B$202,MATCH($B170,案件管理!$A$3:$A$202,0)),"←IDが未登録です"))</f>
        <v/>
      </c>
      <c r="D170" s="34"/>
      <c r="E170" s="34"/>
      <c r="F170" s="45"/>
      <c r="G170" s="31" t="str">
        <f aca="false">IF(N($F170)=0,"",$F170/マスタ!$B$5)</f>
        <v/>
      </c>
      <c r="H170" s="8"/>
      <c r="I170" s="44" t="str">
        <f aca="false">IF($A170="","",YEAR($A170)*100+MONTH($A170))</f>
        <v/>
      </c>
    </row>
    <row r="171" customFormat="false" ht="18" hidden="false" customHeight="true" outlineLevel="0" collapsed="false">
      <c r="A171" s="37"/>
      <c r="B171" s="33"/>
      <c r="C171" s="10" t="str">
        <f aca="false">IF($B171="","",IFERROR(INDEX(案件管理!$B$3:$B$202,MATCH($B171,案件管理!$A$3:$A$202,0)),"←IDが未登録です"))</f>
        <v/>
      </c>
      <c r="D171" s="34"/>
      <c r="E171" s="34"/>
      <c r="F171" s="45"/>
      <c r="G171" s="31" t="str">
        <f aca="false">IF(N($F171)=0,"",$F171/マスタ!$B$5)</f>
        <v/>
      </c>
      <c r="H171" s="8"/>
      <c r="I171" s="44" t="str">
        <f aca="false">IF($A171="","",YEAR($A171)*100+MONTH($A171))</f>
        <v/>
      </c>
    </row>
    <row r="172" customFormat="false" ht="18" hidden="false" customHeight="true" outlineLevel="0" collapsed="false">
      <c r="A172" s="37"/>
      <c r="B172" s="33"/>
      <c r="C172" s="10" t="str">
        <f aca="false">IF($B172="","",IFERROR(INDEX(案件管理!$B$3:$B$202,MATCH($B172,案件管理!$A$3:$A$202,0)),"←IDが未登録です"))</f>
        <v/>
      </c>
      <c r="D172" s="34"/>
      <c r="E172" s="34"/>
      <c r="F172" s="45"/>
      <c r="G172" s="31" t="str">
        <f aca="false">IF(N($F172)=0,"",$F172/マスタ!$B$5)</f>
        <v/>
      </c>
      <c r="H172" s="8"/>
      <c r="I172" s="44" t="str">
        <f aca="false">IF($A172="","",YEAR($A172)*100+MONTH($A172))</f>
        <v/>
      </c>
    </row>
    <row r="173" customFormat="false" ht="18" hidden="false" customHeight="true" outlineLevel="0" collapsed="false">
      <c r="A173" s="37"/>
      <c r="B173" s="33"/>
      <c r="C173" s="10" t="str">
        <f aca="false">IF($B173="","",IFERROR(INDEX(案件管理!$B$3:$B$202,MATCH($B173,案件管理!$A$3:$A$202,0)),"←IDが未登録です"))</f>
        <v/>
      </c>
      <c r="D173" s="34"/>
      <c r="E173" s="34"/>
      <c r="F173" s="45"/>
      <c r="G173" s="31" t="str">
        <f aca="false">IF(N($F173)=0,"",$F173/マスタ!$B$5)</f>
        <v/>
      </c>
      <c r="H173" s="8"/>
      <c r="I173" s="44" t="str">
        <f aca="false">IF($A173="","",YEAR($A173)*100+MONTH($A173))</f>
        <v/>
      </c>
    </row>
    <row r="174" customFormat="false" ht="18" hidden="false" customHeight="true" outlineLevel="0" collapsed="false">
      <c r="A174" s="37"/>
      <c r="B174" s="33"/>
      <c r="C174" s="10" t="str">
        <f aca="false">IF($B174="","",IFERROR(INDEX(案件管理!$B$3:$B$202,MATCH($B174,案件管理!$A$3:$A$202,0)),"←IDが未登録です"))</f>
        <v/>
      </c>
      <c r="D174" s="34"/>
      <c r="E174" s="34"/>
      <c r="F174" s="45"/>
      <c r="G174" s="31" t="str">
        <f aca="false">IF(N($F174)=0,"",$F174/マスタ!$B$5)</f>
        <v/>
      </c>
      <c r="H174" s="8"/>
      <c r="I174" s="44" t="str">
        <f aca="false">IF($A174="","",YEAR($A174)*100+MONTH($A174))</f>
        <v/>
      </c>
    </row>
    <row r="175" customFormat="false" ht="18" hidden="false" customHeight="true" outlineLevel="0" collapsed="false">
      <c r="A175" s="37"/>
      <c r="B175" s="33"/>
      <c r="C175" s="10" t="str">
        <f aca="false">IF($B175="","",IFERROR(INDEX(案件管理!$B$3:$B$202,MATCH($B175,案件管理!$A$3:$A$202,0)),"←IDが未登録です"))</f>
        <v/>
      </c>
      <c r="D175" s="34"/>
      <c r="E175" s="34"/>
      <c r="F175" s="45"/>
      <c r="G175" s="31" t="str">
        <f aca="false">IF(N($F175)=0,"",$F175/マスタ!$B$5)</f>
        <v/>
      </c>
      <c r="H175" s="8"/>
      <c r="I175" s="44" t="str">
        <f aca="false">IF($A175="","",YEAR($A175)*100+MONTH($A175))</f>
        <v/>
      </c>
    </row>
    <row r="176" customFormat="false" ht="18" hidden="false" customHeight="true" outlineLevel="0" collapsed="false">
      <c r="A176" s="37"/>
      <c r="B176" s="33"/>
      <c r="C176" s="10" t="str">
        <f aca="false">IF($B176="","",IFERROR(INDEX(案件管理!$B$3:$B$202,MATCH($B176,案件管理!$A$3:$A$202,0)),"←IDが未登録です"))</f>
        <v/>
      </c>
      <c r="D176" s="34"/>
      <c r="E176" s="34"/>
      <c r="F176" s="45"/>
      <c r="G176" s="31" t="str">
        <f aca="false">IF(N($F176)=0,"",$F176/マスタ!$B$5)</f>
        <v/>
      </c>
      <c r="H176" s="8"/>
      <c r="I176" s="44" t="str">
        <f aca="false">IF($A176="","",YEAR($A176)*100+MONTH($A176))</f>
        <v/>
      </c>
    </row>
    <row r="177" customFormat="false" ht="18" hidden="false" customHeight="true" outlineLevel="0" collapsed="false">
      <c r="A177" s="37"/>
      <c r="B177" s="33"/>
      <c r="C177" s="10" t="str">
        <f aca="false">IF($B177="","",IFERROR(INDEX(案件管理!$B$3:$B$202,MATCH($B177,案件管理!$A$3:$A$202,0)),"←IDが未登録です"))</f>
        <v/>
      </c>
      <c r="D177" s="34"/>
      <c r="E177" s="34"/>
      <c r="F177" s="45"/>
      <c r="G177" s="31" t="str">
        <f aca="false">IF(N($F177)=0,"",$F177/マスタ!$B$5)</f>
        <v/>
      </c>
      <c r="H177" s="8"/>
      <c r="I177" s="44" t="str">
        <f aca="false">IF($A177="","",YEAR($A177)*100+MONTH($A177))</f>
        <v/>
      </c>
    </row>
    <row r="178" customFormat="false" ht="18" hidden="false" customHeight="true" outlineLevel="0" collapsed="false">
      <c r="A178" s="37"/>
      <c r="B178" s="33"/>
      <c r="C178" s="10" t="str">
        <f aca="false">IF($B178="","",IFERROR(INDEX(案件管理!$B$3:$B$202,MATCH($B178,案件管理!$A$3:$A$202,0)),"←IDが未登録です"))</f>
        <v/>
      </c>
      <c r="D178" s="34"/>
      <c r="E178" s="34"/>
      <c r="F178" s="45"/>
      <c r="G178" s="31" t="str">
        <f aca="false">IF(N($F178)=0,"",$F178/マスタ!$B$5)</f>
        <v/>
      </c>
      <c r="H178" s="8"/>
      <c r="I178" s="44" t="str">
        <f aca="false">IF($A178="","",YEAR($A178)*100+MONTH($A178))</f>
        <v/>
      </c>
    </row>
    <row r="179" customFormat="false" ht="18" hidden="false" customHeight="true" outlineLevel="0" collapsed="false">
      <c r="A179" s="37"/>
      <c r="B179" s="33"/>
      <c r="C179" s="10" t="str">
        <f aca="false">IF($B179="","",IFERROR(INDEX(案件管理!$B$3:$B$202,MATCH($B179,案件管理!$A$3:$A$202,0)),"←IDが未登録です"))</f>
        <v/>
      </c>
      <c r="D179" s="34"/>
      <c r="E179" s="34"/>
      <c r="F179" s="45"/>
      <c r="G179" s="31" t="str">
        <f aca="false">IF(N($F179)=0,"",$F179/マスタ!$B$5)</f>
        <v/>
      </c>
      <c r="H179" s="8"/>
      <c r="I179" s="44" t="str">
        <f aca="false">IF($A179="","",YEAR($A179)*100+MONTH($A179))</f>
        <v/>
      </c>
    </row>
    <row r="180" customFormat="false" ht="18" hidden="false" customHeight="true" outlineLevel="0" collapsed="false">
      <c r="A180" s="37"/>
      <c r="B180" s="33"/>
      <c r="C180" s="10" t="str">
        <f aca="false">IF($B180="","",IFERROR(INDEX(案件管理!$B$3:$B$202,MATCH($B180,案件管理!$A$3:$A$202,0)),"←IDが未登録です"))</f>
        <v/>
      </c>
      <c r="D180" s="34"/>
      <c r="E180" s="34"/>
      <c r="F180" s="45"/>
      <c r="G180" s="31" t="str">
        <f aca="false">IF(N($F180)=0,"",$F180/マスタ!$B$5)</f>
        <v/>
      </c>
      <c r="H180" s="8"/>
      <c r="I180" s="44" t="str">
        <f aca="false">IF($A180="","",YEAR($A180)*100+MONTH($A180))</f>
        <v/>
      </c>
    </row>
    <row r="181" customFormat="false" ht="18" hidden="false" customHeight="true" outlineLevel="0" collapsed="false">
      <c r="A181" s="37"/>
      <c r="B181" s="33"/>
      <c r="C181" s="10" t="str">
        <f aca="false">IF($B181="","",IFERROR(INDEX(案件管理!$B$3:$B$202,MATCH($B181,案件管理!$A$3:$A$202,0)),"←IDが未登録です"))</f>
        <v/>
      </c>
      <c r="D181" s="34"/>
      <c r="E181" s="34"/>
      <c r="F181" s="45"/>
      <c r="G181" s="31" t="str">
        <f aca="false">IF(N($F181)=0,"",$F181/マスタ!$B$5)</f>
        <v/>
      </c>
      <c r="H181" s="8"/>
      <c r="I181" s="44" t="str">
        <f aca="false">IF($A181="","",YEAR($A181)*100+MONTH($A181))</f>
        <v/>
      </c>
    </row>
    <row r="182" customFormat="false" ht="18" hidden="false" customHeight="true" outlineLevel="0" collapsed="false">
      <c r="A182" s="37"/>
      <c r="B182" s="33"/>
      <c r="C182" s="10" t="str">
        <f aca="false">IF($B182="","",IFERROR(INDEX(案件管理!$B$3:$B$202,MATCH($B182,案件管理!$A$3:$A$202,0)),"←IDが未登録です"))</f>
        <v/>
      </c>
      <c r="D182" s="34"/>
      <c r="E182" s="34"/>
      <c r="F182" s="45"/>
      <c r="G182" s="31" t="str">
        <f aca="false">IF(N($F182)=0,"",$F182/マスタ!$B$5)</f>
        <v/>
      </c>
      <c r="H182" s="8"/>
      <c r="I182" s="44" t="str">
        <f aca="false">IF($A182="","",YEAR($A182)*100+MONTH($A182))</f>
        <v/>
      </c>
    </row>
    <row r="183" customFormat="false" ht="18" hidden="false" customHeight="true" outlineLevel="0" collapsed="false">
      <c r="A183" s="37"/>
      <c r="B183" s="33"/>
      <c r="C183" s="10" t="str">
        <f aca="false">IF($B183="","",IFERROR(INDEX(案件管理!$B$3:$B$202,MATCH($B183,案件管理!$A$3:$A$202,0)),"←IDが未登録です"))</f>
        <v/>
      </c>
      <c r="D183" s="34"/>
      <c r="E183" s="34"/>
      <c r="F183" s="45"/>
      <c r="G183" s="31" t="str">
        <f aca="false">IF(N($F183)=0,"",$F183/マスタ!$B$5)</f>
        <v/>
      </c>
      <c r="H183" s="8"/>
      <c r="I183" s="44" t="str">
        <f aca="false">IF($A183="","",YEAR($A183)*100+MONTH($A183))</f>
        <v/>
      </c>
    </row>
    <row r="184" customFormat="false" ht="18" hidden="false" customHeight="true" outlineLevel="0" collapsed="false">
      <c r="A184" s="37"/>
      <c r="B184" s="33"/>
      <c r="C184" s="10" t="str">
        <f aca="false">IF($B184="","",IFERROR(INDEX(案件管理!$B$3:$B$202,MATCH($B184,案件管理!$A$3:$A$202,0)),"←IDが未登録です"))</f>
        <v/>
      </c>
      <c r="D184" s="34"/>
      <c r="E184" s="34"/>
      <c r="F184" s="45"/>
      <c r="G184" s="31" t="str">
        <f aca="false">IF(N($F184)=0,"",$F184/マスタ!$B$5)</f>
        <v/>
      </c>
      <c r="H184" s="8"/>
      <c r="I184" s="44" t="str">
        <f aca="false">IF($A184="","",YEAR($A184)*100+MONTH($A184))</f>
        <v/>
      </c>
    </row>
    <row r="185" customFormat="false" ht="18" hidden="false" customHeight="true" outlineLevel="0" collapsed="false">
      <c r="A185" s="37"/>
      <c r="B185" s="33"/>
      <c r="C185" s="10" t="str">
        <f aca="false">IF($B185="","",IFERROR(INDEX(案件管理!$B$3:$B$202,MATCH($B185,案件管理!$A$3:$A$202,0)),"←IDが未登録です"))</f>
        <v/>
      </c>
      <c r="D185" s="34"/>
      <c r="E185" s="34"/>
      <c r="F185" s="45"/>
      <c r="G185" s="31" t="str">
        <f aca="false">IF(N($F185)=0,"",$F185/マスタ!$B$5)</f>
        <v/>
      </c>
      <c r="H185" s="8"/>
      <c r="I185" s="44" t="str">
        <f aca="false">IF($A185="","",YEAR($A185)*100+MONTH($A185))</f>
        <v/>
      </c>
    </row>
    <row r="186" customFormat="false" ht="18" hidden="false" customHeight="true" outlineLevel="0" collapsed="false">
      <c r="A186" s="37"/>
      <c r="B186" s="33"/>
      <c r="C186" s="10" t="str">
        <f aca="false">IF($B186="","",IFERROR(INDEX(案件管理!$B$3:$B$202,MATCH($B186,案件管理!$A$3:$A$202,0)),"←IDが未登録です"))</f>
        <v/>
      </c>
      <c r="D186" s="34"/>
      <c r="E186" s="34"/>
      <c r="F186" s="45"/>
      <c r="G186" s="31" t="str">
        <f aca="false">IF(N($F186)=0,"",$F186/マスタ!$B$5)</f>
        <v/>
      </c>
      <c r="H186" s="8"/>
      <c r="I186" s="44" t="str">
        <f aca="false">IF($A186="","",YEAR($A186)*100+MONTH($A186))</f>
        <v/>
      </c>
    </row>
    <row r="187" customFormat="false" ht="18" hidden="false" customHeight="true" outlineLevel="0" collapsed="false">
      <c r="A187" s="37"/>
      <c r="B187" s="33"/>
      <c r="C187" s="10" t="str">
        <f aca="false">IF($B187="","",IFERROR(INDEX(案件管理!$B$3:$B$202,MATCH($B187,案件管理!$A$3:$A$202,0)),"←IDが未登録です"))</f>
        <v/>
      </c>
      <c r="D187" s="34"/>
      <c r="E187" s="34"/>
      <c r="F187" s="45"/>
      <c r="G187" s="31" t="str">
        <f aca="false">IF(N($F187)=0,"",$F187/マスタ!$B$5)</f>
        <v/>
      </c>
      <c r="H187" s="8"/>
      <c r="I187" s="44" t="str">
        <f aca="false">IF($A187="","",YEAR($A187)*100+MONTH($A187))</f>
        <v/>
      </c>
    </row>
    <row r="188" customFormat="false" ht="18" hidden="false" customHeight="true" outlineLevel="0" collapsed="false">
      <c r="A188" s="37"/>
      <c r="B188" s="33"/>
      <c r="C188" s="10" t="str">
        <f aca="false">IF($B188="","",IFERROR(INDEX(案件管理!$B$3:$B$202,MATCH($B188,案件管理!$A$3:$A$202,0)),"←IDが未登録です"))</f>
        <v/>
      </c>
      <c r="D188" s="34"/>
      <c r="E188" s="34"/>
      <c r="F188" s="45"/>
      <c r="G188" s="31" t="str">
        <f aca="false">IF(N($F188)=0,"",$F188/マスタ!$B$5)</f>
        <v/>
      </c>
      <c r="H188" s="8"/>
      <c r="I188" s="44" t="str">
        <f aca="false">IF($A188="","",YEAR($A188)*100+MONTH($A188))</f>
        <v/>
      </c>
    </row>
    <row r="189" customFormat="false" ht="18" hidden="false" customHeight="true" outlineLevel="0" collapsed="false">
      <c r="A189" s="37"/>
      <c r="B189" s="33"/>
      <c r="C189" s="10" t="str">
        <f aca="false">IF($B189="","",IFERROR(INDEX(案件管理!$B$3:$B$202,MATCH($B189,案件管理!$A$3:$A$202,0)),"←IDが未登録です"))</f>
        <v/>
      </c>
      <c r="D189" s="34"/>
      <c r="E189" s="34"/>
      <c r="F189" s="45"/>
      <c r="G189" s="31" t="str">
        <f aca="false">IF(N($F189)=0,"",$F189/マスタ!$B$5)</f>
        <v/>
      </c>
      <c r="H189" s="8"/>
      <c r="I189" s="44" t="str">
        <f aca="false">IF($A189="","",YEAR($A189)*100+MONTH($A189))</f>
        <v/>
      </c>
    </row>
    <row r="190" customFormat="false" ht="18" hidden="false" customHeight="true" outlineLevel="0" collapsed="false">
      <c r="A190" s="37"/>
      <c r="B190" s="33"/>
      <c r="C190" s="10" t="str">
        <f aca="false">IF($B190="","",IFERROR(INDEX(案件管理!$B$3:$B$202,MATCH($B190,案件管理!$A$3:$A$202,0)),"←IDが未登録です"))</f>
        <v/>
      </c>
      <c r="D190" s="34"/>
      <c r="E190" s="34"/>
      <c r="F190" s="45"/>
      <c r="G190" s="31" t="str">
        <f aca="false">IF(N($F190)=0,"",$F190/マスタ!$B$5)</f>
        <v/>
      </c>
      <c r="H190" s="8"/>
      <c r="I190" s="44" t="str">
        <f aca="false">IF($A190="","",YEAR($A190)*100+MONTH($A190))</f>
        <v/>
      </c>
    </row>
    <row r="191" customFormat="false" ht="18" hidden="false" customHeight="true" outlineLevel="0" collapsed="false">
      <c r="A191" s="37"/>
      <c r="B191" s="33"/>
      <c r="C191" s="10" t="str">
        <f aca="false">IF($B191="","",IFERROR(INDEX(案件管理!$B$3:$B$202,MATCH($B191,案件管理!$A$3:$A$202,0)),"←IDが未登録です"))</f>
        <v/>
      </c>
      <c r="D191" s="34"/>
      <c r="E191" s="34"/>
      <c r="F191" s="45"/>
      <c r="G191" s="31" t="str">
        <f aca="false">IF(N($F191)=0,"",$F191/マスタ!$B$5)</f>
        <v/>
      </c>
      <c r="H191" s="8"/>
      <c r="I191" s="44" t="str">
        <f aca="false">IF($A191="","",YEAR($A191)*100+MONTH($A191))</f>
        <v/>
      </c>
    </row>
    <row r="192" customFormat="false" ht="18" hidden="false" customHeight="true" outlineLevel="0" collapsed="false">
      <c r="A192" s="37"/>
      <c r="B192" s="33"/>
      <c r="C192" s="10" t="str">
        <f aca="false">IF($B192="","",IFERROR(INDEX(案件管理!$B$3:$B$202,MATCH($B192,案件管理!$A$3:$A$202,0)),"←IDが未登録です"))</f>
        <v/>
      </c>
      <c r="D192" s="34"/>
      <c r="E192" s="34"/>
      <c r="F192" s="45"/>
      <c r="G192" s="31" t="str">
        <f aca="false">IF(N($F192)=0,"",$F192/マスタ!$B$5)</f>
        <v/>
      </c>
      <c r="H192" s="8"/>
      <c r="I192" s="44" t="str">
        <f aca="false">IF($A192="","",YEAR($A192)*100+MONTH($A192))</f>
        <v/>
      </c>
    </row>
    <row r="193" customFormat="false" ht="18" hidden="false" customHeight="true" outlineLevel="0" collapsed="false">
      <c r="A193" s="37"/>
      <c r="B193" s="33"/>
      <c r="C193" s="10" t="str">
        <f aca="false">IF($B193="","",IFERROR(INDEX(案件管理!$B$3:$B$202,MATCH($B193,案件管理!$A$3:$A$202,0)),"←IDが未登録です"))</f>
        <v/>
      </c>
      <c r="D193" s="34"/>
      <c r="E193" s="34"/>
      <c r="F193" s="45"/>
      <c r="G193" s="31" t="str">
        <f aca="false">IF(N($F193)=0,"",$F193/マスタ!$B$5)</f>
        <v/>
      </c>
      <c r="H193" s="8"/>
      <c r="I193" s="44" t="str">
        <f aca="false">IF($A193="","",YEAR($A193)*100+MONTH($A193))</f>
        <v/>
      </c>
    </row>
    <row r="194" customFormat="false" ht="18" hidden="false" customHeight="true" outlineLevel="0" collapsed="false">
      <c r="A194" s="37"/>
      <c r="B194" s="33"/>
      <c r="C194" s="10" t="str">
        <f aca="false">IF($B194="","",IFERROR(INDEX(案件管理!$B$3:$B$202,MATCH($B194,案件管理!$A$3:$A$202,0)),"←IDが未登録です"))</f>
        <v/>
      </c>
      <c r="D194" s="34"/>
      <c r="E194" s="34"/>
      <c r="F194" s="45"/>
      <c r="G194" s="31" t="str">
        <f aca="false">IF(N($F194)=0,"",$F194/マスタ!$B$5)</f>
        <v/>
      </c>
      <c r="H194" s="8"/>
      <c r="I194" s="44" t="str">
        <f aca="false">IF($A194="","",YEAR($A194)*100+MONTH($A194))</f>
        <v/>
      </c>
    </row>
    <row r="195" customFormat="false" ht="18" hidden="false" customHeight="true" outlineLevel="0" collapsed="false">
      <c r="A195" s="37"/>
      <c r="B195" s="33"/>
      <c r="C195" s="10" t="str">
        <f aca="false">IF($B195="","",IFERROR(INDEX(案件管理!$B$3:$B$202,MATCH($B195,案件管理!$A$3:$A$202,0)),"←IDが未登録です"))</f>
        <v/>
      </c>
      <c r="D195" s="34"/>
      <c r="E195" s="34"/>
      <c r="F195" s="45"/>
      <c r="G195" s="31" t="str">
        <f aca="false">IF(N($F195)=0,"",$F195/マスタ!$B$5)</f>
        <v/>
      </c>
      <c r="H195" s="8"/>
      <c r="I195" s="44" t="str">
        <f aca="false">IF($A195="","",YEAR($A195)*100+MONTH($A195))</f>
        <v/>
      </c>
    </row>
    <row r="196" customFormat="false" ht="18" hidden="false" customHeight="true" outlineLevel="0" collapsed="false">
      <c r="A196" s="37"/>
      <c r="B196" s="33"/>
      <c r="C196" s="10" t="str">
        <f aca="false">IF($B196="","",IFERROR(INDEX(案件管理!$B$3:$B$202,MATCH($B196,案件管理!$A$3:$A$202,0)),"←IDが未登録です"))</f>
        <v/>
      </c>
      <c r="D196" s="34"/>
      <c r="E196" s="34"/>
      <c r="F196" s="45"/>
      <c r="G196" s="31" t="str">
        <f aca="false">IF(N($F196)=0,"",$F196/マスタ!$B$5)</f>
        <v/>
      </c>
      <c r="H196" s="8"/>
      <c r="I196" s="44" t="str">
        <f aca="false">IF($A196="","",YEAR($A196)*100+MONTH($A196))</f>
        <v/>
      </c>
    </row>
    <row r="197" customFormat="false" ht="18" hidden="false" customHeight="true" outlineLevel="0" collapsed="false">
      <c r="A197" s="37"/>
      <c r="B197" s="33"/>
      <c r="C197" s="10" t="str">
        <f aca="false">IF($B197="","",IFERROR(INDEX(案件管理!$B$3:$B$202,MATCH($B197,案件管理!$A$3:$A$202,0)),"←IDが未登録です"))</f>
        <v/>
      </c>
      <c r="D197" s="34"/>
      <c r="E197" s="34"/>
      <c r="F197" s="45"/>
      <c r="G197" s="31" t="str">
        <f aca="false">IF(N($F197)=0,"",$F197/マスタ!$B$5)</f>
        <v/>
      </c>
      <c r="H197" s="8"/>
      <c r="I197" s="44" t="str">
        <f aca="false">IF($A197="","",YEAR($A197)*100+MONTH($A197))</f>
        <v/>
      </c>
    </row>
    <row r="198" customFormat="false" ht="18" hidden="false" customHeight="true" outlineLevel="0" collapsed="false">
      <c r="A198" s="37"/>
      <c r="B198" s="33"/>
      <c r="C198" s="10" t="str">
        <f aca="false">IF($B198="","",IFERROR(INDEX(案件管理!$B$3:$B$202,MATCH($B198,案件管理!$A$3:$A$202,0)),"←IDが未登録です"))</f>
        <v/>
      </c>
      <c r="D198" s="34"/>
      <c r="E198" s="34"/>
      <c r="F198" s="45"/>
      <c r="G198" s="31" t="str">
        <f aca="false">IF(N($F198)=0,"",$F198/マスタ!$B$5)</f>
        <v/>
      </c>
      <c r="H198" s="8"/>
      <c r="I198" s="44" t="str">
        <f aca="false">IF($A198="","",YEAR($A198)*100+MONTH($A198))</f>
        <v/>
      </c>
    </row>
    <row r="199" customFormat="false" ht="18" hidden="false" customHeight="true" outlineLevel="0" collapsed="false">
      <c r="A199" s="37"/>
      <c r="B199" s="33"/>
      <c r="C199" s="10" t="str">
        <f aca="false">IF($B199="","",IFERROR(INDEX(案件管理!$B$3:$B$202,MATCH($B199,案件管理!$A$3:$A$202,0)),"←IDが未登録です"))</f>
        <v/>
      </c>
      <c r="D199" s="34"/>
      <c r="E199" s="34"/>
      <c r="F199" s="45"/>
      <c r="G199" s="31" t="str">
        <f aca="false">IF(N($F199)=0,"",$F199/マスタ!$B$5)</f>
        <v/>
      </c>
      <c r="H199" s="8"/>
      <c r="I199" s="44" t="str">
        <f aca="false">IF($A199="","",YEAR($A199)*100+MONTH($A199))</f>
        <v/>
      </c>
    </row>
    <row r="200" customFormat="false" ht="18" hidden="false" customHeight="true" outlineLevel="0" collapsed="false">
      <c r="A200" s="37"/>
      <c r="B200" s="33"/>
      <c r="C200" s="10" t="str">
        <f aca="false">IF($B200="","",IFERROR(INDEX(案件管理!$B$3:$B$202,MATCH($B200,案件管理!$A$3:$A$202,0)),"←IDが未登録です"))</f>
        <v/>
      </c>
      <c r="D200" s="34"/>
      <c r="E200" s="34"/>
      <c r="F200" s="45"/>
      <c r="G200" s="31" t="str">
        <f aca="false">IF(N($F200)=0,"",$F200/マスタ!$B$5)</f>
        <v/>
      </c>
      <c r="H200" s="8"/>
      <c r="I200" s="44" t="str">
        <f aca="false">IF($A200="","",YEAR($A200)*100+MONTH($A200))</f>
        <v/>
      </c>
    </row>
    <row r="201" customFormat="false" ht="18" hidden="false" customHeight="true" outlineLevel="0" collapsed="false">
      <c r="A201" s="37"/>
      <c r="B201" s="33"/>
      <c r="C201" s="10" t="str">
        <f aca="false">IF($B201="","",IFERROR(INDEX(案件管理!$B$3:$B$202,MATCH($B201,案件管理!$A$3:$A$202,0)),"←IDが未登録です"))</f>
        <v/>
      </c>
      <c r="D201" s="34"/>
      <c r="E201" s="34"/>
      <c r="F201" s="45"/>
      <c r="G201" s="31" t="str">
        <f aca="false">IF(N($F201)=0,"",$F201/マスタ!$B$5)</f>
        <v/>
      </c>
      <c r="H201" s="8"/>
      <c r="I201" s="44" t="str">
        <f aca="false">IF($A201="","",YEAR($A201)*100+MONTH($A201))</f>
        <v/>
      </c>
    </row>
    <row r="202" customFormat="false" ht="18" hidden="false" customHeight="true" outlineLevel="0" collapsed="false">
      <c r="A202" s="37"/>
      <c r="B202" s="33"/>
      <c r="C202" s="10" t="str">
        <f aca="false">IF($B202="","",IFERROR(INDEX(案件管理!$B$3:$B$202,MATCH($B202,案件管理!$A$3:$A$202,0)),"←IDが未登録です"))</f>
        <v/>
      </c>
      <c r="D202" s="34"/>
      <c r="E202" s="34"/>
      <c r="F202" s="45"/>
      <c r="G202" s="31" t="str">
        <f aca="false">IF(N($F202)=0,"",$F202/マスタ!$B$5)</f>
        <v/>
      </c>
      <c r="H202" s="8"/>
      <c r="I202" s="44" t="str">
        <f aca="false">IF($A202="","",YEAR($A202)*100+MONTH($A202))</f>
        <v/>
      </c>
    </row>
    <row r="203" customFormat="false" ht="18" hidden="false" customHeight="true" outlineLevel="0" collapsed="false">
      <c r="A203" s="37"/>
      <c r="B203" s="33"/>
      <c r="C203" s="10" t="str">
        <f aca="false">IF($B203="","",IFERROR(INDEX(案件管理!$B$3:$B$202,MATCH($B203,案件管理!$A$3:$A$202,0)),"←IDが未登録です"))</f>
        <v/>
      </c>
      <c r="D203" s="34"/>
      <c r="E203" s="34"/>
      <c r="F203" s="45"/>
      <c r="G203" s="31" t="str">
        <f aca="false">IF(N($F203)=0,"",$F203/マスタ!$B$5)</f>
        <v/>
      </c>
      <c r="H203" s="8"/>
      <c r="I203" s="44" t="str">
        <f aca="false">IF($A203="","",YEAR($A203)*100+MONTH($A203))</f>
        <v/>
      </c>
    </row>
    <row r="204" customFormat="false" ht="18" hidden="false" customHeight="true" outlineLevel="0" collapsed="false">
      <c r="A204" s="37"/>
      <c r="B204" s="33"/>
      <c r="C204" s="10" t="str">
        <f aca="false">IF($B204="","",IFERROR(INDEX(案件管理!$B$3:$B$202,MATCH($B204,案件管理!$A$3:$A$202,0)),"←IDが未登録です"))</f>
        <v/>
      </c>
      <c r="D204" s="34"/>
      <c r="E204" s="34"/>
      <c r="F204" s="45"/>
      <c r="G204" s="31" t="str">
        <f aca="false">IF(N($F204)=0,"",$F204/マスタ!$B$5)</f>
        <v/>
      </c>
      <c r="H204" s="8"/>
      <c r="I204" s="44" t="str">
        <f aca="false">IF($A204="","",YEAR($A204)*100+MONTH($A204))</f>
        <v/>
      </c>
    </row>
    <row r="205" customFormat="false" ht="18" hidden="false" customHeight="true" outlineLevel="0" collapsed="false">
      <c r="A205" s="37"/>
      <c r="B205" s="33"/>
      <c r="C205" s="10" t="str">
        <f aca="false">IF($B205="","",IFERROR(INDEX(案件管理!$B$3:$B$202,MATCH($B205,案件管理!$A$3:$A$202,0)),"←IDが未登録です"))</f>
        <v/>
      </c>
      <c r="D205" s="34"/>
      <c r="E205" s="34"/>
      <c r="F205" s="45"/>
      <c r="G205" s="31" t="str">
        <f aca="false">IF(N($F205)=0,"",$F205/マスタ!$B$5)</f>
        <v/>
      </c>
      <c r="H205" s="8"/>
      <c r="I205" s="44" t="str">
        <f aca="false">IF($A205="","",YEAR($A205)*100+MONTH($A205))</f>
        <v/>
      </c>
    </row>
    <row r="206" customFormat="false" ht="18" hidden="false" customHeight="true" outlineLevel="0" collapsed="false">
      <c r="A206" s="37"/>
      <c r="B206" s="33"/>
      <c r="C206" s="10" t="str">
        <f aca="false">IF($B206="","",IFERROR(INDEX(案件管理!$B$3:$B$202,MATCH($B206,案件管理!$A$3:$A$202,0)),"←IDが未登録です"))</f>
        <v/>
      </c>
      <c r="D206" s="34"/>
      <c r="E206" s="34"/>
      <c r="F206" s="45"/>
      <c r="G206" s="31" t="str">
        <f aca="false">IF(N($F206)=0,"",$F206/マスタ!$B$5)</f>
        <v/>
      </c>
      <c r="H206" s="8"/>
      <c r="I206" s="44" t="str">
        <f aca="false">IF($A206="","",YEAR($A206)*100+MONTH($A206))</f>
        <v/>
      </c>
    </row>
    <row r="207" customFormat="false" ht="18" hidden="false" customHeight="true" outlineLevel="0" collapsed="false">
      <c r="A207" s="37"/>
      <c r="B207" s="33"/>
      <c r="C207" s="10" t="str">
        <f aca="false">IF($B207="","",IFERROR(INDEX(案件管理!$B$3:$B$202,MATCH($B207,案件管理!$A$3:$A$202,0)),"←IDが未登録です"))</f>
        <v/>
      </c>
      <c r="D207" s="34"/>
      <c r="E207" s="34"/>
      <c r="F207" s="45"/>
      <c r="G207" s="31" t="str">
        <f aca="false">IF(N($F207)=0,"",$F207/マスタ!$B$5)</f>
        <v/>
      </c>
      <c r="H207" s="8"/>
      <c r="I207" s="44" t="str">
        <f aca="false">IF($A207="","",YEAR($A207)*100+MONTH($A207))</f>
        <v/>
      </c>
    </row>
    <row r="208" customFormat="false" ht="18" hidden="false" customHeight="true" outlineLevel="0" collapsed="false">
      <c r="A208" s="37"/>
      <c r="B208" s="33"/>
      <c r="C208" s="10" t="str">
        <f aca="false">IF($B208="","",IFERROR(INDEX(案件管理!$B$3:$B$202,MATCH($B208,案件管理!$A$3:$A$202,0)),"←IDが未登録です"))</f>
        <v/>
      </c>
      <c r="D208" s="34"/>
      <c r="E208" s="34"/>
      <c r="F208" s="45"/>
      <c r="G208" s="31" t="str">
        <f aca="false">IF(N($F208)=0,"",$F208/マスタ!$B$5)</f>
        <v/>
      </c>
      <c r="H208" s="8"/>
      <c r="I208" s="44" t="str">
        <f aca="false">IF($A208="","",YEAR($A208)*100+MONTH($A208))</f>
        <v/>
      </c>
    </row>
    <row r="209" customFormat="false" ht="18" hidden="false" customHeight="true" outlineLevel="0" collapsed="false">
      <c r="A209" s="37"/>
      <c r="B209" s="33"/>
      <c r="C209" s="10" t="str">
        <f aca="false">IF($B209="","",IFERROR(INDEX(案件管理!$B$3:$B$202,MATCH($B209,案件管理!$A$3:$A$202,0)),"←IDが未登録です"))</f>
        <v/>
      </c>
      <c r="D209" s="34"/>
      <c r="E209" s="34"/>
      <c r="F209" s="45"/>
      <c r="G209" s="31" t="str">
        <f aca="false">IF(N($F209)=0,"",$F209/マスタ!$B$5)</f>
        <v/>
      </c>
      <c r="H209" s="8"/>
      <c r="I209" s="44" t="str">
        <f aca="false">IF($A209="","",YEAR($A209)*100+MONTH($A209))</f>
        <v/>
      </c>
    </row>
    <row r="210" customFormat="false" ht="18" hidden="false" customHeight="true" outlineLevel="0" collapsed="false">
      <c r="A210" s="37"/>
      <c r="B210" s="33"/>
      <c r="C210" s="10" t="str">
        <f aca="false">IF($B210="","",IFERROR(INDEX(案件管理!$B$3:$B$202,MATCH($B210,案件管理!$A$3:$A$202,0)),"←IDが未登録です"))</f>
        <v/>
      </c>
      <c r="D210" s="34"/>
      <c r="E210" s="34"/>
      <c r="F210" s="45"/>
      <c r="G210" s="31" t="str">
        <f aca="false">IF(N($F210)=0,"",$F210/マスタ!$B$5)</f>
        <v/>
      </c>
      <c r="H210" s="8"/>
      <c r="I210" s="44" t="str">
        <f aca="false">IF($A210="","",YEAR($A210)*100+MONTH($A210))</f>
        <v/>
      </c>
    </row>
    <row r="211" customFormat="false" ht="18" hidden="false" customHeight="true" outlineLevel="0" collapsed="false">
      <c r="A211" s="37"/>
      <c r="B211" s="33"/>
      <c r="C211" s="10" t="str">
        <f aca="false">IF($B211="","",IFERROR(INDEX(案件管理!$B$3:$B$202,MATCH($B211,案件管理!$A$3:$A$202,0)),"←IDが未登録です"))</f>
        <v/>
      </c>
      <c r="D211" s="34"/>
      <c r="E211" s="34"/>
      <c r="F211" s="45"/>
      <c r="G211" s="31" t="str">
        <f aca="false">IF(N($F211)=0,"",$F211/マスタ!$B$5)</f>
        <v/>
      </c>
      <c r="H211" s="8"/>
      <c r="I211" s="44" t="str">
        <f aca="false">IF($A211="","",YEAR($A211)*100+MONTH($A211))</f>
        <v/>
      </c>
    </row>
    <row r="212" customFormat="false" ht="18" hidden="false" customHeight="true" outlineLevel="0" collapsed="false">
      <c r="A212" s="37"/>
      <c r="B212" s="33"/>
      <c r="C212" s="10" t="str">
        <f aca="false">IF($B212="","",IFERROR(INDEX(案件管理!$B$3:$B$202,MATCH($B212,案件管理!$A$3:$A$202,0)),"←IDが未登録です"))</f>
        <v/>
      </c>
      <c r="D212" s="34"/>
      <c r="E212" s="34"/>
      <c r="F212" s="45"/>
      <c r="G212" s="31" t="str">
        <f aca="false">IF(N($F212)=0,"",$F212/マスタ!$B$5)</f>
        <v/>
      </c>
      <c r="H212" s="8"/>
      <c r="I212" s="44" t="str">
        <f aca="false">IF($A212="","",YEAR($A212)*100+MONTH($A212))</f>
        <v/>
      </c>
    </row>
    <row r="213" customFormat="false" ht="18" hidden="false" customHeight="true" outlineLevel="0" collapsed="false">
      <c r="A213" s="37"/>
      <c r="B213" s="33"/>
      <c r="C213" s="10" t="str">
        <f aca="false">IF($B213="","",IFERROR(INDEX(案件管理!$B$3:$B$202,MATCH($B213,案件管理!$A$3:$A$202,0)),"←IDが未登録です"))</f>
        <v/>
      </c>
      <c r="D213" s="34"/>
      <c r="E213" s="34"/>
      <c r="F213" s="45"/>
      <c r="G213" s="31" t="str">
        <f aca="false">IF(N($F213)=0,"",$F213/マスタ!$B$5)</f>
        <v/>
      </c>
      <c r="H213" s="8"/>
      <c r="I213" s="44" t="str">
        <f aca="false">IF($A213="","",YEAR($A213)*100+MONTH($A213))</f>
        <v/>
      </c>
    </row>
    <row r="214" customFormat="false" ht="18" hidden="false" customHeight="true" outlineLevel="0" collapsed="false">
      <c r="A214" s="37"/>
      <c r="B214" s="33"/>
      <c r="C214" s="10" t="str">
        <f aca="false">IF($B214="","",IFERROR(INDEX(案件管理!$B$3:$B$202,MATCH($B214,案件管理!$A$3:$A$202,0)),"←IDが未登録です"))</f>
        <v/>
      </c>
      <c r="D214" s="34"/>
      <c r="E214" s="34"/>
      <c r="F214" s="45"/>
      <c r="G214" s="31" t="str">
        <f aca="false">IF(N($F214)=0,"",$F214/マスタ!$B$5)</f>
        <v/>
      </c>
      <c r="H214" s="8"/>
      <c r="I214" s="44" t="str">
        <f aca="false">IF($A214="","",YEAR($A214)*100+MONTH($A214))</f>
        <v/>
      </c>
    </row>
    <row r="215" customFormat="false" ht="18" hidden="false" customHeight="true" outlineLevel="0" collapsed="false">
      <c r="A215" s="37"/>
      <c r="B215" s="33"/>
      <c r="C215" s="10" t="str">
        <f aca="false">IF($B215="","",IFERROR(INDEX(案件管理!$B$3:$B$202,MATCH($B215,案件管理!$A$3:$A$202,0)),"←IDが未登録です"))</f>
        <v/>
      </c>
      <c r="D215" s="34"/>
      <c r="E215" s="34"/>
      <c r="F215" s="45"/>
      <c r="G215" s="31" t="str">
        <f aca="false">IF(N($F215)=0,"",$F215/マスタ!$B$5)</f>
        <v/>
      </c>
      <c r="H215" s="8"/>
      <c r="I215" s="44" t="str">
        <f aca="false">IF($A215="","",YEAR($A215)*100+MONTH($A215))</f>
        <v/>
      </c>
    </row>
    <row r="216" customFormat="false" ht="18" hidden="false" customHeight="true" outlineLevel="0" collapsed="false">
      <c r="A216" s="37"/>
      <c r="B216" s="33"/>
      <c r="C216" s="10" t="str">
        <f aca="false">IF($B216="","",IFERROR(INDEX(案件管理!$B$3:$B$202,MATCH($B216,案件管理!$A$3:$A$202,0)),"←IDが未登録です"))</f>
        <v/>
      </c>
      <c r="D216" s="34"/>
      <c r="E216" s="34"/>
      <c r="F216" s="45"/>
      <c r="G216" s="31" t="str">
        <f aca="false">IF(N($F216)=0,"",$F216/マスタ!$B$5)</f>
        <v/>
      </c>
      <c r="H216" s="8"/>
      <c r="I216" s="44" t="str">
        <f aca="false">IF($A216="","",YEAR($A216)*100+MONTH($A216))</f>
        <v/>
      </c>
    </row>
    <row r="217" customFormat="false" ht="18" hidden="false" customHeight="true" outlineLevel="0" collapsed="false">
      <c r="A217" s="37"/>
      <c r="B217" s="33"/>
      <c r="C217" s="10" t="str">
        <f aca="false">IF($B217="","",IFERROR(INDEX(案件管理!$B$3:$B$202,MATCH($B217,案件管理!$A$3:$A$202,0)),"←IDが未登録です"))</f>
        <v/>
      </c>
      <c r="D217" s="34"/>
      <c r="E217" s="34"/>
      <c r="F217" s="45"/>
      <c r="G217" s="31" t="str">
        <f aca="false">IF(N($F217)=0,"",$F217/マスタ!$B$5)</f>
        <v/>
      </c>
      <c r="H217" s="8"/>
      <c r="I217" s="44" t="str">
        <f aca="false">IF($A217="","",YEAR($A217)*100+MONTH($A217))</f>
        <v/>
      </c>
    </row>
    <row r="218" customFormat="false" ht="18" hidden="false" customHeight="true" outlineLevel="0" collapsed="false">
      <c r="A218" s="37"/>
      <c r="B218" s="33"/>
      <c r="C218" s="10" t="str">
        <f aca="false">IF($B218="","",IFERROR(INDEX(案件管理!$B$3:$B$202,MATCH($B218,案件管理!$A$3:$A$202,0)),"←IDが未登録です"))</f>
        <v/>
      </c>
      <c r="D218" s="34"/>
      <c r="E218" s="34"/>
      <c r="F218" s="45"/>
      <c r="G218" s="31" t="str">
        <f aca="false">IF(N($F218)=0,"",$F218/マスタ!$B$5)</f>
        <v/>
      </c>
      <c r="H218" s="8"/>
      <c r="I218" s="44" t="str">
        <f aca="false">IF($A218="","",YEAR($A218)*100+MONTH($A218))</f>
        <v/>
      </c>
    </row>
    <row r="219" customFormat="false" ht="18" hidden="false" customHeight="true" outlineLevel="0" collapsed="false">
      <c r="A219" s="37"/>
      <c r="B219" s="33"/>
      <c r="C219" s="10" t="str">
        <f aca="false">IF($B219="","",IFERROR(INDEX(案件管理!$B$3:$B$202,MATCH($B219,案件管理!$A$3:$A$202,0)),"←IDが未登録です"))</f>
        <v/>
      </c>
      <c r="D219" s="34"/>
      <c r="E219" s="34"/>
      <c r="F219" s="45"/>
      <c r="G219" s="31" t="str">
        <f aca="false">IF(N($F219)=0,"",$F219/マスタ!$B$5)</f>
        <v/>
      </c>
      <c r="H219" s="8"/>
      <c r="I219" s="44" t="str">
        <f aca="false">IF($A219="","",YEAR($A219)*100+MONTH($A219))</f>
        <v/>
      </c>
    </row>
    <row r="220" customFormat="false" ht="18" hidden="false" customHeight="true" outlineLevel="0" collapsed="false">
      <c r="A220" s="37"/>
      <c r="B220" s="33"/>
      <c r="C220" s="10" t="str">
        <f aca="false">IF($B220="","",IFERROR(INDEX(案件管理!$B$3:$B$202,MATCH($B220,案件管理!$A$3:$A$202,0)),"←IDが未登録です"))</f>
        <v/>
      </c>
      <c r="D220" s="34"/>
      <c r="E220" s="34"/>
      <c r="F220" s="45"/>
      <c r="G220" s="31" t="str">
        <f aca="false">IF(N($F220)=0,"",$F220/マスタ!$B$5)</f>
        <v/>
      </c>
      <c r="H220" s="8"/>
      <c r="I220" s="44" t="str">
        <f aca="false">IF($A220="","",YEAR($A220)*100+MONTH($A220))</f>
        <v/>
      </c>
    </row>
    <row r="221" customFormat="false" ht="18" hidden="false" customHeight="true" outlineLevel="0" collapsed="false">
      <c r="A221" s="37"/>
      <c r="B221" s="33"/>
      <c r="C221" s="10" t="str">
        <f aca="false">IF($B221="","",IFERROR(INDEX(案件管理!$B$3:$B$202,MATCH($B221,案件管理!$A$3:$A$202,0)),"←IDが未登録です"))</f>
        <v/>
      </c>
      <c r="D221" s="34"/>
      <c r="E221" s="34"/>
      <c r="F221" s="45"/>
      <c r="G221" s="31" t="str">
        <f aca="false">IF(N($F221)=0,"",$F221/マスタ!$B$5)</f>
        <v/>
      </c>
      <c r="H221" s="8"/>
      <c r="I221" s="44" t="str">
        <f aca="false">IF($A221="","",YEAR($A221)*100+MONTH($A221))</f>
        <v/>
      </c>
    </row>
    <row r="222" customFormat="false" ht="18" hidden="false" customHeight="true" outlineLevel="0" collapsed="false">
      <c r="A222" s="37"/>
      <c r="B222" s="33"/>
      <c r="C222" s="10" t="str">
        <f aca="false">IF($B222="","",IFERROR(INDEX(案件管理!$B$3:$B$202,MATCH($B222,案件管理!$A$3:$A$202,0)),"←IDが未登録です"))</f>
        <v/>
      </c>
      <c r="D222" s="34"/>
      <c r="E222" s="34"/>
      <c r="F222" s="45"/>
      <c r="G222" s="31" t="str">
        <f aca="false">IF(N($F222)=0,"",$F222/マスタ!$B$5)</f>
        <v/>
      </c>
      <c r="H222" s="8"/>
      <c r="I222" s="44" t="str">
        <f aca="false">IF($A222="","",YEAR($A222)*100+MONTH($A222))</f>
        <v/>
      </c>
    </row>
    <row r="223" customFormat="false" ht="18" hidden="false" customHeight="true" outlineLevel="0" collapsed="false">
      <c r="A223" s="37"/>
      <c r="B223" s="33"/>
      <c r="C223" s="10" t="str">
        <f aca="false">IF($B223="","",IFERROR(INDEX(案件管理!$B$3:$B$202,MATCH($B223,案件管理!$A$3:$A$202,0)),"←IDが未登録です"))</f>
        <v/>
      </c>
      <c r="D223" s="34"/>
      <c r="E223" s="34"/>
      <c r="F223" s="45"/>
      <c r="G223" s="31" t="str">
        <f aca="false">IF(N($F223)=0,"",$F223/マスタ!$B$5)</f>
        <v/>
      </c>
      <c r="H223" s="8"/>
      <c r="I223" s="44" t="str">
        <f aca="false">IF($A223="","",YEAR($A223)*100+MONTH($A223))</f>
        <v/>
      </c>
    </row>
    <row r="224" customFormat="false" ht="18" hidden="false" customHeight="true" outlineLevel="0" collapsed="false">
      <c r="A224" s="37"/>
      <c r="B224" s="33"/>
      <c r="C224" s="10" t="str">
        <f aca="false">IF($B224="","",IFERROR(INDEX(案件管理!$B$3:$B$202,MATCH($B224,案件管理!$A$3:$A$202,0)),"←IDが未登録です"))</f>
        <v/>
      </c>
      <c r="D224" s="34"/>
      <c r="E224" s="34"/>
      <c r="F224" s="45"/>
      <c r="G224" s="31" t="str">
        <f aca="false">IF(N($F224)=0,"",$F224/マスタ!$B$5)</f>
        <v/>
      </c>
      <c r="H224" s="8"/>
      <c r="I224" s="44" t="str">
        <f aca="false">IF($A224="","",YEAR($A224)*100+MONTH($A224))</f>
        <v/>
      </c>
    </row>
    <row r="225" customFormat="false" ht="18" hidden="false" customHeight="true" outlineLevel="0" collapsed="false">
      <c r="A225" s="37"/>
      <c r="B225" s="33"/>
      <c r="C225" s="10" t="str">
        <f aca="false">IF($B225="","",IFERROR(INDEX(案件管理!$B$3:$B$202,MATCH($B225,案件管理!$A$3:$A$202,0)),"←IDが未登録です"))</f>
        <v/>
      </c>
      <c r="D225" s="34"/>
      <c r="E225" s="34"/>
      <c r="F225" s="45"/>
      <c r="G225" s="31" t="str">
        <f aca="false">IF(N($F225)=0,"",$F225/マスタ!$B$5)</f>
        <v/>
      </c>
      <c r="H225" s="8"/>
      <c r="I225" s="44" t="str">
        <f aca="false">IF($A225="","",YEAR($A225)*100+MONTH($A225))</f>
        <v/>
      </c>
    </row>
    <row r="226" customFormat="false" ht="18" hidden="false" customHeight="true" outlineLevel="0" collapsed="false">
      <c r="A226" s="37"/>
      <c r="B226" s="33"/>
      <c r="C226" s="10" t="str">
        <f aca="false">IF($B226="","",IFERROR(INDEX(案件管理!$B$3:$B$202,MATCH($B226,案件管理!$A$3:$A$202,0)),"←IDが未登録です"))</f>
        <v/>
      </c>
      <c r="D226" s="34"/>
      <c r="E226" s="34"/>
      <c r="F226" s="45"/>
      <c r="G226" s="31" t="str">
        <f aca="false">IF(N($F226)=0,"",$F226/マスタ!$B$5)</f>
        <v/>
      </c>
      <c r="H226" s="8"/>
      <c r="I226" s="44" t="str">
        <f aca="false">IF($A226="","",YEAR($A226)*100+MONTH($A226))</f>
        <v/>
      </c>
    </row>
    <row r="227" customFormat="false" ht="18" hidden="false" customHeight="true" outlineLevel="0" collapsed="false">
      <c r="A227" s="37"/>
      <c r="B227" s="33"/>
      <c r="C227" s="10" t="str">
        <f aca="false">IF($B227="","",IFERROR(INDEX(案件管理!$B$3:$B$202,MATCH($B227,案件管理!$A$3:$A$202,0)),"←IDが未登録です"))</f>
        <v/>
      </c>
      <c r="D227" s="34"/>
      <c r="E227" s="34"/>
      <c r="F227" s="45"/>
      <c r="G227" s="31" t="str">
        <f aca="false">IF(N($F227)=0,"",$F227/マスタ!$B$5)</f>
        <v/>
      </c>
      <c r="H227" s="8"/>
      <c r="I227" s="44" t="str">
        <f aca="false">IF($A227="","",YEAR($A227)*100+MONTH($A227))</f>
        <v/>
      </c>
    </row>
    <row r="228" customFormat="false" ht="18" hidden="false" customHeight="true" outlineLevel="0" collapsed="false">
      <c r="A228" s="37"/>
      <c r="B228" s="33"/>
      <c r="C228" s="10" t="str">
        <f aca="false">IF($B228="","",IFERROR(INDEX(案件管理!$B$3:$B$202,MATCH($B228,案件管理!$A$3:$A$202,0)),"←IDが未登録です"))</f>
        <v/>
      </c>
      <c r="D228" s="34"/>
      <c r="E228" s="34"/>
      <c r="F228" s="45"/>
      <c r="G228" s="31" t="str">
        <f aca="false">IF(N($F228)=0,"",$F228/マスタ!$B$5)</f>
        <v/>
      </c>
      <c r="H228" s="8"/>
      <c r="I228" s="44" t="str">
        <f aca="false">IF($A228="","",YEAR($A228)*100+MONTH($A228))</f>
        <v/>
      </c>
    </row>
    <row r="229" customFormat="false" ht="18" hidden="false" customHeight="true" outlineLevel="0" collapsed="false">
      <c r="A229" s="37"/>
      <c r="B229" s="33"/>
      <c r="C229" s="10" t="str">
        <f aca="false">IF($B229="","",IFERROR(INDEX(案件管理!$B$3:$B$202,MATCH($B229,案件管理!$A$3:$A$202,0)),"←IDが未登録です"))</f>
        <v/>
      </c>
      <c r="D229" s="34"/>
      <c r="E229" s="34"/>
      <c r="F229" s="45"/>
      <c r="G229" s="31" t="str">
        <f aca="false">IF(N($F229)=0,"",$F229/マスタ!$B$5)</f>
        <v/>
      </c>
      <c r="H229" s="8"/>
      <c r="I229" s="44" t="str">
        <f aca="false">IF($A229="","",YEAR($A229)*100+MONTH($A229))</f>
        <v/>
      </c>
    </row>
    <row r="230" customFormat="false" ht="18" hidden="false" customHeight="true" outlineLevel="0" collapsed="false">
      <c r="A230" s="37"/>
      <c r="B230" s="33"/>
      <c r="C230" s="10" t="str">
        <f aca="false">IF($B230="","",IFERROR(INDEX(案件管理!$B$3:$B$202,MATCH($B230,案件管理!$A$3:$A$202,0)),"←IDが未登録です"))</f>
        <v/>
      </c>
      <c r="D230" s="34"/>
      <c r="E230" s="34"/>
      <c r="F230" s="45"/>
      <c r="G230" s="31" t="str">
        <f aca="false">IF(N($F230)=0,"",$F230/マスタ!$B$5)</f>
        <v/>
      </c>
      <c r="H230" s="8"/>
      <c r="I230" s="44" t="str">
        <f aca="false">IF($A230="","",YEAR($A230)*100+MONTH($A230))</f>
        <v/>
      </c>
    </row>
    <row r="231" customFormat="false" ht="18" hidden="false" customHeight="true" outlineLevel="0" collapsed="false">
      <c r="A231" s="37"/>
      <c r="B231" s="33"/>
      <c r="C231" s="10" t="str">
        <f aca="false">IF($B231="","",IFERROR(INDEX(案件管理!$B$3:$B$202,MATCH($B231,案件管理!$A$3:$A$202,0)),"←IDが未登録です"))</f>
        <v/>
      </c>
      <c r="D231" s="34"/>
      <c r="E231" s="34"/>
      <c r="F231" s="45"/>
      <c r="G231" s="31" t="str">
        <f aca="false">IF(N($F231)=0,"",$F231/マスタ!$B$5)</f>
        <v/>
      </c>
      <c r="H231" s="8"/>
      <c r="I231" s="44" t="str">
        <f aca="false">IF($A231="","",YEAR($A231)*100+MONTH($A231))</f>
        <v/>
      </c>
    </row>
    <row r="232" customFormat="false" ht="18" hidden="false" customHeight="true" outlineLevel="0" collapsed="false">
      <c r="A232" s="37"/>
      <c r="B232" s="33"/>
      <c r="C232" s="10" t="str">
        <f aca="false">IF($B232="","",IFERROR(INDEX(案件管理!$B$3:$B$202,MATCH($B232,案件管理!$A$3:$A$202,0)),"←IDが未登録です"))</f>
        <v/>
      </c>
      <c r="D232" s="34"/>
      <c r="E232" s="34"/>
      <c r="F232" s="45"/>
      <c r="G232" s="31" t="str">
        <f aca="false">IF(N($F232)=0,"",$F232/マスタ!$B$5)</f>
        <v/>
      </c>
      <c r="H232" s="8"/>
      <c r="I232" s="44" t="str">
        <f aca="false">IF($A232="","",YEAR($A232)*100+MONTH($A232))</f>
        <v/>
      </c>
    </row>
    <row r="233" customFormat="false" ht="18" hidden="false" customHeight="true" outlineLevel="0" collapsed="false">
      <c r="A233" s="37"/>
      <c r="B233" s="33"/>
      <c r="C233" s="10" t="str">
        <f aca="false">IF($B233="","",IFERROR(INDEX(案件管理!$B$3:$B$202,MATCH($B233,案件管理!$A$3:$A$202,0)),"←IDが未登録です"))</f>
        <v/>
      </c>
      <c r="D233" s="34"/>
      <c r="E233" s="34"/>
      <c r="F233" s="45"/>
      <c r="G233" s="31" t="str">
        <f aca="false">IF(N($F233)=0,"",$F233/マスタ!$B$5)</f>
        <v/>
      </c>
      <c r="H233" s="8"/>
      <c r="I233" s="44" t="str">
        <f aca="false">IF($A233="","",YEAR($A233)*100+MONTH($A233))</f>
        <v/>
      </c>
    </row>
    <row r="234" customFormat="false" ht="18" hidden="false" customHeight="true" outlineLevel="0" collapsed="false">
      <c r="A234" s="37"/>
      <c r="B234" s="33"/>
      <c r="C234" s="10" t="str">
        <f aca="false">IF($B234="","",IFERROR(INDEX(案件管理!$B$3:$B$202,MATCH($B234,案件管理!$A$3:$A$202,0)),"←IDが未登録です"))</f>
        <v/>
      </c>
      <c r="D234" s="34"/>
      <c r="E234" s="34"/>
      <c r="F234" s="45"/>
      <c r="G234" s="31" t="str">
        <f aca="false">IF(N($F234)=0,"",$F234/マスタ!$B$5)</f>
        <v/>
      </c>
      <c r="H234" s="8"/>
      <c r="I234" s="44" t="str">
        <f aca="false">IF($A234="","",YEAR($A234)*100+MONTH($A234))</f>
        <v/>
      </c>
    </row>
    <row r="235" customFormat="false" ht="18" hidden="false" customHeight="true" outlineLevel="0" collapsed="false">
      <c r="A235" s="37"/>
      <c r="B235" s="33"/>
      <c r="C235" s="10" t="str">
        <f aca="false">IF($B235="","",IFERROR(INDEX(案件管理!$B$3:$B$202,MATCH($B235,案件管理!$A$3:$A$202,0)),"←IDが未登録です"))</f>
        <v/>
      </c>
      <c r="D235" s="34"/>
      <c r="E235" s="34"/>
      <c r="F235" s="45"/>
      <c r="G235" s="31" t="str">
        <f aca="false">IF(N($F235)=0,"",$F235/マスタ!$B$5)</f>
        <v/>
      </c>
      <c r="H235" s="8"/>
      <c r="I235" s="44" t="str">
        <f aca="false">IF($A235="","",YEAR($A235)*100+MONTH($A235))</f>
        <v/>
      </c>
    </row>
    <row r="236" customFormat="false" ht="18" hidden="false" customHeight="true" outlineLevel="0" collapsed="false">
      <c r="A236" s="37"/>
      <c r="B236" s="33"/>
      <c r="C236" s="10" t="str">
        <f aca="false">IF($B236="","",IFERROR(INDEX(案件管理!$B$3:$B$202,MATCH($B236,案件管理!$A$3:$A$202,0)),"←IDが未登録です"))</f>
        <v/>
      </c>
      <c r="D236" s="34"/>
      <c r="E236" s="34"/>
      <c r="F236" s="45"/>
      <c r="G236" s="31" t="str">
        <f aca="false">IF(N($F236)=0,"",$F236/マスタ!$B$5)</f>
        <v/>
      </c>
      <c r="H236" s="8"/>
      <c r="I236" s="44" t="str">
        <f aca="false">IF($A236="","",YEAR($A236)*100+MONTH($A236))</f>
        <v/>
      </c>
    </row>
    <row r="237" customFormat="false" ht="18" hidden="false" customHeight="true" outlineLevel="0" collapsed="false">
      <c r="A237" s="37"/>
      <c r="B237" s="33"/>
      <c r="C237" s="10" t="str">
        <f aca="false">IF($B237="","",IFERROR(INDEX(案件管理!$B$3:$B$202,MATCH($B237,案件管理!$A$3:$A$202,0)),"←IDが未登録です"))</f>
        <v/>
      </c>
      <c r="D237" s="34"/>
      <c r="E237" s="34"/>
      <c r="F237" s="45"/>
      <c r="G237" s="31" t="str">
        <f aca="false">IF(N($F237)=0,"",$F237/マスタ!$B$5)</f>
        <v/>
      </c>
      <c r="H237" s="8"/>
      <c r="I237" s="44" t="str">
        <f aca="false">IF($A237="","",YEAR($A237)*100+MONTH($A237))</f>
        <v/>
      </c>
    </row>
    <row r="238" customFormat="false" ht="18" hidden="false" customHeight="true" outlineLevel="0" collapsed="false">
      <c r="A238" s="37"/>
      <c r="B238" s="33"/>
      <c r="C238" s="10" t="str">
        <f aca="false">IF($B238="","",IFERROR(INDEX(案件管理!$B$3:$B$202,MATCH($B238,案件管理!$A$3:$A$202,0)),"←IDが未登録です"))</f>
        <v/>
      </c>
      <c r="D238" s="34"/>
      <c r="E238" s="34"/>
      <c r="F238" s="45"/>
      <c r="G238" s="31" t="str">
        <f aca="false">IF(N($F238)=0,"",$F238/マスタ!$B$5)</f>
        <v/>
      </c>
      <c r="H238" s="8"/>
      <c r="I238" s="44" t="str">
        <f aca="false">IF($A238="","",YEAR($A238)*100+MONTH($A238))</f>
        <v/>
      </c>
    </row>
    <row r="239" customFormat="false" ht="18" hidden="false" customHeight="true" outlineLevel="0" collapsed="false">
      <c r="A239" s="37"/>
      <c r="B239" s="33"/>
      <c r="C239" s="10" t="str">
        <f aca="false">IF($B239="","",IFERROR(INDEX(案件管理!$B$3:$B$202,MATCH($B239,案件管理!$A$3:$A$202,0)),"←IDが未登録です"))</f>
        <v/>
      </c>
      <c r="D239" s="34"/>
      <c r="E239" s="34"/>
      <c r="F239" s="45"/>
      <c r="G239" s="31" t="str">
        <f aca="false">IF(N($F239)=0,"",$F239/マスタ!$B$5)</f>
        <v/>
      </c>
      <c r="H239" s="8"/>
      <c r="I239" s="44" t="str">
        <f aca="false">IF($A239="","",YEAR($A239)*100+MONTH($A239))</f>
        <v/>
      </c>
    </row>
    <row r="240" customFormat="false" ht="18" hidden="false" customHeight="true" outlineLevel="0" collapsed="false">
      <c r="A240" s="37"/>
      <c r="B240" s="33"/>
      <c r="C240" s="10" t="str">
        <f aca="false">IF($B240="","",IFERROR(INDEX(案件管理!$B$3:$B$202,MATCH($B240,案件管理!$A$3:$A$202,0)),"←IDが未登録です"))</f>
        <v/>
      </c>
      <c r="D240" s="34"/>
      <c r="E240" s="34"/>
      <c r="F240" s="45"/>
      <c r="G240" s="31" t="str">
        <f aca="false">IF(N($F240)=0,"",$F240/マスタ!$B$5)</f>
        <v/>
      </c>
      <c r="H240" s="8"/>
      <c r="I240" s="44" t="str">
        <f aca="false">IF($A240="","",YEAR($A240)*100+MONTH($A240))</f>
        <v/>
      </c>
    </row>
    <row r="241" customFormat="false" ht="18" hidden="false" customHeight="true" outlineLevel="0" collapsed="false">
      <c r="A241" s="37"/>
      <c r="B241" s="33"/>
      <c r="C241" s="10" t="str">
        <f aca="false">IF($B241="","",IFERROR(INDEX(案件管理!$B$3:$B$202,MATCH($B241,案件管理!$A$3:$A$202,0)),"←IDが未登録です"))</f>
        <v/>
      </c>
      <c r="D241" s="34"/>
      <c r="E241" s="34"/>
      <c r="F241" s="45"/>
      <c r="G241" s="31" t="str">
        <f aca="false">IF(N($F241)=0,"",$F241/マスタ!$B$5)</f>
        <v/>
      </c>
      <c r="H241" s="8"/>
      <c r="I241" s="44" t="str">
        <f aca="false">IF($A241="","",YEAR($A241)*100+MONTH($A241))</f>
        <v/>
      </c>
    </row>
    <row r="242" customFormat="false" ht="18" hidden="false" customHeight="true" outlineLevel="0" collapsed="false">
      <c r="A242" s="37"/>
      <c r="B242" s="33"/>
      <c r="C242" s="10" t="str">
        <f aca="false">IF($B242="","",IFERROR(INDEX(案件管理!$B$3:$B$202,MATCH($B242,案件管理!$A$3:$A$202,0)),"←IDが未登録です"))</f>
        <v/>
      </c>
      <c r="D242" s="34"/>
      <c r="E242" s="34"/>
      <c r="F242" s="45"/>
      <c r="G242" s="31" t="str">
        <f aca="false">IF(N($F242)=0,"",$F242/マスタ!$B$5)</f>
        <v/>
      </c>
      <c r="H242" s="8"/>
      <c r="I242" s="44" t="str">
        <f aca="false">IF($A242="","",YEAR($A242)*100+MONTH($A242))</f>
        <v/>
      </c>
    </row>
    <row r="243" customFormat="false" ht="18" hidden="false" customHeight="true" outlineLevel="0" collapsed="false">
      <c r="A243" s="37"/>
      <c r="B243" s="33"/>
      <c r="C243" s="10" t="str">
        <f aca="false">IF($B243="","",IFERROR(INDEX(案件管理!$B$3:$B$202,MATCH($B243,案件管理!$A$3:$A$202,0)),"←IDが未登録です"))</f>
        <v/>
      </c>
      <c r="D243" s="34"/>
      <c r="E243" s="34"/>
      <c r="F243" s="45"/>
      <c r="G243" s="31" t="str">
        <f aca="false">IF(N($F243)=0,"",$F243/マスタ!$B$5)</f>
        <v/>
      </c>
      <c r="H243" s="8"/>
      <c r="I243" s="44" t="str">
        <f aca="false">IF($A243="","",YEAR($A243)*100+MONTH($A243))</f>
        <v/>
      </c>
    </row>
    <row r="244" customFormat="false" ht="18" hidden="false" customHeight="true" outlineLevel="0" collapsed="false">
      <c r="A244" s="37"/>
      <c r="B244" s="33"/>
      <c r="C244" s="10" t="str">
        <f aca="false">IF($B244="","",IFERROR(INDEX(案件管理!$B$3:$B$202,MATCH($B244,案件管理!$A$3:$A$202,0)),"←IDが未登録です"))</f>
        <v/>
      </c>
      <c r="D244" s="34"/>
      <c r="E244" s="34"/>
      <c r="F244" s="45"/>
      <c r="G244" s="31" t="str">
        <f aca="false">IF(N($F244)=0,"",$F244/マスタ!$B$5)</f>
        <v/>
      </c>
      <c r="H244" s="8"/>
      <c r="I244" s="44" t="str">
        <f aca="false">IF($A244="","",YEAR($A244)*100+MONTH($A244))</f>
        <v/>
      </c>
    </row>
    <row r="245" customFormat="false" ht="18" hidden="false" customHeight="true" outlineLevel="0" collapsed="false">
      <c r="A245" s="37"/>
      <c r="B245" s="33"/>
      <c r="C245" s="10" t="str">
        <f aca="false">IF($B245="","",IFERROR(INDEX(案件管理!$B$3:$B$202,MATCH($B245,案件管理!$A$3:$A$202,0)),"←IDが未登録です"))</f>
        <v/>
      </c>
      <c r="D245" s="34"/>
      <c r="E245" s="34"/>
      <c r="F245" s="45"/>
      <c r="G245" s="31" t="str">
        <f aca="false">IF(N($F245)=0,"",$F245/マスタ!$B$5)</f>
        <v/>
      </c>
      <c r="H245" s="8"/>
      <c r="I245" s="44" t="str">
        <f aca="false">IF($A245="","",YEAR($A245)*100+MONTH($A245))</f>
        <v/>
      </c>
    </row>
    <row r="246" customFormat="false" ht="18" hidden="false" customHeight="true" outlineLevel="0" collapsed="false">
      <c r="A246" s="37"/>
      <c r="B246" s="33"/>
      <c r="C246" s="10" t="str">
        <f aca="false">IF($B246="","",IFERROR(INDEX(案件管理!$B$3:$B$202,MATCH($B246,案件管理!$A$3:$A$202,0)),"←IDが未登録です"))</f>
        <v/>
      </c>
      <c r="D246" s="34"/>
      <c r="E246" s="34"/>
      <c r="F246" s="45"/>
      <c r="G246" s="31" t="str">
        <f aca="false">IF(N($F246)=0,"",$F246/マスタ!$B$5)</f>
        <v/>
      </c>
      <c r="H246" s="8"/>
      <c r="I246" s="44" t="str">
        <f aca="false">IF($A246="","",YEAR($A246)*100+MONTH($A246))</f>
        <v/>
      </c>
    </row>
    <row r="247" customFormat="false" ht="18" hidden="false" customHeight="true" outlineLevel="0" collapsed="false">
      <c r="A247" s="37"/>
      <c r="B247" s="33"/>
      <c r="C247" s="10" t="str">
        <f aca="false">IF($B247="","",IFERROR(INDEX(案件管理!$B$3:$B$202,MATCH($B247,案件管理!$A$3:$A$202,0)),"←IDが未登録です"))</f>
        <v/>
      </c>
      <c r="D247" s="34"/>
      <c r="E247" s="34"/>
      <c r="F247" s="45"/>
      <c r="G247" s="31" t="str">
        <f aca="false">IF(N($F247)=0,"",$F247/マスタ!$B$5)</f>
        <v/>
      </c>
      <c r="H247" s="8"/>
      <c r="I247" s="44" t="str">
        <f aca="false">IF($A247="","",YEAR($A247)*100+MONTH($A247))</f>
        <v/>
      </c>
    </row>
    <row r="248" customFormat="false" ht="18" hidden="false" customHeight="true" outlineLevel="0" collapsed="false">
      <c r="A248" s="37"/>
      <c r="B248" s="33"/>
      <c r="C248" s="10" t="str">
        <f aca="false">IF($B248="","",IFERROR(INDEX(案件管理!$B$3:$B$202,MATCH($B248,案件管理!$A$3:$A$202,0)),"←IDが未登録です"))</f>
        <v/>
      </c>
      <c r="D248" s="34"/>
      <c r="E248" s="34"/>
      <c r="F248" s="45"/>
      <c r="G248" s="31" t="str">
        <f aca="false">IF(N($F248)=0,"",$F248/マスタ!$B$5)</f>
        <v/>
      </c>
      <c r="H248" s="8"/>
      <c r="I248" s="44" t="str">
        <f aca="false">IF($A248="","",YEAR($A248)*100+MONTH($A248))</f>
        <v/>
      </c>
    </row>
    <row r="249" customFormat="false" ht="18" hidden="false" customHeight="true" outlineLevel="0" collapsed="false">
      <c r="A249" s="37"/>
      <c r="B249" s="33"/>
      <c r="C249" s="10" t="str">
        <f aca="false">IF($B249="","",IFERROR(INDEX(案件管理!$B$3:$B$202,MATCH($B249,案件管理!$A$3:$A$202,0)),"←IDが未登録です"))</f>
        <v/>
      </c>
      <c r="D249" s="34"/>
      <c r="E249" s="34"/>
      <c r="F249" s="45"/>
      <c r="G249" s="31" t="str">
        <f aca="false">IF(N($F249)=0,"",$F249/マスタ!$B$5)</f>
        <v/>
      </c>
      <c r="H249" s="8"/>
      <c r="I249" s="44" t="str">
        <f aca="false">IF($A249="","",YEAR($A249)*100+MONTH($A249))</f>
        <v/>
      </c>
    </row>
    <row r="250" customFormat="false" ht="18" hidden="false" customHeight="true" outlineLevel="0" collapsed="false">
      <c r="A250" s="37"/>
      <c r="B250" s="33"/>
      <c r="C250" s="10" t="str">
        <f aca="false">IF($B250="","",IFERROR(INDEX(案件管理!$B$3:$B$202,MATCH($B250,案件管理!$A$3:$A$202,0)),"←IDが未登録です"))</f>
        <v/>
      </c>
      <c r="D250" s="34"/>
      <c r="E250" s="34"/>
      <c r="F250" s="45"/>
      <c r="G250" s="31" t="str">
        <f aca="false">IF(N($F250)=0,"",$F250/マスタ!$B$5)</f>
        <v/>
      </c>
      <c r="H250" s="8"/>
      <c r="I250" s="44" t="str">
        <f aca="false">IF($A250="","",YEAR($A250)*100+MONTH($A250))</f>
        <v/>
      </c>
    </row>
    <row r="251" customFormat="false" ht="18" hidden="false" customHeight="true" outlineLevel="0" collapsed="false">
      <c r="A251" s="37"/>
      <c r="B251" s="33"/>
      <c r="C251" s="10" t="str">
        <f aca="false">IF($B251="","",IFERROR(INDEX(案件管理!$B$3:$B$202,MATCH($B251,案件管理!$A$3:$A$202,0)),"←IDが未登録です"))</f>
        <v/>
      </c>
      <c r="D251" s="34"/>
      <c r="E251" s="34"/>
      <c r="F251" s="45"/>
      <c r="G251" s="31" t="str">
        <f aca="false">IF(N($F251)=0,"",$F251/マスタ!$B$5)</f>
        <v/>
      </c>
      <c r="H251" s="8"/>
      <c r="I251" s="44" t="str">
        <f aca="false">IF($A251="","",YEAR($A251)*100+MONTH($A251))</f>
        <v/>
      </c>
    </row>
    <row r="252" customFormat="false" ht="18" hidden="false" customHeight="true" outlineLevel="0" collapsed="false">
      <c r="A252" s="37"/>
      <c r="B252" s="33"/>
      <c r="C252" s="10" t="str">
        <f aca="false">IF($B252="","",IFERROR(INDEX(案件管理!$B$3:$B$202,MATCH($B252,案件管理!$A$3:$A$202,0)),"←IDが未登録です"))</f>
        <v/>
      </c>
      <c r="D252" s="34"/>
      <c r="E252" s="34"/>
      <c r="F252" s="45"/>
      <c r="G252" s="31" t="str">
        <f aca="false">IF(N($F252)=0,"",$F252/マスタ!$B$5)</f>
        <v/>
      </c>
      <c r="H252" s="8"/>
      <c r="I252" s="44" t="str">
        <f aca="false">IF($A252="","",YEAR($A252)*100+MONTH($A252))</f>
        <v/>
      </c>
    </row>
    <row r="253" customFormat="false" ht="18" hidden="false" customHeight="true" outlineLevel="0" collapsed="false">
      <c r="A253" s="37"/>
      <c r="B253" s="33"/>
      <c r="C253" s="10" t="str">
        <f aca="false">IF($B253="","",IFERROR(INDEX(案件管理!$B$3:$B$202,MATCH($B253,案件管理!$A$3:$A$202,0)),"←IDが未登録です"))</f>
        <v/>
      </c>
      <c r="D253" s="34"/>
      <c r="E253" s="34"/>
      <c r="F253" s="45"/>
      <c r="G253" s="31" t="str">
        <f aca="false">IF(N($F253)=0,"",$F253/マスタ!$B$5)</f>
        <v/>
      </c>
      <c r="H253" s="8"/>
      <c r="I253" s="44" t="str">
        <f aca="false">IF($A253="","",YEAR($A253)*100+MONTH($A253))</f>
        <v/>
      </c>
    </row>
    <row r="254" customFormat="false" ht="18" hidden="false" customHeight="true" outlineLevel="0" collapsed="false">
      <c r="A254" s="37"/>
      <c r="B254" s="33"/>
      <c r="C254" s="10" t="str">
        <f aca="false">IF($B254="","",IFERROR(INDEX(案件管理!$B$3:$B$202,MATCH($B254,案件管理!$A$3:$A$202,0)),"←IDが未登録です"))</f>
        <v/>
      </c>
      <c r="D254" s="34"/>
      <c r="E254" s="34"/>
      <c r="F254" s="45"/>
      <c r="G254" s="31" t="str">
        <f aca="false">IF(N($F254)=0,"",$F254/マスタ!$B$5)</f>
        <v/>
      </c>
      <c r="H254" s="8"/>
      <c r="I254" s="44" t="str">
        <f aca="false">IF($A254="","",YEAR($A254)*100+MONTH($A254))</f>
        <v/>
      </c>
    </row>
    <row r="255" customFormat="false" ht="18" hidden="false" customHeight="true" outlineLevel="0" collapsed="false">
      <c r="A255" s="37"/>
      <c r="B255" s="33"/>
      <c r="C255" s="10" t="str">
        <f aca="false">IF($B255="","",IFERROR(INDEX(案件管理!$B$3:$B$202,MATCH($B255,案件管理!$A$3:$A$202,0)),"←IDが未登録です"))</f>
        <v/>
      </c>
      <c r="D255" s="34"/>
      <c r="E255" s="34"/>
      <c r="F255" s="45"/>
      <c r="G255" s="31" t="str">
        <f aca="false">IF(N($F255)=0,"",$F255/マスタ!$B$5)</f>
        <v/>
      </c>
      <c r="H255" s="8"/>
      <c r="I255" s="44" t="str">
        <f aca="false">IF($A255="","",YEAR($A255)*100+MONTH($A255))</f>
        <v/>
      </c>
    </row>
    <row r="256" customFormat="false" ht="18" hidden="false" customHeight="true" outlineLevel="0" collapsed="false">
      <c r="A256" s="37"/>
      <c r="B256" s="33"/>
      <c r="C256" s="10" t="str">
        <f aca="false">IF($B256="","",IFERROR(INDEX(案件管理!$B$3:$B$202,MATCH($B256,案件管理!$A$3:$A$202,0)),"←IDが未登録です"))</f>
        <v/>
      </c>
      <c r="D256" s="34"/>
      <c r="E256" s="34"/>
      <c r="F256" s="45"/>
      <c r="G256" s="31" t="str">
        <f aca="false">IF(N($F256)=0,"",$F256/マスタ!$B$5)</f>
        <v/>
      </c>
      <c r="H256" s="8"/>
      <c r="I256" s="44" t="str">
        <f aca="false">IF($A256="","",YEAR($A256)*100+MONTH($A256))</f>
        <v/>
      </c>
    </row>
    <row r="257" customFormat="false" ht="18" hidden="false" customHeight="true" outlineLevel="0" collapsed="false">
      <c r="A257" s="37"/>
      <c r="B257" s="33"/>
      <c r="C257" s="10" t="str">
        <f aca="false">IF($B257="","",IFERROR(INDEX(案件管理!$B$3:$B$202,MATCH($B257,案件管理!$A$3:$A$202,0)),"←IDが未登録です"))</f>
        <v/>
      </c>
      <c r="D257" s="34"/>
      <c r="E257" s="34"/>
      <c r="F257" s="45"/>
      <c r="G257" s="31" t="str">
        <f aca="false">IF(N($F257)=0,"",$F257/マスタ!$B$5)</f>
        <v/>
      </c>
      <c r="H257" s="8"/>
      <c r="I257" s="44" t="str">
        <f aca="false">IF($A257="","",YEAR($A257)*100+MONTH($A257))</f>
        <v/>
      </c>
    </row>
    <row r="258" customFormat="false" ht="18" hidden="false" customHeight="true" outlineLevel="0" collapsed="false">
      <c r="A258" s="37"/>
      <c r="B258" s="33"/>
      <c r="C258" s="10" t="str">
        <f aca="false">IF($B258="","",IFERROR(INDEX(案件管理!$B$3:$B$202,MATCH($B258,案件管理!$A$3:$A$202,0)),"←IDが未登録です"))</f>
        <v/>
      </c>
      <c r="D258" s="34"/>
      <c r="E258" s="34"/>
      <c r="F258" s="45"/>
      <c r="G258" s="31" t="str">
        <f aca="false">IF(N($F258)=0,"",$F258/マスタ!$B$5)</f>
        <v/>
      </c>
      <c r="H258" s="8"/>
      <c r="I258" s="44" t="str">
        <f aca="false">IF($A258="","",YEAR($A258)*100+MONTH($A258))</f>
        <v/>
      </c>
    </row>
    <row r="259" customFormat="false" ht="18" hidden="false" customHeight="true" outlineLevel="0" collapsed="false">
      <c r="A259" s="37"/>
      <c r="B259" s="33"/>
      <c r="C259" s="10" t="str">
        <f aca="false">IF($B259="","",IFERROR(INDEX(案件管理!$B$3:$B$202,MATCH($B259,案件管理!$A$3:$A$202,0)),"←IDが未登録です"))</f>
        <v/>
      </c>
      <c r="D259" s="34"/>
      <c r="E259" s="34"/>
      <c r="F259" s="45"/>
      <c r="G259" s="31" t="str">
        <f aca="false">IF(N($F259)=0,"",$F259/マスタ!$B$5)</f>
        <v/>
      </c>
      <c r="H259" s="8"/>
      <c r="I259" s="44" t="str">
        <f aca="false">IF($A259="","",YEAR($A259)*100+MONTH($A259))</f>
        <v/>
      </c>
    </row>
    <row r="260" customFormat="false" ht="18" hidden="false" customHeight="true" outlineLevel="0" collapsed="false">
      <c r="A260" s="37"/>
      <c r="B260" s="33"/>
      <c r="C260" s="10" t="str">
        <f aca="false">IF($B260="","",IFERROR(INDEX(案件管理!$B$3:$B$202,MATCH($B260,案件管理!$A$3:$A$202,0)),"←IDが未登録です"))</f>
        <v/>
      </c>
      <c r="D260" s="34"/>
      <c r="E260" s="34"/>
      <c r="F260" s="45"/>
      <c r="G260" s="31" t="str">
        <f aca="false">IF(N($F260)=0,"",$F260/マスタ!$B$5)</f>
        <v/>
      </c>
      <c r="H260" s="8"/>
      <c r="I260" s="44" t="str">
        <f aca="false">IF($A260="","",YEAR($A260)*100+MONTH($A260))</f>
        <v/>
      </c>
    </row>
    <row r="261" customFormat="false" ht="18" hidden="false" customHeight="true" outlineLevel="0" collapsed="false">
      <c r="A261" s="37"/>
      <c r="B261" s="33"/>
      <c r="C261" s="10" t="str">
        <f aca="false">IF($B261="","",IFERROR(INDEX(案件管理!$B$3:$B$202,MATCH($B261,案件管理!$A$3:$A$202,0)),"←IDが未登録です"))</f>
        <v/>
      </c>
      <c r="D261" s="34"/>
      <c r="E261" s="34"/>
      <c r="F261" s="45"/>
      <c r="G261" s="31" t="str">
        <f aca="false">IF(N($F261)=0,"",$F261/マスタ!$B$5)</f>
        <v/>
      </c>
      <c r="H261" s="8"/>
      <c r="I261" s="44" t="str">
        <f aca="false">IF($A261="","",YEAR($A261)*100+MONTH($A261))</f>
        <v/>
      </c>
    </row>
    <row r="262" customFormat="false" ht="18" hidden="false" customHeight="true" outlineLevel="0" collapsed="false">
      <c r="A262" s="37"/>
      <c r="B262" s="33"/>
      <c r="C262" s="10" t="str">
        <f aca="false">IF($B262="","",IFERROR(INDEX(案件管理!$B$3:$B$202,MATCH($B262,案件管理!$A$3:$A$202,0)),"←IDが未登録です"))</f>
        <v/>
      </c>
      <c r="D262" s="34"/>
      <c r="E262" s="34"/>
      <c r="F262" s="45"/>
      <c r="G262" s="31" t="str">
        <f aca="false">IF(N($F262)=0,"",$F262/マスタ!$B$5)</f>
        <v/>
      </c>
      <c r="H262" s="8"/>
      <c r="I262" s="44" t="str">
        <f aca="false">IF($A262="","",YEAR($A262)*100+MONTH($A262))</f>
        <v/>
      </c>
    </row>
    <row r="263" customFormat="false" ht="18" hidden="false" customHeight="true" outlineLevel="0" collapsed="false">
      <c r="A263" s="37"/>
      <c r="B263" s="33"/>
      <c r="C263" s="10" t="str">
        <f aca="false">IF($B263="","",IFERROR(INDEX(案件管理!$B$3:$B$202,MATCH($B263,案件管理!$A$3:$A$202,0)),"←IDが未登録です"))</f>
        <v/>
      </c>
      <c r="D263" s="34"/>
      <c r="E263" s="34"/>
      <c r="F263" s="45"/>
      <c r="G263" s="31" t="str">
        <f aca="false">IF(N($F263)=0,"",$F263/マスタ!$B$5)</f>
        <v/>
      </c>
      <c r="H263" s="8"/>
      <c r="I263" s="44" t="str">
        <f aca="false">IF($A263="","",YEAR($A263)*100+MONTH($A263))</f>
        <v/>
      </c>
    </row>
    <row r="264" customFormat="false" ht="18" hidden="false" customHeight="true" outlineLevel="0" collapsed="false">
      <c r="A264" s="37"/>
      <c r="B264" s="33"/>
      <c r="C264" s="10" t="str">
        <f aca="false">IF($B264="","",IFERROR(INDEX(案件管理!$B$3:$B$202,MATCH($B264,案件管理!$A$3:$A$202,0)),"←IDが未登録です"))</f>
        <v/>
      </c>
      <c r="D264" s="34"/>
      <c r="E264" s="34"/>
      <c r="F264" s="45"/>
      <c r="G264" s="31" t="str">
        <f aca="false">IF(N($F264)=0,"",$F264/マスタ!$B$5)</f>
        <v/>
      </c>
      <c r="H264" s="8"/>
      <c r="I264" s="44" t="str">
        <f aca="false">IF($A264="","",YEAR($A264)*100+MONTH($A264))</f>
        <v/>
      </c>
    </row>
    <row r="265" customFormat="false" ht="18" hidden="false" customHeight="true" outlineLevel="0" collapsed="false">
      <c r="A265" s="37"/>
      <c r="B265" s="33"/>
      <c r="C265" s="10" t="str">
        <f aca="false">IF($B265="","",IFERROR(INDEX(案件管理!$B$3:$B$202,MATCH($B265,案件管理!$A$3:$A$202,0)),"←IDが未登録です"))</f>
        <v/>
      </c>
      <c r="D265" s="34"/>
      <c r="E265" s="34"/>
      <c r="F265" s="45"/>
      <c r="G265" s="31" t="str">
        <f aca="false">IF(N($F265)=0,"",$F265/マスタ!$B$5)</f>
        <v/>
      </c>
      <c r="H265" s="8"/>
      <c r="I265" s="44" t="str">
        <f aca="false">IF($A265="","",YEAR($A265)*100+MONTH($A265))</f>
        <v/>
      </c>
    </row>
    <row r="266" customFormat="false" ht="18" hidden="false" customHeight="true" outlineLevel="0" collapsed="false">
      <c r="A266" s="37"/>
      <c r="B266" s="33"/>
      <c r="C266" s="10" t="str">
        <f aca="false">IF($B266="","",IFERROR(INDEX(案件管理!$B$3:$B$202,MATCH($B266,案件管理!$A$3:$A$202,0)),"←IDが未登録です"))</f>
        <v/>
      </c>
      <c r="D266" s="34"/>
      <c r="E266" s="34"/>
      <c r="F266" s="45"/>
      <c r="G266" s="31" t="str">
        <f aca="false">IF(N($F266)=0,"",$F266/マスタ!$B$5)</f>
        <v/>
      </c>
      <c r="H266" s="8"/>
      <c r="I266" s="44" t="str">
        <f aca="false">IF($A266="","",YEAR($A266)*100+MONTH($A266))</f>
        <v/>
      </c>
    </row>
    <row r="267" customFormat="false" ht="18" hidden="false" customHeight="true" outlineLevel="0" collapsed="false">
      <c r="A267" s="37"/>
      <c r="B267" s="33"/>
      <c r="C267" s="10" t="str">
        <f aca="false">IF($B267="","",IFERROR(INDEX(案件管理!$B$3:$B$202,MATCH($B267,案件管理!$A$3:$A$202,0)),"←IDが未登録です"))</f>
        <v/>
      </c>
      <c r="D267" s="34"/>
      <c r="E267" s="34"/>
      <c r="F267" s="45"/>
      <c r="G267" s="31" t="str">
        <f aca="false">IF(N($F267)=0,"",$F267/マスタ!$B$5)</f>
        <v/>
      </c>
      <c r="H267" s="8"/>
      <c r="I267" s="44" t="str">
        <f aca="false">IF($A267="","",YEAR($A267)*100+MONTH($A267))</f>
        <v/>
      </c>
    </row>
    <row r="268" customFormat="false" ht="18" hidden="false" customHeight="true" outlineLevel="0" collapsed="false">
      <c r="A268" s="37"/>
      <c r="B268" s="33"/>
      <c r="C268" s="10" t="str">
        <f aca="false">IF($B268="","",IFERROR(INDEX(案件管理!$B$3:$B$202,MATCH($B268,案件管理!$A$3:$A$202,0)),"←IDが未登録です"))</f>
        <v/>
      </c>
      <c r="D268" s="34"/>
      <c r="E268" s="34"/>
      <c r="F268" s="45"/>
      <c r="G268" s="31" t="str">
        <f aca="false">IF(N($F268)=0,"",$F268/マスタ!$B$5)</f>
        <v/>
      </c>
      <c r="H268" s="8"/>
      <c r="I268" s="44" t="str">
        <f aca="false">IF($A268="","",YEAR($A268)*100+MONTH($A268))</f>
        <v/>
      </c>
    </row>
    <row r="269" customFormat="false" ht="18" hidden="false" customHeight="true" outlineLevel="0" collapsed="false">
      <c r="A269" s="37"/>
      <c r="B269" s="33"/>
      <c r="C269" s="10" t="str">
        <f aca="false">IF($B269="","",IFERROR(INDEX(案件管理!$B$3:$B$202,MATCH($B269,案件管理!$A$3:$A$202,0)),"←IDが未登録です"))</f>
        <v/>
      </c>
      <c r="D269" s="34"/>
      <c r="E269" s="34"/>
      <c r="F269" s="45"/>
      <c r="G269" s="31" t="str">
        <f aca="false">IF(N($F269)=0,"",$F269/マスタ!$B$5)</f>
        <v/>
      </c>
      <c r="H269" s="8"/>
      <c r="I269" s="44" t="str">
        <f aca="false">IF($A269="","",YEAR($A269)*100+MONTH($A269))</f>
        <v/>
      </c>
    </row>
    <row r="270" customFormat="false" ht="18" hidden="false" customHeight="true" outlineLevel="0" collapsed="false">
      <c r="A270" s="37"/>
      <c r="B270" s="33"/>
      <c r="C270" s="10" t="str">
        <f aca="false">IF($B270="","",IFERROR(INDEX(案件管理!$B$3:$B$202,MATCH($B270,案件管理!$A$3:$A$202,0)),"←IDが未登録です"))</f>
        <v/>
      </c>
      <c r="D270" s="34"/>
      <c r="E270" s="34"/>
      <c r="F270" s="45"/>
      <c r="G270" s="31" t="str">
        <f aca="false">IF(N($F270)=0,"",$F270/マスタ!$B$5)</f>
        <v/>
      </c>
      <c r="H270" s="8"/>
      <c r="I270" s="44" t="str">
        <f aca="false">IF($A270="","",YEAR($A270)*100+MONTH($A270))</f>
        <v/>
      </c>
    </row>
    <row r="271" customFormat="false" ht="18" hidden="false" customHeight="true" outlineLevel="0" collapsed="false">
      <c r="A271" s="37"/>
      <c r="B271" s="33"/>
      <c r="C271" s="10" t="str">
        <f aca="false">IF($B271="","",IFERROR(INDEX(案件管理!$B$3:$B$202,MATCH($B271,案件管理!$A$3:$A$202,0)),"←IDが未登録です"))</f>
        <v/>
      </c>
      <c r="D271" s="34"/>
      <c r="E271" s="34"/>
      <c r="F271" s="45"/>
      <c r="G271" s="31" t="str">
        <f aca="false">IF(N($F271)=0,"",$F271/マスタ!$B$5)</f>
        <v/>
      </c>
      <c r="H271" s="8"/>
      <c r="I271" s="44" t="str">
        <f aca="false">IF($A271="","",YEAR($A271)*100+MONTH($A271))</f>
        <v/>
      </c>
    </row>
    <row r="272" customFormat="false" ht="18" hidden="false" customHeight="true" outlineLevel="0" collapsed="false">
      <c r="A272" s="37"/>
      <c r="B272" s="33"/>
      <c r="C272" s="10" t="str">
        <f aca="false">IF($B272="","",IFERROR(INDEX(案件管理!$B$3:$B$202,MATCH($B272,案件管理!$A$3:$A$202,0)),"←IDが未登録です"))</f>
        <v/>
      </c>
      <c r="D272" s="34"/>
      <c r="E272" s="34"/>
      <c r="F272" s="45"/>
      <c r="G272" s="31" t="str">
        <f aca="false">IF(N($F272)=0,"",$F272/マスタ!$B$5)</f>
        <v/>
      </c>
      <c r="H272" s="8"/>
      <c r="I272" s="44" t="str">
        <f aca="false">IF($A272="","",YEAR($A272)*100+MONTH($A272))</f>
        <v/>
      </c>
    </row>
    <row r="273" customFormat="false" ht="18" hidden="false" customHeight="true" outlineLevel="0" collapsed="false">
      <c r="A273" s="37"/>
      <c r="B273" s="33"/>
      <c r="C273" s="10" t="str">
        <f aca="false">IF($B273="","",IFERROR(INDEX(案件管理!$B$3:$B$202,MATCH($B273,案件管理!$A$3:$A$202,0)),"←IDが未登録です"))</f>
        <v/>
      </c>
      <c r="D273" s="34"/>
      <c r="E273" s="34"/>
      <c r="F273" s="45"/>
      <c r="G273" s="31" t="str">
        <f aca="false">IF(N($F273)=0,"",$F273/マスタ!$B$5)</f>
        <v/>
      </c>
      <c r="H273" s="8"/>
      <c r="I273" s="44" t="str">
        <f aca="false">IF($A273="","",YEAR($A273)*100+MONTH($A273))</f>
        <v/>
      </c>
    </row>
    <row r="274" customFormat="false" ht="18" hidden="false" customHeight="true" outlineLevel="0" collapsed="false">
      <c r="A274" s="37"/>
      <c r="B274" s="33"/>
      <c r="C274" s="10" t="str">
        <f aca="false">IF($B274="","",IFERROR(INDEX(案件管理!$B$3:$B$202,MATCH($B274,案件管理!$A$3:$A$202,0)),"←IDが未登録です"))</f>
        <v/>
      </c>
      <c r="D274" s="34"/>
      <c r="E274" s="34"/>
      <c r="F274" s="45"/>
      <c r="G274" s="31" t="str">
        <f aca="false">IF(N($F274)=0,"",$F274/マスタ!$B$5)</f>
        <v/>
      </c>
      <c r="H274" s="8"/>
      <c r="I274" s="44" t="str">
        <f aca="false">IF($A274="","",YEAR($A274)*100+MONTH($A274))</f>
        <v/>
      </c>
    </row>
    <row r="275" customFormat="false" ht="18" hidden="false" customHeight="true" outlineLevel="0" collapsed="false">
      <c r="A275" s="37"/>
      <c r="B275" s="33"/>
      <c r="C275" s="10" t="str">
        <f aca="false">IF($B275="","",IFERROR(INDEX(案件管理!$B$3:$B$202,MATCH($B275,案件管理!$A$3:$A$202,0)),"←IDが未登録です"))</f>
        <v/>
      </c>
      <c r="D275" s="34"/>
      <c r="E275" s="34"/>
      <c r="F275" s="45"/>
      <c r="G275" s="31" t="str">
        <f aca="false">IF(N($F275)=0,"",$F275/マスタ!$B$5)</f>
        <v/>
      </c>
      <c r="H275" s="8"/>
      <c r="I275" s="44" t="str">
        <f aca="false">IF($A275="","",YEAR($A275)*100+MONTH($A275))</f>
        <v/>
      </c>
    </row>
    <row r="276" customFormat="false" ht="18" hidden="false" customHeight="true" outlineLevel="0" collapsed="false">
      <c r="A276" s="37"/>
      <c r="B276" s="33"/>
      <c r="C276" s="10" t="str">
        <f aca="false">IF($B276="","",IFERROR(INDEX(案件管理!$B$3:$B$202,MATCH($B276,案件管理!$A$3:$A$202,0)),"←IDが未登録です"))</f>
        <v/>
      </c>
      <c r="D276" s="34"/>
      <c r="E276" s="34"/>
      <c r="F276" s="45"/>
      <c r="G276" s="31" t="str">
        <f aca="false">IF(N($F276)=0,"",$F276/マスタ!$B$5)</f>
        <v/>
      </c>
      <c r="H276" s="8"/>
      <c r="I276" s="44" t="str">
        <f aca="false">IF($A276="","",YEAR($A276)*100+MONTH($A276))</f>
        <v/>
      </c>
    </row>
    <row r="277" customFormat="false" ht="18" hidden="false" customHeight="true" outlineLevel="0" collapsed="false">
      <c r="A277" s="37"/>
      <c r="B277" s="33"/>
      <c r="C277" s="10" t="str">
        <f aca="false">IF($B277="","",IFERROR(INDEX(案件管理!$B$3:$B$202,MATCH($B277,案件管理!$A$3:$A$202,0)),"←IDが未登録です"))</f>
        <v/>
      </c>
      <c r="D277" s="34"/>
      <c r="E277" s="34"/>
      <c r="F277" s="45"/>
      <c r="G277" s="31" t="str">
        <f aca="false">IF(N($F277)=0,"",$F277/マスタ!$B$5)</f>
        <v/>
      </c>
      <c r="H277" s="8"/>
      <c r="I277" s="44" t="str">
        <f aca="false">IF($A277="","",YEAR($A277)*100+MONTH($A277))</f>
        <v/>
      </c>
    </row>
    <row r="278" customFormat="false" ht="18" hidden="false" customHeight="true" outlineLevel="0" collapsed="false">
      <c r="A278" s="37"/>
      <c r="B278" s="33"/>
      <c r="C278" s="10" t="str">
        <f aca="false">IF($B278="","",IFERROR(INDEX(案件管理!$B$3:$B$202,MATCH($B278,案件管理!$A$3:$A$202,0)),"←IDが未登録です"))</f>
        <v/>
      </c>
      <c r="D278" s="34"/>
      <c r="E278" s="34"/>
      <c r="F278" s="45"/>
      <c r="G278" s="31" t="str">
        <f aca="false">IF(N($F278)=0,"",$F278/マスタ!$B$5)</f>
        <v/>
      </c>
      <c r="H278" s="8"/>
      <c r="I278" s="44" t="str">
        <f aca="false">IF($A278="","",YEAR($A278)*100+MONTH($A278))</f>
        <v/>
      </c>
    </row>
    <row r="279" customFormat="false" ht="18" hidden="false" customHeight="true" outlineLevel="0" collapsed="false">
      <c r="A279" s="37"/>
      <c r="B279" s="33"/>
      <c r="C279" s="10" t="str">
        <f aca="false">IF($B279="","",IFERROR(INDEX(案件管理!$B$3:$B$202,MATCH($B279,案件管理!$A$3:$A$202,0)),"←IDが未登録です"))</f>
        <v/>
      </c>
      <c r="D279" s="34"/>
      <c r="E279" s="34"/>
      <c r="F279" s="45"/>
      <c r="G279" s="31" t="str">
        <f aca="false">IF(N($F279)=0,"",$F279/マスタ!$B$5)</f>
        <v/>
      </c>
      <c r="H279" s="8"/>
      <c r="I279" s="44" t="str">
        <f aca="false">IF($A279="","",YEAR($A279)*100+MONTH($A279))</f>
        <v/>
      </c>
    </row>
    <row r="280" customFormat="false" ht="18" hidden="false" customHeight="true" outlineLevel="0" collapsed="false">
      <c r="A280" s="37"/>
      <c r="B280" s="33"/>
      <c r="C280" s="10" t="str">
        <f aca="false">IF($B280="","",IFERROR(INDEX(案件管理!$B$3:$B$202,MATCH($B280,案件管理!$A$3:$A$202,0)),"←IDが未登録です"))</f>
        <v/>
      </c>
      <c r="D280" s="34"/>
      <c r="E280" s="34"/>
      <c r="F280" s="45"/>
      <c r="G280" s="31" t="str">
        <f aca="false">IF(N($F280)=0,"",$F280/マスタ!$B$5)</f>
        <v/>
      </c>
      <c r="H280" s="8"/>
      <c r="I280" s="44" t="str">
        <f aca="false">IF($A280="","",YEAR($A280)*100+MONTH($A280))</f>
        <v/>
      </c>
    </row>
    <row r="281" customFormat="false" ht="18" hidden="false" customHeight="true" outlineLevel="0" collapsed="false">
      <c r="A281" s="37"/>
      <c r="B281" s="33"/>
      <c r="C281" s="10" t="str">
        <f aca="false">IF($B281="","",IFERROR(INDEX(案件管理!$B$3:$B$202,MATCH($B281,案件管理!$A$3:$A$202,0)),"←IDが未登録です"))</f>
        <v/>
      </c>
      <c r="D281" s="34"/>
      <c r="E281" s="34"/>
      <c r="F281" s="45"/>
      <c r="G281" s="31" t="str">
        <f aca="false">IF(N($F281)=0,"",$F281/マスタ!$B$5)</f>
        <v/>
      </c>
      <c r="H281" s="8"/>
      <c r="I281" s="44" t="str">
        <f aca="false">IF($A281="","",YEAR($A281)*100+MONTH($A281))</f>
        <v/>
      </c>
    </row>
    <row r="282" customFormat="false" ht="18" hidden="false" customHeight="true" outlineLevel="0" collapsed="false">
      <c r="A282" s="37"/>
      <c r="B282" s="33"/>
      <c r="C282" s="10" t="str">
        <f aca="false">IF($B282="","",IFERROR(INDEX(案件管理!$B$3:$B$202,MATCH($B282,案件管理!$A$3:$A$202,0)),"←IDが未登録です"))</f>
        <v/>
      </c>
      <c r="D282" s="34"/>
      <c r="E282" s="34"/>
      <c r="F282" s="45"/>
      <c r="G282" s="31" t="str">
        <f aca="false">IF(N($F282)=0,"",$F282/マスタ!$B$5)</f>
        <v/>
      </c>
      <c r="H282" s="8"/>
      <c r="I282" s="44" t="str">
        <f aca="false">IF($A282="","",YEAR($A282)*100+MONTH($A282))</f>
        <v/>
      </c>
    </row>
    <row r="283" customFormat="false" ht="18" hidden="false" customHeight="true" outlineLevel="0" collapsed="false">
      <c r="A283" s="37"/>
      <c r="B283" s="33"/>
      <c r="C283" s="10" t="str">
        <f aca="false">IF($B283="","",IFERROR(INDEX(案件管理!$B$3:$B$202,MATCH($B283,案件管理!$A$3:$A$202,0)),"←IDが未登録です"))</f>
        <v/>
      </c>
      <c r="D283" s="34"/>
      <c r="E283" s="34"/>
      <c r="F283" s="45"/>
      <c r="G283" s="31" t="str">
        <f aca="false">IF(N($F283)=0,"",$F283/マスタ!$B$5)</f>
        <v/>
      </c>
      <c r="H283" s="8"/>
      <c r="I283" s="44" t="str">
        <f aca="false">IF($A283="","",YEAR($A283)*100+MONTH($A283))</f>
        <v/>
      </c>
    </row>
    <row r="284" customFormat="false" ht="18" hidden="false" customHeight="true" outlineLevel="0" collapsed="false">
      <c r="A284" s="37"/>
      <c r="B284" s="33"/>
      <c r="C284" s="10" t="str">
        <f aca="false">IF($B284="","",IFERROR(INDEX(案件管理!$B$3:$B$202,MATCH($B284,案件管理!$A$3:$A$202,0)),"←IDが未登録です"))</f>
        <v/>
      </c>
      <c r="D284" s="34"/>
      <c r="E284" s="34"/>
      <c r="F284" s="45"/>
      <c r="G284" s="31" t="str">
        <f aca="false">IF(N($F284)=0,"",$F284/マスタ!$B$5)</f>
        <v/>
      </c>
      <c r="H284" s="8"/>
      <c r="I284" s="44" t="str">
        <f aca="false">IF($A284="","",YEAR($A284)*100+MONTH($A284))</f>
        <v/>
      </c>
    </row>
    <row r="285" customFormat="false" ht="18" hidden="false" customHeight="true" outlineLevel="0" collapsed="false">
      <c r="A285" s="37"/>
      <c r="B285" s="33"/>
      <c r="C285" s="10" t="str">
        <f aca="false">IF($B285="","",IFERROR(INDEX(案件管理!$B$3:$B$202,MATCH($B285,案件管理!$A$3:$A$202,0)),"←IDが未登録です"))</f>
        <v/>
      </c>
      <c r="D285" s="34"/>
      <c r="E285" s="34"/>
      <c r="F285" s="45"/>
      <c r="G285" s="31" t="str">
        <f aca="false">IF(N($F285)=0,"",$F285/マスタ!$B$5)</f>
        <v/>
      </c>
      <c r="H285" s="8"/>
      <c r="I285" s="44" t="str">
        <f aca="false">IF($A285="","",YEAR($A285)*100+MONTH($A285))</f>
        <v/>
      </c>
    </row>
    <row r="286" customFormat="false" ht="18" hidden="false" customHeight="true" outlineLevel="0" collapsed="false">
      <c r="A286" s="37"/>
      <c r="B286" s="33"/>
      <c r="C286" s="10" t="str">
        <f aca="false">IF($B286="","",IFERROR(INDEX(案件管理!$B$3:$B$202,MATCH($B286,案件管理!$A$3:$A$202,0)),"←IDが未登録です"))</f>
        <v/>
      </c>
      <c r="D286" s="34"/>
      <c r="E286" s="34"/>
      <c r="F286" s="45"/>
      <c r="G286" s="31" t="str">
        <f aca="false">IF(N($F286)=0,"",$F286/マスタ!$B$5)</f>
        <v/>
      </c>
      <c r="H286" s="8"/>
      <c r="I286" s="44" t="str">
        <f aca="false">IF($A286="","",YEAR($A286)*100+MONTH($A286))</f>
        <v/>
      </c>
    </row>
    <row r="287" customFormat="false" ht="18" hidden="false" customHeight="true" outlineLevel="0" collapsed="false">
      <c r="A287" s="37"/>
      <c r="B287" s="33"/>
      <c r="C287" s="10" t="str">
        <f aca="false">IF($B287="","",IFERROR(INDEX(案件管理!$B$3:$B$202,MATCH($B287,案件管理!$A$3:$A$202,0)),"←IDが未登録です"))</f>
        <v/>
      </c>
      <c r="D287" s="34"/>
      <c r="E287" s="34"/>
      <c r="F287" s="45"/>
      <c r="G287" s="31" t="str">
        <f aca="false">IF(N($F287)=0,"",$F287/マスタ!$B$5)</f>
        <v/>
      </c>
      <c r="H287" s="8"/>
      <c r="I287" s="44" t="str">
        <f aca="false">IF($A287="","",YEAR($A287)*100+MONTH($A287))</f>
        <v/>
      </c>
    </row>
    <row r="288" customFormat="false" ht="18" hidden="false" customHeight="true" outlineLevel="0" collapsed="false">
      <c r="A288" s="37"/>
      <c r="B288" s="33"/>
      <c r="C288" s="10" t="str">
        <f aca="false">IF($B288="","",IFERROR(INDEX(案件管理!$B$3:$B$202,MATCH($B288,案件管理!$A$3:$A$202,0)),"←IDが未登録です"))</f>
        <v/>
      </c>
      <c r="D288" s="34"/>
      <c r="E288" s="34"/>
      <c r="F288" s="45"/>
      <c r="G288" s="31" t="str">
        <f aca="false">IF(N($F288)=0,"",$F288/マスタ!$B$5)</f>
        <v/>
      </c>
      <c r="H288" s="8"/>
      <c r="I288" s="44" t="str">
        <f aca="false">IF($A288="","",YEAR($A288)*100+MONTH($A288))</f>
        <v/>
      </c>
    </row>
    <row r="289" customFormat="false" ht="18" hidden="false" customHeight="true" outlineLevel="0" collapsed="false">
      <c r="A289" s="37"/>
      <c r="B289" s="33"/>
      <c r="C289" s="10" t="str">
        <f aca="false">IF($B289="","",IFERROR(INDEX(案件管理!$B$3:$B$202,MATCH($B289,案件管理!$A$3:$A$202,0)),"←IDが未登録です"))</f>
        <v/>
      </c>
      <c r="D289" s="34"/>
      <c r="E289" s="34"/>
      <c r="F289" s="45"/>
      <c r="G289" s="31" t="str">
        <f aca="false">IF(N($F289)=0,"",$F289/マスタ!$B$5)</f>
        <v/>
      </c>
      <c r="H289" s="8"/>
      <c r="I289" s="44" t="str">
        <f aca="false">IF($A289="","",YEAR($A289)*100+MONTH($A289))</f>
        <v/>
      </c>
    </row>
    <row r="290" customFormat="false" ht="18" hidden="false" customHeight="true" outlineLevel="0" collapsed="false">
      <c r="A290" s="37"/>
      <c r="B290" s="33"/>
      <c r="C290" s="10" t="str">
        <f aca="false">IF($B290="","",IFERROR(INDEX(案件管理!$B$3:$B$202,MATCH($B290,案件管理!$A$3:$A$202,0)),"←IDが未登録です"))</f>
        <v/>
      </c>
      <c r="D290" s="34"/>
      <c r="E290" s="34"/>
      <c r="F290" s="45"/>
      <c r="G290" s="31" t="str">
        <f aca="false">IF(N($F290)=0,"",$F290/マスタ!$B$5)</f>
        <v/>
      </c>
      <c r="H290" s="8"/>
      <c r="I290" s="44" t="str">
        <f aca="false">IF($A290="","",YEAR($A290)*100+MONTH($A290))</f>
        <v/>
      </c>
    </row>
    <row r="291" customFormat="false" ht="18" hidden="false" customHeight="true" outlineLevel="0" collapsed="false">
      <c r="A291" s="37"/>
      <c r="B291" s="33"/>
      <c r="C291" s="10" t="str">
        <f aca="false">IF($B291="","",IFERROR(INDEX(案件管理!$B$3:$B$202,MATCH($B291,案件管理!$A$3:$A$202,0)),"←IDが未登録です"))</f>
        <v/>
      </c>
      <c r="D291" s="34"/>
      <c r="E291" s="34"/>
      <c r="F291" s="45"/>
      <c r="G291" s="31" t="str">
        <f aca="false">IF(N($F291)=0,"",$F291/マスタ!$B$5)</f>
        <v/>
      </c>
      <c r="H291" s="8"/>
      <c r="I291" s="44" t="str">
        <f aca="false">IF($A291="","",YEAR($A291)*100+MONTH($A291))</f>
        <v/>
      </c>
    </row>
    <row r="292" customFormat="false" ht="18" hidden="false" customHeight="true" outlineLevel="0" collapsed="false">
      <c r="A292" s="37"/>
      <c r="B292" s="33"/>
      <c r="C292" s="10" t="str">
        <f aca="false">IF($B292="","",IFERROR(INDEX(案件管理!$B$3:$B$202,MATCH($B292,案件管理!$A$3:$A$202,0)),"←IDが未登録です"))</f>
        <v/>
      </c>
      <c r="D292" s="34"/>
      <c r="E292" s="34"/>
      <c r="F292" s="45"/>
      <c r="G292" s="31" t="str">
        <f aca="false">IF(N($F292)=0,"",$F292/マスタ!$B$5)</f>
        <v/>
      </c>
      <c r="H292" s="8"/>
      <c r="I292" s="44" t="str">
        <f aca="false">IF($A292="","",YEAR($A292)*100+MONTH($A292))</f>
        <v/>
      </c>
    </row>
    <row r="293" customFormat="false" ht="18" hidden="false" customHeight="true" outlineLevel="0" collapsed="false">
      <c r="A293" s="37"/>
      <c r="B293" s="33"/>
      <c r="C293" s="10" t="str">
        <f aca="false">IF($B293="","",IFERROR(INDEX(案件管理!$B$3:$B$202,MATCH($B293,案件管理!$A$3:$A$202,0)),"←IDが未登録です"))</f>
        <v/>
      </c>
      <c r="D293" s="34"/>
      <c r="E293" s="34"/>
      <c r="F293" s="45"/>
      <c r="G293" s="31" t="str">
        <f aca="false">IF(N($F293)=0,"",$F293/マスタ!$B$5)</f>
        <v/>
      </c>
      <c r="H293" s="8"/>
      <c r="I293" s="44" t="str">
        <f aca="false">IF($A293="","",YEAR($A293)*100+MONTH($A293))</f>
        <v/>
      </c>
    </row>
    <row r="294" customFormat="false" ht="18" hidden="false" customHeight="true" outlineLevel="0" collapsed="false">
      <c r="A294" s="37"/>
      <c r="B294" s="33"/>
      <c r="C294" s="10" t="str">
        <f aca="false">IF($B294="","",IFERROR(INDEX(案件管理!$B$3:$B$202,MATCH($B294,案件管理!$A$3:$A$202,0)),"←IDが未登録です"))</f>
        <v/>
      </c>
      <c r="D294" s="34"/>
      <c r="E294" s="34"/>
      <c r="F294" s="45"/>
      <c r="G294" s="31" t="str">
        <f aca="false">IF(N($F294)=0,"",$F294/マスタ!$B$5)</f>
        <v/>
      </c>
      <c r="H294" s="8"/>
      <c r="I294" s="44" t="str">
        <f aca="false">IF($A294="","",YEAR($A294)*100+MONTH($A294))</f>
        <v/>
      </c>
    </row>
    <row r="295" customFormat="false" ht="18" hidden="false" customHeight="true" outlineLevel="0" collapsed="false">
      <c r="A295" s="37"/>
      <c r="B295" s="33"/>
      <c r="C295" s="10" t="str">
        <f aca="false">IF($B295="","",IFERROR(INDEX(案件管理!$B$3:$B$202,MATCH($B295,案件管理!$A$3:$A$202,0)),"←IDが未登録です"))</f>
        <v/>
      </c>
      <c r="D295" s="34"/>
      <c r="E295" s="34"/>
      <c r="F295" s="45"/>
      <c r="G295" s="31" t="str">
        <f aca="false">IF(N($F295)=0,"",$F295/マスタ!$B$5)</f>
        <v/>
      </c>
      <c r="H295" s="8"/>
      <c r="I295" s="44" t="str">
        <f aca="false">IF($A295="","",YEAR($A295)*100+MONTH($A295))</f>
        <v/>
      </c>
    </row>
    <row r="296" customFormat="false" ht="18" hidden="false" customHeight="true" outlineLevel="0" collapsed="false">
      <c r="A296" s="37"/>
      <c r="B296" s="33"/>
      <c r="C296" s="10" t="str">
        <f aca="false">IF($B296="","",IFERROR(INDEX(案件管理!$B$3:$B$202,MATCH($B296,案件管理!$A$3:$A$202,0)),"←IDが未登録です"))</f>
        <v/>
      </c>
      <c r="D296" s="34"/>
      <c r="E296" s="34"/>
      <c r="F296" s="45"/>
      <c r="G296" s="31" t="str">
        <f aca="false">IF(N($F296)=0,"",$F296/マスタ!$B$5)</f>
        <v/>
      </c>
      <c r="H296" s="8"/>
      <c r="I296" s="44" t="str">
        <f aca="false">IF($A296="","",YEAR($A296)*100+MONTH($A296))</f>
        <v/>
      </c>
    </row>
    <row r="297" customFormat="false" ht="18" hidden="false" customHeight="true" outlineLevel="0" collapsed="false">
      <c r="A297" s="37"/>
      <c r="B297" s="33"/>
      <c r="C297" s="10" t="str">
        <f aca="false">IF($B297="","",IFERROR(INDEX(案件管理!$B$3:$B$202,MATCH($B297,案件管理!$A$3:$A$202,0)),"←IDが未登録です"))</f>
        <v/>
      </c>
      <c r="D297" s="34"/>
      <c r="E297" s="34"/>
      <c r="F297" s="45"/>
      <c r="G297" s="31" t="str">
        <f aca="false">IF(N($F297)=0,"",$F297/マスタ!$B$5)</f>
        <v/>
      </c>
      <c r="H297" s="8"/>
      <c r="I297" s="44" t="str">
        <f aca="false">IF($A297="","",YEAR($A297)*100+MONTH($A297))</f>
        <v/>
      </c>
    </row>
    <row r="298" customFormat="false" ht="18" hidden="false" customHeight="true" outlineLevel="0" collapsed="false">
      <c r="A298" s="37"/>
      <c r="B298" s="33"/>
      <c r="C298" s="10" t="str">
        <f aca="false">IF($B298="","",IFERROR(INDEX(案件管理!$B$3:$B$202,MATCH($B298,案件管理!$A$3:$A$202,0)),"←IDが未登録です"))</f>
        <v/>
      </c>
      <c r="D298" s="34"/>
      <c r="E298" s="34"/>
      <c r="F298" s="45"/>
      <c r="G298" s="31" t="str">
        <f aca="false">IF(N($F298)=0,"",$F298/マスタ!$B$5)</f>
        <v/>
      </c>
      <c r="H298" s="8"/>
      <c r="I298" s="44" t="str">
        <f aca="false">IF($A298="","",YEAR($A298)*100+MONTH($A298))</f>
        <v/>
      </c>
    </row>
    <row r="299" customFormat="false" ht="18" hidden="false" customHeight="true" outlineLevel="0" collapsed="false">
      <c r="A299" s="37"/>
      <c r="B299" s="33"/>
      <c r="C299" s="10" t="str">
        <f aca="false">IF($B299="","",IFERROR(INDEX(案件管理!$B$3:$B$202,MATCH($B299,案件管理!$A$3:$A$202,0)),"←IDが未登録です"))</f>
        <v/>
      </c>
      <c r="D299" s="34"/>
      <c r="E299" s="34"/>
      <c r="F299" s="45"/>
      <c r="G299" s="31" t="str">
        <f aca="false">IF(N($F299)=0,"",$F299/マスタ!$B$5)</f>
        <v/>
      </c>
      <c r="H299" s="8"/>
      <c r="I299" s="44" t="str">
        <f aca="false">IF($A299="","",YEAR($A299)*100+MONTH($A299))</f>
        <v/>
      </c>
    </row>
    <row r="300" customFormat="false" ht="18" hidden="false" customHeight="true" outlineLevel="0" collapsed="false">
      <c r="A300" s="37"/>
      <c r="B300" s="33"/>
      <c r="C300" s="10" t="str">
        <f aca="false">IF($B300="","",IFERROR(INDEX(案件管理!$B$3:$B$202,MATCH($B300,案件管理!$A$3:$A$202,0)),"←IDが未登録です"))</f>
        <v/>
      </c>
      <c r="D300" s="34"/>
      <c r="E300" s="34"/>
      <c r="F300" s="45"/>
      <c r="G300" s="31" t="str">
        <f aca="false">IF(N($F300)=0,"",$F300/マスタ!$B$5)</f>
        <v/>
      </c>
      <c r="H300" s="8"/>
      <c r="I300" s="44" t="str">
        <f aca="false">IF($A300="","",YEAR($A300)*100+MONTH($A300))</f>
        <v/>
      </c>
    </row>
    <row r="301" customFormat="false" ht="18" hidden="false" customHeight="true" outlineLevel="0" collapsed="false">
      <c r="A301" s="37"/>
      <c r="B301" s="33"/>
      <c r="C301" s="10" t="str">
        <f aca="false">IF($B301="","",IFERROR(INDEX(案件管理!$B$3:$B$202,MATCH($B301,案件管理!$A$3:$A$202,0)),"←IDが未登録です"))</f>
        <v/>
      </c>
      <c r="D301" s="34"/>
      <c r="E301" s="34"/>
      <c r="F301" s="45"/>
      <c r="G301" s="31" t="str">
        <f aca="false">IF(N($F301)=0,"",$F301/マスタ!$B$5)</f>
        <v/>
      </c>
      <c r="H301" s="8"/>
      <c r="I301" s="44" t="str">
        <f aca="false">IF($A301="","",YEAR($A301)*100+MONTH($A301))</f>
        <v/>
      </c>
    </row>
    <row r="302" customFormat="false" ht="18" hidden="false" customHeight="true" outlineLevel="0" collapsed="false">
      <c r="A302" s="37"/>
      <c r="B302" s="33"/>
      <c r="C302" s="10" t="str">
        <f aca="false">IF($B302="","",IFERROR(INDEX(案件管理!$B$3:$B$202,MATCH($B302,案件管理!$A$3:$A$202,0)),"←IDが未登録です"))</f>
        <v/>
      </c>
      <c r="D302" s="34"/>
      <c r="E302" s="34"/>
      <c r="F302" s="45"/>
      <c r="G302" s="31" t="str">
        <f aca="false">IF(N($F302)=0,"",$F302/マスタ!$B$5)</f>
        <v/>
      </c>
      <c r="H302" s="8"/>
      <c r="I302" s="44" t="str">
        <f aca="false">IF($A302="","",YEAR($A302)*100+MONTH($A302))</f>
        <v/>
      </c>
    </row>
    <row r="304" customFormat="false" ht="15" hidden="false" customHeight="false" outlineLevel="0" collapsed="false">
      <c r="A304" s="42" t="s">
        <v>162</v>
      </c>
    </row>
  </sheetData>
  <autoFilter ref="A2:I302"/>
  <mergeCells count="1">
    <mergeCell ref="A1:I1"/>
  </mergeCells>
  <conditionalFormatting sqref="C3:C302">
    <cfRule type="cellIs" priority="2" operator="equal" aboveAverage="0" equalAverage="0" bottom="0" percent="0" rank="0" text="" dxfId="23">
      <formula>"←IDが未登録です"</formula>
    </cfRule>
  </conditionalFormatting>
  <dataValidations count="3">
    <dataValidation allowBlank="true" error="マスタシートのリストから選んでください。" errorStyle="stop" errorTitle="入力できない値です" operator="between" showDropDown="false" showErrorMessage="false" showInputMessage="false" sqref="D3:D302" type="list">
      <formula1>OwnerList</formula1>
      <formula2>0</formula2>
    </dataValidation>
    <dataValidation allowBlank="true" error="マスタシートのリストから選んでください。" errorStyle="stop" errorTitle="入力できない値です" operator="between" showDropDown="false" showErrorMessage="false" showInputMessage="false" sqref="E3:E302" type="list">
      <formula1>PhaseList</formula1>
      <formula2>0</formula2>
    </dataValidation>
    <dataValidation allowBlank="true" error="案件管理シートに登録済みの案件IDを選んでください。" errorStyle="stop" errorTitle="案件IDの入力" operator="between" showDropDown="false" showErrorMessage="false" showInputMessage="false" sqref="B3:B302" type="list">
      <formula1>案件管理!$A$3:$A$202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30" min="7" style="0" width="9"/>
  </cols>
  <sheetData>
    <row r="1" customFormat="false" ht="25.5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" t="s">
        <v>164</v>
      </c>
      <c r="B3" s="46" t="n">
        <f aca="false">マスタ!$B$7</f>
        <v>46113</v>
      </c>
      <c r="C3" s="42" t="s">
        <v>165</v>
      </c>
    </row>
    <row r="5" customFormat="false" ht="15" hidden="false" customHeight="false" outlineLevel="0" collapsed="false">
      <c r="A5" s="2" t="s">
        <v>166</v>
      </c>
    </row>
    <row r="6" customFormat="false" ht="12" hidden="false" customHeight="true" outlineLevel="0" collapsed="false">
      <c r="A6" s="47" t="s">
        <v>167</v>
      </c>
      <c r="G6" s="48" t="n">
        <f aca="false">YEAR(G7)*100+MONTH(G7)</f>
        <v>202604</v>
      </c>
      <c r="H6" s="48" t="n">
        <f aca="false">YEAR(H7)*100+MONTH(H7)</f>
        <v>202605</v>
      </c>
      <c r="I6" s="48" t="n">
        <f aca="false">YEAR(I7)*100+MONTH(I7)</f>
        <v>202606</v>
      </c>
      <c r="J6" s="48" t="n">
        <f aca="false">YEAR(J7)*100+MONTH(J7)</f>
        <v>202607</v>
      </c>
      <c r="K6" s="48" t="n">
        <f aca="false">YEAR(K7)*100+MONTH(K7)</f>
        <v>202608</v>
      </c>
      <c r="L6" s="48" t="n">
        <f aca="false">YEAR(L7)*100+MONTH(L7)</f>
        <v>202609</v>
      </c>
      <c r="M6" s="48" t="n">
        <f aca="false">YEAR(M7)*100+MONTH(M7)</f>
        <v>202610</v>
      </c>
      <c r="N6" s="48" t="n">
        <f aca="false">YEAR(N7)*100+MONTH(N7)</f>
        <v>202611</v>
      </c>
      <c r="O6" s="48" t="n">
        <f aca="false">YEAR(O7)*100+MONTH(O7)</f>
        <v>202612</v>
      </c>
      <c r="P6" s="48" t="n">
        <f aca="false">YEAR(P7)*100+MONTH(P7)</f>
        <v>202701</v>
      </c>
      <c r="Q6" s="48" t="n">
        <f aca="false">YEAR(Q7)*100+MONTH(Q7)</f>
        <v>202702</v>
      </c>
      <c r="R6" s="48" t="n">
        <f aca="false">YEAR(R7)*100+MONTH(R7)</f>
        <v>202703</v>
      </c>
      <c r="S6" s="48" t="n">
        <f aca="false">YEAR(S7)*100+MONTH(S7)</f>
        <v>202704</v>
      </c>
      <c r="T6" s="48" t="n">
        <f aca="false">YEAR(T7)*100+MONTH(T7)</f>
        <v>202705</v>
      </c>
      <c r="U6" s="48" t="n">
        <f aca="false">YEAR(U7)*100+MONTH(U7)</f>
        <v>202706</v>
      </c>
      <c r="V6" s="48" t="n">
        <f aca="false">YEAR(V7)*100+MONTH(V7)</f>
        <v>202707</v>
      </c>
      <c r="W6" s="48" t="n">
        <f aca="false">YEAR(W7)*100+MONTH(W7)</f>
        <v>202708</v>
      </c>
      <c r="X6" s="48" t="n">
        <f aca="false">YEAR(X7)*100+MONTH(X7)</f>
        <v>202709</v>
      </c>
      <c r="Y6" s="48" t="n">
        <f aca="false">YEAR(Y7)*100+MONTH(Y7)</f>
        <v>202710</v>
      </c>
      <c r="Z6" s="48" t="n">
        <f aca="false">YEAR(Z7)*100+MONTH(Z7)</f>
        <v>202711</v>
      </c>
      <c r="AA6" s="48" t="n">
        <f aca="false">YEAR(AA7)*100+MONTH(AA7)</f>
        <v>202712</v>
      </c>
      <c r="AB6" s="48" t="n">
        <f aca="false">YEAR(AB7)*100+MONTH(AB7)</f>
        <v>202801</v>
      </c>
      <c r="AC6" s="48" t="n">
        <f aca="false">YEAR(AC7)*100+MONTH(AC7)</f>
        <v>202802</v>
      </c>
      <c r="AD6" s="48" t="n">
        <f aca="false">YEAR(AD7)*100+MONTH(AD7)</f>
        <v>202803</v>
      </c>
    </row>
    <row r="7" customFormat="false" ht="19.5" hidden="false" customHeight="true" outlineLevel="0" collapsed="false">
      <c r="A7" s="49" t="s">
        <v>168</v>
      </c>
      <c r="B7" s="49" t="s">
        <v>88</v>
      </c>
      <c r="C7" s="49" t="s">
        <v>90</v>
      </c>
      <c r="D7" s="49" t="s">
        <v>117</v>
      </c>
      <c r="E7" s="49" t="s">
        <v>169</v>
      </c>
      <c r="F7" s="49" t="s">
        <v>170</v>
      </c>
      <c r="G7" s="50" t="n">
        <f aca="false">EDATE(マスタ!$B$7,0)</f>
        <v>46113</v>
      </c>
      <c r="H7" s="50" t="n">
        <f aca="false">EDATE(マスタ!$B$7,1)</f>
        <v>46143</v>
      </c>
      <c r="I7" s="50" t="n">
        <f aca="false">EDATE(マスタ!$B$7,2)</f>
        <v>46174</v>
      </c>
      <c r="J7" s="50" t="n">
        <f aca="false">EDATE(マスタ!$B$7,3)</f>
        <v>46204</v>
      </c>
      <c r="K7" s="50" t="n">
        <f aca="false">EDATE(マスタ!$B$7,4)</f>
        <v>46235</v>
      </c>
      <c r="L7" s="50" t="n">
        <f aca="false">EDATE(マスタ!$B$7,5)</f>
        <v>46266</v>
      </c>
      <c r="M7" s="50" t="n">
        <f aca="false">EDATE(マスタ!$B$7,6)</f>
        <v>46296</v>
      </c>
      <c r="N7" s="50" t="n">
        <f aca="false">EDATE(マスタ!$B$7,7)</f>
        <v>46327</v>
      </c>
      <c r="O7" s="50" t="n">
        <f aca="false">EDATE(マスタ!$B$7,8)</f>
        <v>46357</v>
      </c>
      <c r="P7" s="50" t="n">
        <f aca="false">EDATE(マスタ!$B$7,9)</f>
        <v>46388</v>
      </c>
      <c r="Q7" s="50" t="n">
        <f aca="false">EDATE(マスタ!$B$7,10)</f>
        <v>46419</v>
      </c>
      <c r="R7" s="50" t="n">
        <f aca="false">EDATE(マスタ!$B$7,11)</f>
        <v>46447</v>
      </c>
      <c r="S7" s="50" t="n">
        <f aca="false">EDATE(マスタ!$B$7,12)</f>
        <v>46478</v>
      </c>
      <c r="T7" s="50" t="n">
        <f aca="false">EDATE(マスタ!$B$7,13)</f>
        <v>46508</v>
      </c>
      <c r="U7" s="50" t="n">
        <f aca="false">EDATE(マスタ!$B$7,14)</f>
        <v>46539</v>
      </c>
      <c r="V7" s="50" t="n">
        <f aca="false">EDATE(マスタ!$B$7,15)</f>
        <v>46569</v>
      </c>
      <c r="W7" s="50" t="n">
        <f aca="false">EDATE(マスタ!$B$7,16)</f>
        <v>46600</v>
      </c>
      <c r="X7" s="50" t="n">
        <f aca="false">EDATE(マスタ!$B$7,17)</f>
        <v>46631</v>
      </c>
      <c r="Y7" s="50" t="n">
        <f aca="false">EDATE(マスタ!$B$7,18)</f>
        <v>46661</v>
      </c>
      <c r="Z7" s="50" t="n">
        <f aca="false">EDATE(マスタ!$B$7,19)</f>
        <v>46692</v>
      </c>
      <c r="AA7" s="50" t="n">
        <f aca="false">EDATE(マスタ!$B$7,20)</f>
        <v>46722</v>
      </c>
      <c r="AB7" s="50" t="n">
        <f aca="false">EDATE(マスタ!$B$7,21)</f>
        <v>46753</v>
      </c>
      <c r="AC7" s="50" t="n">
        <f aca="false">EDATE(マスタ!$B$7,22)</f>
        <v>46784</v>
      </c>
      <c r="AD7" s="50" t="n">
        <f aca="false">EDATE(マスタ!$B$7,23)</f>
        <v>46813</v>
      </c>
    </row>
    <row r="8" customFormat="false" ht="15.75" hidden="false" customHeight="true" outlineLevel="0" collapsed="false">
      <c r="A8" s="28" t="str">
        <f aca="false">IF(案件管理!$A$3:$A$3="","",案件管理!$A$3:$A$3)</f>
        <v>P-001</v>
      </c>
      <c r="B8" s="10" t="str">
        <f aca="false">IF($A8="","",案件管理!$B$3:$B$3)</f>
        <v>本社ネットワーク更改</v>
      </c>
      <c r="C8" s="10" t="str">
        <f aca="false">IF($A8="","",案件管理!$D$3:$D$3)</f>
        <v>山田 太郎</v>
      </c>
      <c r="D8" s="30" t="n">
        <f aca="false">IF($A8="","",案件管理!$AE$3:$AE$3)</f>
        <v>45</v>
      </c>
      <c r="E8" s="30" t="n">
        <f aca="false">IF($A8="","",SUM($G8:$AD8))</f>
        <v>45</v>
      </c>
      <c r="F8" s="51" t="n">
        <f aca="false">IF($A8="","",N($D8)-N($E8))</f>
        <v>0</v>
      </c>
      <c r="G8" s="52"/>
      <c r="H8" s="52"/>
      <c r="I8" s="52" t="n">
        <v>15</v>
      </c>
      <c r="J8" s="52" t="n">
        <v>20</v>
      </c>
      <c r="K8" s="52" t="n">
        <v>10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</row>
    <row r="9" customFormat="false" ht="15.75" hidden="false" customHeight="true" outlineLevel="0" collapsed="false">
      <c r="A9" s="28" t="str">
        <f aca="false">IF(案件管理!$A$4:$A$4="","",案件管理!$A$4:$A$4)</f>
        <v>P-002</v>
      </c>
      <c r="B9" s="10" t="str">
        <f aca="false">IF($A9="","",案件管理!$B$4:$B$4)</f>
        <v>基幹システム保守（年間）</v>
      </c>
      <c r="C9" s="10" t="str">
        <f aca="false">IF($A9="","",案件管理!$D$4:$D$4)</f>
        <v>佐藤 花子</v>
      </c>
      <c r="D9" s="30" t="n">
        <f aca="false">IF($A9="","",案件管理!$AE$4:$AE$4)</f>
        <v>12</v>
      </c>
      <c r="E9" s="30" t="n">
        <f aca="false">IF($A9="","",SUM($G9:$AD9))</f>
        <v>12</v>
      </c>
      <c r="F9" s="51" t="n">
        <f aca="false">IF($A9="","",N($D9)-N($E9))</f>
        <v>0</v>
      </c>
      <c r="G9" s="52" t="n">
        <v>4</v>
      </c>
      <c r="H9" s="52" t="n">
        <v>4</v>
      </c>
      <c r="I9" s="52" t="n">
        <v>4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</row>
    <row r="10" customFormat="false" ht="15.75" hidden="false" customHeight="true" outlineLevel="0" collapsed="false">
      <c r="A10" s="28" t="str">
        <f aca="false">IF(案件管理!$A$5:$A$5="","",案件管理!$A$5:$A$5)</f>
        <v>P-003</v>
      </c>
      <c r="B10" s="10" t="str">
        <f aca="false">IF($A10="","",案件管理!$B$5:$B$5)</f>
        <v>Webサイトリニューアル</v>
      </c>
      <c r="C10" s="10" t="str">
        <f aca="false">IF($A10="","",案件管理!$D$5:$D$5)</f>
        <v>鈴木 一郎</v>
      </c>
      <c r="D10" s="30" t="n">
        <f aca="false">IF($A10="","",案件管理!$AE$5:$AE$5)</f>
        <v>30</v>
      </c>
      <c r="E10" s="30" t="n">
        <f aca="false">IF($A10="","",SUM($G10:$AD10))</f>
        <v>30</v>
      </c>
      <c r="F10" s="51" t="n">
        <f aca="false">IF($A10="","",N($D10)-N($E10))</f>
        <v>0</v>
      </c>
      <c r="G10" s="52"/>
      <c r="H10" s="52"/>
      <c r="I10" s="52"/>
      <c r="J10" s="52"/>
      <c r="K10" s="52"/>
      <c r="L10" s="52"/>
      <c r="M10" s="52"/>
      <c r="N10" s="52" t="n">
        <v>5</v>
      </c>
      <c r="O10" s="52" t="n">
        <v>10</v>
      </c>
      <c r="P10" s="52" t="n">
        <v>10</v>
      </c>
      <c r="Q10" s="52" t="n">
        <v>5</v>
      </c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</row>
    <row r="11" customFormat="false" ht="15.75" hidden="false" customHeight="true" outlineLevel="0" collapsed="false">
      <c r="A11" s="28" t="str">
        <f aca="false">IF(案件管理!$A$6:$A$6="","",案件管理!$A$6:$A$6)</f>
        <v/>
      </c>
      <c r="B11" s="10" t="str">
        <f aca="false">IF($A11="","",案件管理!$B$6:$B$6)</f>
        <v/>
      </c>
      <c r="C11" s="10" t="str">
        <f aca="false">IF($A11="","",案件管理!$D$6:$D$6)</f>
        <v/>
      </c>
      <c r="D11" s="30" t="str">
        <f aca="false">IF($A11="","",案件管理!$AE$6:$AE$6)</f>
        <v/>
      </c>
      <c r="E11" s="30" t="str">
        <f aca="false">IF($A11="","",SUM($G11:$AD11))</f>
        <v/>
      </c>
      <c r="F11" s="51" t="str">
        <f aca="false">IF($A11="","",N($D11)-N($E11))</f>
        <v/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customFormat="false" ht="15.75" hidden="false" customHeight="true" outlineLevel="0" collapsed="false">
      <c r="A12" s="28" t="str">
        <f aca="false">IF(案件管理!$A$7:$A$7="","",案件管理!$A$7:$A$7)</f>
        <v/>
      </c>
      <c r="B12" s="10" t="str">
        <f aca="false">IF($A12="","",案件管理!$B$7:$B$7)</f>
        <v/>
      </c>
      <c r="C12" s="10" t="str">
        <f aca="false">IF($A12="","",案件管理!$D$7:$D$7)</f>
        <v/>
      </c>
      <c r="D12" s="30" t="str">
        <f aca="false">IF($A12="","",案件管理!$AE$7:$AE$7)</f>
        <v/>
      </c>
      <c r="E12" s="30" t="str">
        <f aca="false">IF($A12="","",SUM($G12:$AD12))</f>
        <v/>
      </c>
      <c r="F12" s="51" t="str">
        <f aca="false">IF($A12="","",N($D12)-N($E12))</f>
        <v/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customFormat="false" ht="15.75" hidden="false" customHeight="true" outlineLevel="0" collapsed="false">
      <c r="A13" s="28" t="str">
        <f aca="false">IF(案件管理!$A$8:$A$8="","",案件管理!$A$8:$A$8)</f>
        <v/>
      </c>
      <c r="B13" s="10" t="str">
        <f aca="false">IF($A13="","",案件管理!$B$8:$B$8)</f>
        <v/>
      </c>
      <c r="C13" s="10" t="str">
        <f aca="false">IF($A13="","",案件管理!$D$8:$D$8)</f>
        <v/>
      </c>
      <c r="D13" s="30" t="str">
        <f aca="false">IF($A13="","",案件管理!$AE$8:$AE$8)</f>
        <v/>
      </c>
      <c r="E13" s="30" t="str">
        <f aca="false">IF($A13="","",SUM($G13:$AD13))</f>
        <v/>
      </c>
      <c r="F13" s="51" t="str">
        <f aca="false">IF($A13="","",N($D13)-N($E13))</f>
        <v/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customFormat="false" ht="15.75" hidden="false" customHeight="true" outlineLevel="0" collapsed="false">
      <c r="A14" s="28" t="str">
        <f aca="false">IF(案件管理!$A$9:$A$9="","",案件管理!$A$9:$A$9)</f>
        <v/>
      </c>
      <c r="B14" s="10" t="str">
        <f aca="false">IF($A14="","",案件管理!$B$9:$B$9)</f>
        <v/>
      </c>
      <c r="C14" s="10" t="str">
        <f aca="false">IF($A14="","",案件管理!$D$9:$D$9)</f>
        <v/>
      </c>
      <c r="D14" s="30" t="str">
        <f aca="false">IF($A14="","",案件管理!$AE$9:$AE$9)</f>
        <v/>
      </c>
      <c r="E14" s="30" t="str">
        <f aca="false">IF($A14="","",SUM($G14:$AD14))</f>
        <v/>
      </c>
      <c r="F14" s="51" t="str">
        <f aca="false">IF($A14="","",N($D14)-N($E14))</f>
        <v/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customFormat="false" ht="15.75" hidden="false" customHeight="true" outlineLevel="0" collapsed="false">
      <c r="A15" s="28" t="str">
        <f aca="false">IF(案件管理!$A$10:$A$10="","",案件管理!$A$10:$A$10)</f>
        <v/>
      </c>
      <c r="B15" s="10" t="str">
        <f aca="false">IF($A15="","",案件管理!$B$10:$B$10)</f>
        <v/>
      </c>
      <c r="C15" s="10" t="str">
        <f aca="false">IF($A15="","",案件管理!$D$10:$D$10)</f>
        <v/>
      </c>
      <c r="D15" s="30" t="str">
        <f aca="false">IF($A15="","",案件管理!$AE$10:$AE$10)</f>
        <v/>
      </c>
      <c r="E15" s="30" t="str">
        <f aca="false">IF($A15="","",SUM($G15:$AD15))</f>
        <v/>
      </c>
      <c r="F15" s="51" t="str">
        <f aca="false">IF($A15="","",N($D15)-N($E15))</f>
        <v/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customFormat="false" ht="15.75" hidden="false" customHeight="true" outlineLevel="0" collapsed="false">
      <c r="A16" s="28" t="str">
        <f aca="false">IF(案件管理!$A$11:$A$11="","",案件管理!$A$11:$A$11)</f>
        <v/>
      </c>
      <c r="B16" s="10" t="str">
        <f aca="false">IF($A16="","",案件管理!$B$11:$B$11)</f>
        <v/>
      </c>
      <c r="C16" s="10" t="str">
        <f aca="false">IF($A16="","",案件管理!$D$11:$D$11)</f>
        <v/>
      </c>
      <c r="D16" s="30" t="str">
        <f aca="false">IF($A16="","",案件管理!$AE$11:$AE$11)</f>
        <v/>
      </c>
      <c r="E16" s="30" t="str">
        <f aca="false">IF($A16="","",SUM($G16:$AD16))</f>
        <v/>
      </c>
      <c r="F16" s="51" t="str">
        <f aca="false">IF($A16="","",N($D16)-N($E16))</f>
        <v/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customFormat="false" ht="15.75" hidden="false" customHeight="true" outlineLevel="0" collapsed="false">
      <c r="A17" s="28" t="str">
        <f aca="false">IF(案件管理!$A$12:$A$12="","",案件管理!$A$12:$A$12)</f>
        <v/>
      </c>
      <c r="B17" s="10" t="str">
        <f aca="false">IF($A17="","",案件管理!$B$12:$B$12)</f>
        <v/>
      </c>
      <c r="C17" s="10" t="str">
        <f aca="false">IF($A17="","",案件管理!$D$12:$D$12)</f>
        <v/>
      </c>
      <c r="D17" s="30" t="str">
        <f aca="false">IF($A17="","",案件管理!$AE$12:$AE$12)</f>
        <v/>
      </c>
      <c r="E17" s="30" t="str">
        <f aca="false">IF($A17="","",SUM($G17:$AD17))</f>
        <v/>
      </c>
      <c r="F17" s="51" t="str">
        <f aca="false">IF($A17="","",N($D17)-N($E17))</f>
        <v/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customFormat="false" ht="15.75" hidden="false" customHeight="true" outlineLevel="0" collapsed="false">
      <c r="A18" s="28" t="str">
        <f aca="false">IF(案件管理!$A$13:$A$13="","",案件管理!$A$13:$A$13)</f>
        <v/>
      </c>
      <c r="B18" s="10" t="str">
        <f aca="false">IF($A18="","",案件管理!$B$13:$B$13)</f>
        <v/>
      </c>
      <c r="C18" s="10" t="str">
        <f aca="false">IF($A18="","",案件管理!$D$13:$D$13)</f>
        <v/>
      </c>
      <c r="D18" s="30" t="str">
        <f aca="false">IF($A18="","",案件管理!$AE$13:$AE$13)</f>
        <v/>
      </c>
      <c r="E18" s="30" t="str">
        <f aca="false">IF($A18="","",SUM($G18:$AD18))</f>
        <v/>
      </c>
      <c r="F18" s="51" t="str">
        <f aca="false">IF($A18="","",N($D18)-N($E18))</f>
        <v/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customFormat="false" ht="15.75" hidden="false" customHeight="true" outlineLevel="0" collapsed="false">
      <c r="A19" s="28" t="str">
        <f aca="false">IF(案件管理!$A$14:$A$14="","",案件管理!$A$14:$A$14)</f>
        <v/>
      </c>
      <c r="B19" s="10" t="str">
        <f aca="false">IF($A19="","",案件管理!$B$14:$B$14)</f>
        <v/>
      </c>
      <c r="C19" s="10" t="str">
        <f aca="false">IF($A19="","",案件管理!$D$14:$D$14)</f>
        <v/>
      </c>
      <c r="D19" s="30" t="str">
        <f aca="false">IF($A19="","",案件管理!$AE$14:$AE$14)</f>
        <v/>
      </c>
      <c r="E19" s="30" t="str">
        <f aca="false">IF($A19="","",SUM($G19:$AD19))</f>
        <v/>
      </c>
      <c r="F19" s="51" t="str">
        <f aca="false">IF($A19="","",N($D19)-N($E19))</f>
        <v/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customFormat="false" ht="15.75" hidden="false" customHeight="true" outlineLevel="0" collapsed="false">
      <c r="A20" s="28" t="str">
        <f aca="false">IF(案件管理!$A$15:$A$15="","",案件管理!$A$15:$A$15)</f>
        <v/>
      </c>
      <c r="B20" s="10" t="str">
        <f aca="false">IF($A20="","",案件管理!$B$15:$B$15)</f>
        <v/>
      </c>
      <c r="C20" s="10" t="str">
        <f aca="false">IF($A20="","",案件管理!$D$15:$D$15)</f>
        <v/>
      </c>
      <c r="D20" s="30" t="str">
        <f aca="false">IF($A20="","",案件管理!$AE$15:$AE$15)</f>
        <v/>
      </c>
      <c r="E20" s="30" t="str">
        <f aca="false">IF($A20="","",SUM($G20:$AD20))</f>
        <v/>
      </c>
      <c r="F20" s="51" t="str">
        <f aca="false">IF($A20="","",N($D20)-N($E20))</f>
        <v/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customFormat="false" ht="15.75" hidden="false" customHeight="true" outlineLevel="0" collapsed="false">
      <c r="A21" s="28" t="str">
        <f aca="false">IF(案件管理!$A$16:$A$16="","",案件管理!$A$16:$A$16)</f>
        <v/>
      </c>
      <c r="B21" s="10" t="str">
        <f aca="false">IF($A21="","",案件管理!$B$16:$B$16)</f>
        <v/>
      </c>
      <c r="C21" s="10" t="str">
        <f aca="false">IF($A21="","",案件管理!$D$16:$D$16)</f>
        <v/>
      </c>
      <c r="D21" s="30" t="str">
        <f aca="false">IF($A21="","",案件管理!$AE$16:$AE$16)</f>
        <v/>
      </c>
      <c r="E21" s="30" t="str">
        <f aca="false">IF($A21="","",SUM($G21:$AD21))</f>
        <v/>
      </c>
      <c r="F21" s="51" t="str">
        <f aca="false">IF($A21="","",N($D21)-N($E21))</f>
        <v/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customFormat="false" ht="15.75" hidden="false" customHeight="true" outlineLevel="0" collapsed="false">
      <c r="A22" s="28" t="str">
        <f aca="false">IF(案件管理!$A$17:$A$17="","",案件管理!$A$17:$A$17)</f>
        <v/>
      </c>
      <c r="B22" s="10" t="str">
        <f aca="false">IF($A22="","",案件管理!$B$17:$B$17)</f>
        <v/>
      </c>
      <c r="C22" s="10" t="str">
        <f aca="false">IF($A22="","",案件管理!$D$17:$D$17)</f>
        <v/>
      </c>
      <c r="D22" s="30" t="str">
        <f aca="false">IF($A22="","",案件管理!$AE$17:$AE$17)</f>
        <v/>
      </c>
      <c r="E22" s="30" t="str">
        <f aca="false">IF($A22="","",SUM($G22:$AD22))</f>
        <v/>
      </c>
      <c r="F22" s="51" t="str">
        <f aca="false">IF($A22="","",N($D22)-N($E22))</f>
        <v/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customFormat="false" ht="15.75" hidden="false" customHeight="true" outlineLevel="0" collapsed="false">
      <c r="A23" s="28" t="str">
        <f aca="false">IF(案件管理!$A$18:$A$18="","",案件管理!$A$18:$A$18)</f>
        <v/>
      </c>
      <c r="B23" s="10" t="str">
        <f aca="false">IF($A23="","",案件管理!$B$18:$B$18)</f>
        <v/>
      </c>
      <c r="C23" s="10" t="str">
        <f aca="false">IF($A23="","",案件管理!$D$18:$D$18)</f>
        <v/>
      </c>
      <c r="D23" s="30" t="str">
        <f aca="false">IF($A23="","",案件管理!$AE$18:$AE$18)</f>
        <v/>
      </c>
      <c r="E23" s="30" t="str">
        <f aca="false">IF($A23="","",SUM($G23:$AD23))</f>
        <v/>
      </c>
      <c r="F23" s="51" t="str">
        <f aca="false">IF($A23="","",N($D23)-N($E23))</f>
        <v/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customFormat="false" ht="15.75" hidden="false" customHeight="true" outlineLevel="0" collapsed="false">
      <c r="A24" s="28" t="str">
        <f aca="false">IF(案件管理!$A$19:$A$19="","",案件管理!$A$19:$A$19)</f>
        <v/>
      </c>
      <c r="B24" s="10" t="str">
        <f aca="false">IF($A24="","",案件管理!$B$19:$B$19)</f>
        <v/>
      </c>
      <c r="C24" s="10" t="str">
        <f aca="false">IF($A24="","",案件管理!$D$19:$D$19)</f>
        <v/>
      </c>
      <c r="D24" s="30" t="str">
        <f aca="false">IF($A24="","",案件管理!$AE$19:$AE$19)</f>
        <v/>
      </c>
      <c r="E24" s="30" t="str">
        <f aca="false">IF($A24="","",SUM($G24:$AD24))</f>
        <v/>
      </c>
      <c r="F24" s="51" t="str">
        <f aca="false">IF($A24="","",N($D24)-N($E24))</f>
        <v/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customFormat="false" ht="15.75" hidden="false" customHeight="true" outlineLevel="0" collapsed="false">
      <c r="A25" s="28" t="str">
        <f aca="false">IF(案件管理!$A$20:$A$20="","",案件管理!$A$20:$A$20)</f>
        <v/>
      </c>
      <c r="B25" s="10" t="str">
        <f aca="false">IF($A25="","",案件管理!$B$20:$B$20)</f>
        <v/>
      </c>
      <c r="C25" s="10" t="str">
        <f aca="false">IF($A25="","",案件管理!$D$20:$D$20)</f>
        <v/>
      </c>
      <c r="D25" s="30" t="str">
        <f aca="false">IF($A25="","",案件管理!$AE$20:$AE$20)</f>
        <v/>
      </c>
      <c r="E25" s="30" t="str">
        <f aca="false">IF($A25="","",SUM($G25:$AD25))</f>
        <v/>
      </c>
      <c r="F25" s="51" t="str">
        <f aca="false">IF($A25="","",N($D25)-N($E25))</f>
        <v/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customFormat="false" ht="15.75" hidden="false" customHeight="true" outlineLevel="0" collapsed="false">
      <c r="A26" s="28" t="str">
        <f aca="false">IF(案件管理!$A$21:$A$21="","",案件管理!$A$21:$A$21)</f>
        <v/>
      </c>
      <c r="B26" s="10" t="str">
        <f aca="false">IF($A26="","",案件管理!$B$21:$B$21)</f>
        <v/>
      </c>
      <c r="C26" s="10" t="str">
        <f aca="false">IF($A26="","",案件管理!$D$21:$D$21)</f>
        <v/>
      </c>
      <c r="D26" s="30" t="str">
        <f aca="false">IF($A26="","",案件管理!$AE$21:$AE$21)</f>
        <v/>
      </c>
      <c r="E26" s="30" t="str">
        <f aca="false">IF($A26="","",SUM($G26:$AD26))</f>
        <v/>
      </c>
      <c r="F26" s="51" t="str">
        <f aca="false">IF($A26="","",N($D26)-N($E26))</f>
        <v/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customFormat="false" ht="15.75" hidden="false" customHeight="true" outlineLevel="0" collapsed="false">
      <c r="A27" s="28" t="str">
        <f aca="false">IF(案件管理!$A$22:$A$22="","",案件管理!$A$22:$A$22)</f>
        <v/>
      </c>
      <c r="B27" s="10" t="str">
        <f aca="false">IF($A27="","",案件管理!$B$22:$B$22)</f>
        <v/>
      </c>
      <c r="C27" s="10" t="str">
        <f aca="false">IF($A27="","",案件管理!$D$22:$D$22)</f>
        <v/>
      </c>
      <c r="D27" s="30" t="str">
        <f aca="false">IF($A27="","",案件管理!$AE$22:$AE$22)</f>
        <v/>
      </c>
      <c r="E27" s="30" t="str">
        <f aca="false">IF($A27="","",SUM($G27:$AD27))</f>
        <v/>
      </c>
      <c r="F27" s="51" t="str">
        <f aca="false">IF($A27="","",N($D27)-N($E27))</f>
        <v/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customFormat="false" ht="15.75" hidden="false" customHeight="true" outlineLevel="0" collapsed="false">
      <c r="A28" s="28" t="str">
        <f aca="false">IF(案件管理!$A$23:$A$23="","",案件管理!$A$23:$A$23)</f>
        <v/>
      </c>
      <c r="B28" s="10" t="str">
        <f aca="false">IF($A28="","",案件管理!$B$23:$B$23)</f>
        <v/>
      </c>
      <c r="C28" s="10" t="str">
        <f aca="false">IF($A28="","",案件管理!$D$23:$D$23)</f>
        <v/>
      </c>
      <c r="D28" s="30" t="str">
        <f aca="false">IF($A28="","",案件管理!$AE$23:$AE$23)</f>
        <v/>
      </c>
      <c r="E28" s="30" t="str">
        <f aca="false">IF($A28="","",SUM($G28:$AD28))</f>
        <v/>
      </c>
      <c r="F28" s="51" t="str">
        <f aca="false">IF($A28="","",N($D28)-N($E28))</f>
        <v/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customFormat="false" ht="15.75" hidden="false" customHeight="true" outlineLevel="0" collapsed="false">
      <c r="A29" s="28" t="str">
        <f aca="false">IF(案件管理!$A$24:$A$24="","",案件管理!$A$24:$A$24)</f>
        <v/>
      </c>
      <c r="B29" s="10" t="str">
        <f aca="false">IF($A29="","",案件管理!$B$24:$B$24)</f>
        <v/>
      </c>
      <c r="C29" s="10" t="str">
        <f aca="false">IF($A29="","",案件管理!$D$24:$D$24)</f>
        <v/>
      </c>
      <c r="D29" s="30" t="str">
        <f aca="false">IF($A29="","",案件管理!$AE$24:$AE$24)</f>
        <v/>
      </c>
      <c r="E29" s="30" t="str">
        <f aca="false">IF($A29="","",SUM($G29:$AD29))</f>
        <v/>
      </c>
      <c r="F29" s="51" t="str">
        <f aca="false">IF($A29="","",N($D29)-N($E29))</f>
        <v/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customFormat="false" ht="15.75" hidden="false" customHeight="true" outlineLevel="0" collapsed="false">
      <c r="A30" s="28" t="str">
        <f aca="false">IF(案件管理!$A$25:$A$25="","",案件管理!$A$25:$A$25)</f>
        <v/>
      </c>
      <c r="B30" s="10" t="str">
        <f aca="false">IF($A30="","",案件管理!$B$25:$B$25)</f>
        <v/>
      </c>
      <c r="C30" s="10" t="str">
        <f aca="false">IF($A30="","",案件管理!$D$25:$D$25)</f>
        <v/>
      </c>
      <c r="D30" s="30" t="str">
        <f aca="false">IF($A30="","",案件管理!$AE$25:$AE$25)</f>
        <v/>
      </c>
      <c r="E30" s="30" t="str">
        <f aca="false">IF($A30="","",SUM($G30:$AD30))</f>
        <v/>
      </c>
      <c r="F30" s="51" t="str">
        <f aca="false">IF($A30="","",N($D30)-N($E30))</f>
        <v/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customFormat="false" ht="15.75" hidden="false" customHeight="true" outlineLevel="0" collapsed="false">
      <c r="A31" s="28" t="str">
        <f aca="false">IF(案件管理!$A$26:$A$26="","",案件管理!$A$26:$A$26)</f>
        <v/>
      </c>
      <c r="B31" s="10" t="str">
        <f aca="false">IF($A31="","",案件管理!$B$26:$B$26)</f>
        <v/>
      </c>
      <c r="C31" s="10" t="str">
        <f aca="false">IF($A31="","",案件管理!$D$26:$D$26)</f>
        <v/>
      </c>
      <c r="D31" s="30" t="str">
        <f aca="false">IF($A31="","",案件管理!$AE$26:$AE$26)</f>
        <v/>
      </c>
      <c r="E31" s="30" t="str">
        <f aca="false">IF($A31="","",SUM($G31:$AD31))</f>
        <v/>
      </c>
      <c r="F31" s="51" t="str">
        <f aca="false">IF($A31="","",N($D31)-N($E31))</f>
        <v/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 customFormat="false" ht="15.75" hidden="false" customHeight="true" outlineLevel="0" collapsed="false">
      <c r="A32" s="28" t="str">
        <f aca="false">IF(案件管理!$A$27:$A$27="","",案件管理!$A$27:$A$27)</f>
        <v/>
      </c>
      <c r="B32" s="10" t="str">
        <f aca="false">IF($A32="","",案件管理!$B$27:$B$27)</f>
        <v/>
      </c>
      <c r="C32" s="10" t="str">
        <f aca="false">IF($A32="","",案件管理!$D$27:$D$27)</f>
        <v/>
      </c>
      <c r="D32" s="30" t="str">
        <f aca="false">IF($A32="","",案件管理!$AE$27:$AE$27)</f>
        <v/>
      </c>
      <c r="E32" s="30" t="str">
        <f aca="false">IF($A32="","",SUM($G32:$AD32))</f>
        <v/>
      </c>
      <c r="F32" s="51" t="str">
        <f aca="false">IF($A32="","",N($D32)-N($E32))</f>
        <v/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 customFormat="false" ht="15.75" hidden="false" customHeight="true" outlineLevel="0" collapsed="false">
      <c r="A33" s="28" t="str">
        <f aca="false">IF(案件管理!$A$28:$A$28="","",案件管理!$A$28:$A$28)</f>
        <v/>
      </c>
      <c r="B33" s="10" t="str">
        <f aca="false">IF($A33="","",案件管理!$B$28:$B$28)</f>
        <v/>
      </c>
      <c r="C33" s="10" t="str">
        <f aca="false">IF($A33="","",案件管理!$D$28:$D$28)</f>
        <v/>
      </c>
      <c r="D33" s="30" t="str">
        <f aca="false">IF($A33="","",案件管理!$AE$28:$AE$28)</f>
        <v/>
      </c>
      <c r="E33" s="30" t="str">
        <f aca="false">IF($A33="","",SUM($G33:$AD33))</f>
        <v/>
      </c>
      <c r="F33" s="51" t="str">
        <f aca="false">IF($A33="","",N($D33)-N($E33))</f>
        <v/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customFormat="false" ht="15.75" hidden="false" customHeight="true" outlineLevel="0" collapsed="false">
      <c r="A34" s="28" t="str">
        <f aca="false">IF(案件管理!$A$29:$A$29="","",案件管理!$A$29:$A$29)</f>
        <v/>
      </c>
      <c r="B34" s="10" t="str">
        <f aca="false">IF($A34="","",案件管理!$B$29:$B$29)</f>
        <v/>
      </c>
      <c r="C34" s="10" t="str">
        <f aca="false">IF($A34="","",案件管理!$D$29:$D$29)</f>
        <v/>
      </c>
      <c r="D34" s="30" t="str">
        <f aca="false">IF($A34="","",案件管理!$AE$29:$AE$29)</f>
        <v/>
      </c>
      <c r="E34" s="30" t="str">
        <f aca="false">IF($A34="","",SUM($G34:$AD34))</f>
        <v/>
      </c>
      <c r="F34" s="51" t="str">
        <f aca="false">IF($A34="","",N($D34)-N($E34))</f>
        <v/>
      </c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customFormat="false" ht="15.75" hidden="false" customHeight="true" outlineLevel="0" collapsed="false">
      <c r="A35" s="28" t="str">
        <f aca="false">IF(案件管理!$A$30:$A$30="","",案件管理!$A$30:$A$30)</f>
        <v/>
      </c>
      <c r="B35" s="10" t="str">
        <f aca="false">IF($A35="","",案件管理!$B$30:$B$30)</f>
        <v/>
      </c>
      <c r="C35" s="10" t="str">
        <f aca="false">IF($A35="","",案件管理!$D$30:$D$30)</f>
        <v/>
      </c>
      <c r="D35" s="30" t="str">
        <f aca="false">IF($A35="","",案件管理!$AE$30:$AE$30)</f>
        <v/>
      </c>
      <c r="E35" s="30" t="str">
        <f aca="false">IF($A35="","",SUM($G35:$AD35))</f>
        <v/>
      </c>
      <c r="F35" s="51" t="str">
        <f aca="false">IF($A35="","",N($D35)-N($E35))</f>
        <v/>
      </c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customFormat="false" ht="15.75" hidden="false" customHeight="true" outlineLevel="0" collapsed="false">
      <c r="A36" s="28" t="str">
        <f aca="false">IF(案件管理!$A$31:$A$31="","",案件管理!$A$31:$A$31)</f>
        <v/>
      </c>
      <c r="B36" s="10" t="str">
        <f aca="false">IF($A36="","",案件管理!$B$31:$B$31)</f>
        <v/>
      </c>
      <c r="C36" s="10" t="str">
        <f aca="false">IF($A36="","",案件管理!$D$31:$D$31)</f>
        <v/>
      </c>
      <c r="D36" s="30" t="str">
        <f aca="false">IF($A36="","",案件管理!$AE$31:$AE$31)</f>
        <v/>
      </c>
      <c r="E36" s="30" t="str">
        <f aca="false">IF($A36="","",SUM($G36:$AD36))</f>
        <v/>
      </c>
      <c r="F36" s="51" t="str">
        <f aca="false">IF($A36="","",N($D36)-N($E36))</f>
        <v/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customFormat="false" ht="15.75" hidden="false" customHeight="true" outlineLevel="0" collapsed="false">
      <c r="A37" s="28" t="str">
        <f aca="false">IF(案件管理!$A$32:$A$32="","",案件管理!$A$32:$A$32)</f>
        <v/>
      </c>
      <c r="B37" s="10" t="str">
        <f aca="false">IF($A37="","",案件管理!$B$32:$B$32)</f>
        <v/>
      </c>
      <c r="C37" s="10" t="str">
        <f aca="false">IF($A37="","",案件管理!$D$32:$D$32)</f>
        <v/>
      </c>
      <c r="D37" s="30" t="str">
        <f aca="false">IF($A37="","",案件管理!$AE$32:$AE$32)</f>
        <v/>
      </c>
      <c r="E37" s="30" t="str">
        <f aca="false">IF($A37="","",SUM($G37:$AD37))</f>
        <v/>
      </c>
      <c r="F37" s="51" t="str">
        <f aca="false">IF($A37="","",N($D37)-N($E37))</f>
        <v/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customFormat="false" ht="15.75" hidden="false" customHeight="true" outlineLevel="0" collapsed="false">
      <c r="A38" s="28" t="str">
        <f aca="false">IF(案件管理!$A$33:$A$33="","",案件管理!$A$33:$A$33)</f>
        <v/>
      </c>
      <c r="B38" s="10" t="str">
        <f aca="false">IF($A38="","",案件管理!$B$33:$B$33)</f>
        <v/>
      </c>
      <c r="C38" s="10" t="str">
        <f aca="false">IF($A38="","",案件管理!$D$33:$D$33)</f>
        <v/>
      </c>
      <c r="D38" s="30" t="str">
        <f aca="false">IF($A38="","",案件管理!$AE$33:$AE$33)</f>
        <v/>
      </c>
      <c r="E38" s="30" t="str">
        <f aca="false">IF($A38="","",SUM($G38:$AD38))</f>
        <v/>
      </c>
      <c r="F38" s="51" t="str">
        <f aca="false">IF($A38="","",N($D38)-N($E38))</f>
        <v/>
      </c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customFormat="false" ht="15.75" hidden="false" customHeight="true" outlineLevel="0" collapsed="false">
      <c r="A39" s="28" t="str">
        <f aca="false">IF(案件管理!$A$34:$A$34="","",案件管理!$A$34:$A$34)</f>
        <v/>
      </c>
      <c r="B39" s="10" t="str">
        <f aca="false">IF($A39="","",案件管理!$B$34:$B$34)</f>
        <v/>
      </c>
      <c r="C39" s="10" t="str">
        <f aca="false">IF($A39="","",案件管理!$D$34:$D$34)</f>
        <v/>
      </c>
      <c r="D39" s="30" t="str">
        <f aca="false">IF($A39="","",案件管理!$AE$34:$AE$34)</f>
        <v/>
      </c>
      <c r="E39" s="30" t="str">
        <f aca="false">IF($A39="","",SUM($G39:$AD39))</f>
        <v/>
      </c>
      <c r="F39" s="51" t="str">
        <f aca="false">IF($A39="","",N($D39)-N($E39))</f>
        <v/>
      </c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customFormat="false" ht="15.75" hidden="false" customHeight="true" outlineLevel="0" collapsed="false">
      <c r="A40" s="28" t="str">
        <f aca="false">IF(案件管理!$A$35:$A$35="","",案件管理!$A$35:$A$35)</f>
        <v/>
      </c>
      <c r="B40" s="10" t="str">
        <f aca="false">IF($A40="","",案件管理!$B$35:$B$35)</f>
        <v/>
      </c>
      <c r="C40" s="10" t="str">
        <f aca="false">IF($A40="","",案件管理!$D$35:$D$35)</f>
        <v/>
      </c>
      <c r="D40" s="30" t="str">
        <f aca="false">IF($A40="","",案件管理!$AE$35:$AE$35)</f>
        <v/>
      </c>
      <c r="E40" s="30" t="str">
        <f aca="false">IF($A40="","",SUM($G40:$AD40))</f>
        <v/>
      </c>
      <c r="F40" s="51" t="str">
        <f aca="false">IF($A40="","",N($D40)-N($E40))</f>
        <v/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customFormat="false" ht="15.75" hidden="false" customHeight="true" outlineLevel="0" collapsed="false">
      <c r="A41" s="28" t="str">
        <f aca="false">IF(案件管理!$A$36:$A$36="","",案件管理!$A$36:$A$36)</f>
        <v/>
      </c>
      <c r="B41" s="10" t="str">
        <f aca="false">IF($A41="","",案件管理!$B$36:$B$36)</f>
        <v/>
      </c>
      <c r="C41" s="10" t="str">
        <f aca="false">IF($A41="","",案件管理!$D$36:$D$36)</f>
        <v/>
      </c>
      <c r="D41" s="30" t="str">
        <f aca="false">IF($A41="","",案件管理!$AE$36:$AE$36)</f>
        <v/>
      </c>
      <c r="E41" s="30" t="str">
        <f aca="false">IF($A41="","",SUM($G41:$AD41))</f>
        <v/>
      </c>
      <c r="F41" s="51" t="str">
        <f aca="false">IF($A41="","",N($D41)-N($E41))</f>
        <v/>
      </c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customFormat="false" ht="15.75" hidden="false" customHeight="true" outlineLevel="0" collapsed="false">
      <c r="A42" s="28" t="str">
        <f aca="false">IF(案件管理!$A$37:$A$37="","",案件管理!$A$37:$A$37)</f>
        <v/>
      </c>
      <c r="B42" s="10" t="str">
        <f aca="false">IF($A42="","",案件管理!$B$37:$B$37)</f>
        <v/>
      </c>
      <c r="C42" s="10" t="str">
        <f aca="false">IF($A42="","",案件管理!$D$37:$D$37)</f>
        <v/>
      </c>
      <c r="D42" s="30" t="str">
        <f aca="false">IF($A42="","",案件管理!$AE$37:$AE$37)</f>
        <v/>
      </c>
      <c r="E42" s="30" t="str">
        <f aca="false">IF($A42="","",SUM($G42:$AD42))</f>
        <v/>
      </c>
      <c r="F42" s="51" t="str">
        <f aca="false">IF($A42="","",N($D42)-N($E42))</f>
        <v/>
      </c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customFormat="false" ht="15.75" hidden="false" customHeight="true" outlineLevel="0" collapsed="false">
      <c r="A43" s="28" t="str">
        <f aca="false">IF(案件管理!$A$38:$A$38="","",案件管理!$A$38:$A$38)</f>
        <v/>
      </c>
      <c r="B43" s="10" t="str">
        <f aca="false">IF($A43="","",案件管理!$B$38:$B$38)</f>
        <v/>
      </c>
      <c r="C43" s="10" t="str">
        <f aca="false">IF($A43="","",案件管理!$D$38:$D$38)</f>
        <v/>
      </c>
      <c r="D43" s="30" t="str">
        <f aca="false">IF($A43="","",案件管理!$AE$38:$AE$38)</f>
        <v/>
      </c>
      <c r="E43" s="30" t="str">
        <f aca="false">IF($A43="","",SUM($G43:$AD43))</f>
        <v/>
      </c>
      <c r="F43" s="51" t="str">
        <f aca="false">IF($A43="","",N($D43)-N($E43))</f>
        <v/>
      </c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customFormat="false" ht="15.75" hidden="false" customHeight="true" outlineLevel="0" collapsed="false">
      <c r="A44" s="28" t="str">
        <f aca="false">IF(案件管理!$A$39:$A$39="","",案件管理!$A$39:$A$39)</f>
        <v/>
      </c>
      <c r="B44" s="10" t="str">
        <f aca="false">IF($A44="","",案件管理!$B$39:$B$39)</f>
        <v/>
      </c>
      <c r="C44" s="10" t="str">
        <f aca="false">IF($A44="","",案件管理!$D$39:$D$39)</f>
        <v/>
      </c>
      <c r="D44" s="30" t="str">
        <f aca="false">IF($A44="","",案件管理!$AE$39:$AE$39)</f>
        <v/>
      </c>
      <c r="E44" s="30" t="str">
        <f aca="false">IF($A44="","",SUM($G44:$AD44))</f>
        <v/>
      </c>
      <c r="F44" s="51" t="str">
        <f aca="false">IF($A44="","",N($D44)-N($E44))</f>
        <v/>
      </c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customFormat="false" ht="15.75" hidden="false" customHeight="true" outlineLevel="0" collapsed="false">
      <c r="A45" s="28" t="str">
        <f aca="false">IF(案件管理!$A$40:$A$40="","",案件管理!$A$40:$A$40)</f>
        <v/>
      </c>
      <c r="B45" s="10" t="str">
        <f aca="false">IF($A45="","",案件管理!$B$40:$B$40)</f>
        <v/>
      </c>
      <c r="C45" s="10" t="str">
        <f aca="false">IF($A45="","",案件管理!$D$40:$D$40)</f>
        <v/>
      </c>
      <c r="D45" s="30" t="str">
        <f aca="false">IF($A45="","",案件管理!$AE$40:$AE$40)</f>
        <v/>
      </c>
      <c r="E45" s="30" t="str">
        <f aca="false">IF($A45="","",SUM($G45:$AD45))</f>
        <v/>
      </c>
      <c r="F45" s="51" t="str">
        <f aca="false">IF($A45="","",N($D45)-N($E45))</f>
        <v/>
      </c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customFormat="false" ht="15.75" hidden="false" customHeight="true" outlineLevel="0" collapsed="false">
      <c r="A46" s="28" t="str">
        <f aca="false">IF(案件管理!$A$41:$A$41="","",案件管理!$A$41:$A$41)</f>
        <v/>
      </c>
      <c r="B46" s="10" t="str">
        <f aca="false">IF($A46="","",案件管理!$B$41:$B$41)</f>
        <v/>
      </c>
      <c r="C46" s="10" t="str">
        <f aca="false">IF($A46="","",案件管理!$D$41:$D$41)</f>
        <v/>
      </c>
      <c r="D46" s="30" t="str">
        <f aca="false">IF($A46="","",案件管理!$AE$41:$AE$41)</f>
        <v/>
      </c>
      <c r="E46" s="30" t="str">
        <f aca="false">IF($A46="","",SUM($G46:$AD46))</f>
        <v/>
      </c>
      <c r="F46" s="51" t="str">
        <f aca="false">IF($A46="","",N($D46)-N($E46))</f>
        <v/>
      </c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customFormat="false" ht="15.75" hidden="false" customHeight="true" outlineLevel="0" collapsed="false">
      <c r="A47" s="28" t="str">
        <f aca="false">IF(案件管理!$A$42:$A$42="","",案件管理!$A$42:$A$42)</f>
        <v/>
      </c>
      <c r="B47" s="10" t="str">
        <f aca="false">IF($A47="","",案件管理!$B$42:$B$42)</f>
        <v/>
      </c>
      <c r="C47" s="10" t="str">
        <f aca="false">IF($A47="","",案件管理!$D$42:$D$42)</f>
        <v/>
      </c>
      <c r="D47" s="30" t="str">
        <f aca="false">IF($A47="","",案件管理!$AE$42:$AE$42)</f>
        <v/>
      </c>
      <c r="E47" s="30" t="str">
        <f aca="false">IF($A47="","",SUM($G47:$AD47))</f>
        <v/>
      </c>
      <c r="F47" s="51" t="str">
        <f aca="false">IF($A47="","",N($D47)-N($E47))</f>
        <v/>
      </c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customFormat="false" ht="15.75" hidden="false" customHeight="true" outlineLevel="0" collapsed="false">
      <c r="A48" s="28" t="str">
        <f aca="false">IF(案件管理!$A$43:$A$43="","",案件管理!$A$43:$A$43)</f>
        <v/>
      </c>
      <c r="B48" s="10" t="str">
        <f aca="false">IF($A48="","",案件管理!$B$43:$B$43)</f>
        <v/>
      </c>
      <c r="C48" s="10" t="str">
        <f aca="false">IF($A48="","",案件管理!$D$43:$D$43)</f>
        <v/>
      </c>
      <c r="D48" s="30" t="str">
        <f aca="false">IF($A48="","",案件管理!$AE$43:$AE$43)</f>
        <v/>
      </c>
      <c r="E48" s="30" t="str">
        <f aca="false">IF($A48="","",SUM($G48:$AD48))</f>
        <v/>
      </c>
      <c r="F48" s="51" t="str">
        <f aca="false">IF($A48="","",N($D48)-N($E48))</f>
        <v/>
      </c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customFormat="false" ht="15.75" hidden="false" customHeight="true" outlineLevel="0" collapsed="false">
      <c r="A49" s="28" t="str">
        <f aca="false">IF(案件管理!$A$44:$A$44="","",案件管理!$A$44:$A$44)</f>
        <v/>
      </c>
      <c r="B49" s="10" t="str">
        <f aca="false">IF($A49="","",案件管理!$B$44:$B$44)</f>
        <v/>
      </c>
      <c r="C49" s="10" t="str">
        <f aca="false">IF($A49="","",案件管理!$D$44:$D$44)</f>
        <v/>
      </c>
      <c r="D49" s="30" t="str">
        <f aca="false">IF($A49="","",案件管理!$AE$44:$AE$44)</f>
        <v/>
      </c>
      <c r="E49" s="30" t="str">
        <f aca="false">IF($A49="","",SUM($G49:$AD49))</f>
        <v/>
      </c>
      <c r="F49" s="51" t="str">
        <f aca="false">IF($A49="","",N($D49)-N($E49))</f>
        <v/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customFormat="false" ht="15.75" hidden="false" customHeight="true" outlineLevel="0" collapsed="false">
      <c r="A50" s="28" t="str">
        <f aca="false">IF(案件管理!$A$45:$A$45="","",案件管理!$A$45:$A$45)</f>
        <v/>
      </c>
      <c r="B50" s="10" t="str">
        <f aca="false">IF($A50="","",案件管理!$B$45:$B$45)</f>
        <v/>
      </c>
      <c r="C50" s="10" t="str">
        <f aca="false">IF($A50="","",案件管理!$D$45:$D$45)</f>
        <v/>
      </c>
      <c r="D50" s="30" t="str">
        <f aca="false">IF($A50="","",案件管理!$AE$45:$AE$45)</f>
        <v/>
      </c>
      <c r="E50" s="30" t="str">
        <f aca="false">IF($A50="","",SUM($G50:$AD50))</f>
        <v/>
      </c>
      <c r="F50" s="51" t="str">
        <f aca="false">IF($A50="","",N($D50)-N($E50))</f>
        <v/>
      </c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customFormat="false" ht="15.75" hidden="false" customHeight="true" outlineLevel="0" collapsed="false">
      <c r="A51" s="28" t="str">
        <f aca="false">IF(案件管理!$A$46:$A$46="","",案件管理!$A$46:$A$46)</f>
        <v/>
      </c>
      <c r="B51" s="10" t="str">
        <f aca="false">IF($A51="","",案件管理!$B$46:$B$46)</f>
        <v/>
      </c>
      <c r="C51" s="10" t="str">
        <f aca="false">IF($A51="","",案件管理!$D$46:$D$46)</f>
        <v/>
      </c>
      <c r="D51" s="30" t="str">
        <f aca="false">IF($A51="","",案件管理!$AE$46:$AE$46)</f>
        <v/>
      </c>
      <c r="E51" s="30" t="str">
        <f aca="false">IF($A51="","",SUM($G51:$AD51))</f>
        <v/>
      </c>
      <c r="F51" s="51" t="str">
        <f aca="false">IF($A51="","",N($D51)-N($E51))</f>
        <v/>
      </c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customFormat="false" ht="15.75" hidden="false" customHeight="true" outlineLevel="0" collapsed="false">
      <c r="A52" s="28" t="str">
        <f aca="false">IF(案件管理!$A$47:$A$47="","",案件管理!$A$47:$A$47)</f>
        <v/>
      </c>
      <c r="B52" s="10" t="str">
        <f aca="false">IF($A52="","",案件管理!$B$47:$B$47)</f>
        <v/>
      </c>
      <c r="C52" s="10" t="str">
        <f aca="false">IF($A52="","",案件管理!$D$47:$D$47)</f>
        <v/>
      </c>
      <c r="D52" s="30" t="str">
        <f aca="false">IF($A52="","",案件管理!$AE$47:$AE$47)</f>
        <v/>
      </c>
      <c r="E52" s="30" t="str">
        <f aca="false">IF($A52="","",SUM($G52:$AD52))</f>
        <v/>
      </c>
      <c r="F52" s="51" t="str">
        <f aca="false">IF($A52="","",N($D52)-N($E52))</f>
        <v/>
      </c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customFormat="false" ht="15.75" hidden="false" customHeight="true" outlineLevel="0" collapsed="false">
      <c r="A53" s="28" t="str">
        <f aca="false">IF(案件管理!$A$48:$A$48="","",案件管理!$A$48:$A$48)</f>
        <v/>
      </c>
      <c r="B53" s="10" t="str">
        <f aca="false">IF($A53="","",案件管理!$B$48:$B$48)</f>
        <v/>
      </c>
      <c r="C53" s="10" t="str">
        <f aca="false">IF($A53="","",案件管理!$D$48:$D$48)</f>
        <v/>
      </c>
      <c r="D53" s="30" t="str">
        <f aca="false">IF($A53="","",案件管理!$AE$48:$AE$48)</f>
        <v/>
      </c>
      <c r="E53" s="30" t="str">
        <f aca="false">IF($A53="","",SUM($G53:$AD53))</f>
        <v/>
      </c>
      <c r="F53" s="51" t="str">
        <f aca="false">IF($A53="","",N($D53)-N($E53))</f>
        <v/>
      </c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customFormat="false" ht="15.75" hidden="false" customHeight="true" outlineLevel="0" collapsed="false">
      <c r="A54" s="28" t="str">
        <f aca="false">IF(案件管理!$A$49:$A$49="","",案件管理!$A$49:$A$49)</f>
        <v/>
      </c>
      <c r="B54" s="10" t="str">
        <f aca="false">IF($A54="","",案件管理!$B$49:$B$49)</f>
        <v/>
      </c>
      <c r="C54" s="10" t="str">
        <f aca="false">IF($A54="","",案件管理!$D$49:$D$49)</f>
        <v/>
      </c>
      <c r="D54" s="30" t="str">
        <f aca="false">IF($A54="","",案件管理!$AE$49:$AE$49)</f>
        <v/>
      </c>
      <c r="E54" s="30" t="str">
        <f aca="false">IF($A54="","",SUM($G54:$AD54))</f>
        <v/>
      </c>
      <c r="F54" s="51" t="str">
        <f aca="false">IF($A54="","",N($D54)-N($E54))</f>
        <v/>
      </c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customFormat="false" ht="15.75" hidden="false" customHeight="true" outlineLevel="0" collapsed="false">
      <c r="A55" s="28" t="str">
        <f aca="false">IF(案件管理!$A$50:$A$50="","",案件管理!$A$50:$A$50)</f>
        <v/>
      </c>
      <c r="B55" s="10" t="str">
        <f aca="false">IF($A55="","",案件管理!$B$50:$B$50)</f>
        <v/>
      </c>
      <c r="C55" s="10" t="str">
        <f aca="false">IF($A55="","",案件管理!$D$50:$D$50)</f>
        <v/>
      </c>
      <c r="D55" s="30" t="str">
        <f aca="false">IF($A55="","",案件管理!$AE$50:$AE$50)</f>
        <v/>
      </c>
      <c r="E55" s="30" t="str">
        <f aca="false">IF($A55="","",SUM($G55:$AD55))</f>
        <v/>
      </c>
      <c r="F55" s="51" t="str">
        <f aca="false">IF($A55="","",N($D55)-N($E55))</f>
        <v/>
      </c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customFormat="false" ht="15.75" hidden="false" customHeight="true" outlineLevel="0" collapsed="false">
      <c r="A56" s="28" t="str">
        <f aca="false">IF(案件管理!$A$51:$A$51="","",案件管理!$A$51:$A$51)</f>
        <v/>
      </c>
      <c r="B56" s="10" t="str">
        <f aca="false">IF($A56="","",案件管理!$B$51:$B$51)</f>
        <v/>
      </c>
      <c r="C56" s="10" t="str">
        <f aca="false">IF($A56="","",案件管理!$D$51:$D$51)</f>
        <v/>
      </c>
      <c r="D56" s="30" t="str">
        <f aca="false">IF($A56="","",案件管理!$AE$51:$AE$51)</f>
        <v/>
      </c>
      <c r="E56" s="30" t="str">
        <f aca="false">IF($A56="","",SUM($G56:$AD56))</f>
        <v/>
      </c>
      <c r="F56" s="51" t="str">
        <f aca="false">IF($A56="","",N($D56)-N($E56))</f>
        <v/>
      </c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customFormat="false" ht="15.75" hidden="false" customHeight="true" outlineLevel="0" collapsed="false">
      <c r="A57" s="28" t="str">
        <f aca="false">IF(案件管理!$A$52:$A$52="","",案件管理!$A$52:$A$52)</f>
        <v/>
      </c>
      <c r="B57" s="10" t="str">
        <f aca="false">IF($A57="","",案件管理!$B$52:$B$52)</f>
        <v/>
      </c>
      <c r="C57" s="10" t="str">
        <f aca="false">IF($A57="","",案件管理!$D$52:$D$52)</f>
        <v/>
      </c>
      <c r="D57" s="30" t="str">
        <f aca="false">IF($A57="","",案件管理!$AE$52:$AE$52)</f>
        <v/>
      </c>
      <c r="E57" s="30" t="str">
        <f aca="false">IF($A57="","",SUM($G57:$AD57))</f>
        <v/>
      </c>
      <c r="F57" s="51" t="str">
        <f aca="false">IF($A57="","",N($D57)-N($E57))</f>
        <v/>
      </c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customFormat="false" ht="15.75" hidden="false" customHeight="true" outlineLevel="0" collapsed="false">
      <c r="A58" s="28" t="str">
        <f aca="false">IF(案件管理!$A$53:$A$53="","",案件管理!$A$53:$A$53)</f>
        <v/>
      </c>
      <c r="B58" s="10" t="str">
        <f aca="false">IF($A58="","",案件管理!$B$53:$B$53)</f>
        <v/>
      </c>
      <c r="C58" s="10" t="str">
        <f aca="false">IF($A58="","",案件管理!$D$53:$D$53)</f>
        <v/>
      </c>
      <c r="D58" s="30" t="str">
        <f aca="false">IF($A58="","",案件管理!$AE$53:$AE$53)</f>
        <v/>
      </c>
      <c r="E58" s="30" t="str">
        <f aca="false">IF($A58="","",SUM($G58:$AD58))</f>
        <v/>
      </c>
      <c r="F58" s="51" t="str">
        <f aca="false">IF($A58="","",N($D58)-N($E58))</f>
        <v/>
      </c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customFormat="false" ht="15.75" hidden="false" customHeight="true" outlineLevel="0" collapsed="false">
      <c r="A59" s="28" t="str">
        <f aca="false">IF(案件管理!$A$54:$A$54="","",案件管理!$A$54:$A$54)</f>
        <v/>
      </c>
      <c r="B59" s="10" t="str">
        <f aca="false">IF($A59="","",案件管理!$B$54:$B$54)</f>
        <v/>
      </c>
      <c r="C59" s="10" t="str">
        <f aca="false">IF($A59="","",案件管理!$D$54:$D$54)</f>
        <v/>
      </c>
      <c r="D59" s="30" t="str">
        <f aca="false">IF($A59="","",案件管理!$AE$54:$AE$54)</f>
        <v/>
      </c>
      <c r="E59" s="30" t="str">
        <f aca="false">IF($A59="","",SUM($G59:$AD59))</f>
        <v/>
      </c>
      <c r="F59" s="51" t="str">
        <f aca="false">IF($A59="","",N($D59)-N($E59))</f>
        <v/>
      </c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customFormat="false" ht="15.75" hidden="false" customHeight="true" outlineLevel="0" collapsed="false">
      <c r="A60" s="28" t="str">
        <f aca="false">IF(案件管理!$A$55:$A$55="","",案件管理!$A$55:$A$55)</f>
        <v/>
      </c>
      <c r="B60" s="10" t="str">
        <f aca="false">IF($A60="","",案件管理!$B$55:$B$55)</f>
        <v/>
      </c>
      <c r="C60" s="10" t="str">
        <f aca="false">IF($A60="","",案件管理!$D$55:$D$55)</f>
        <v/>
      </c>
      <c r="D60" s="30" t="str">
        <f aca="false">IF($A60="","",案件管理!$AE$55:$AE$55)</f>
        <v/>
      </c>
      <c r="E60" s="30" t="str">
        <f aca="false">IF($A60="","",SUM($G60:$AD60))</f>
        <v/>
      </c>
      <c r="F60" s="51" t="str">
        <f aca="false">IF($A60="","",N($D60)-N($E60))</f>
        <v/>
      </c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customFormat="false" ht="15.75" hidden="false" customHeight="true" outlineLevel="0" collapsed="false">
      <c r="A61" s="28" t="str">
        <f aca="false">IF(案件管理!$A$56:$A$56="","",案件管理!$A$56:$A$56)</f>
        <v/>
      </c>
      <c r="B61" s="10" t="str">
        <f aca="false">IF($A61="","",案件管理!$B$56:$B$56)</f>
        <v/>
      </c>
      <c r="C61" s="10" t="str">
        <f aca="false">IF($A61="","",案件管理!$D$56:$D$56)</f>
        <v/>
      </c>
      <c r="D61" s="30" t="str">
        <f aca="false">IF($A61="","",案件管理!$AE$56:$AE$56)</f>
        <v/>
      </c>
      <c r="E61" s="30" t="str">
        <f aca="false">IF($A61="","",SUM($G61:$AD61))</f>
        <v/>
      </c>
      <c r="F61" s="51" t="str">
        <f aca="false">IF($A61="","",N($D61)-N($E61))</f>
        <v/>
      </c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customFormat="false" ht="15.75" hidden="false" customHeight="true" outlineLevel="0" collapsed="false">
      <c r="A62" s="28" t="str">
        <f aca="false">IF(案件管理!$A$57:$A$57="","",案件管理!$A$57:$A$57)</f>
        <v/>
      </c>
      <c r="B62" s="10" t="str">
        <f aca="false">IF($A62="","",案件管理!$B$57:$B$57)</f>
        <v/>
      </c>
      <c r="C62" s="10" t="str">
        <f aca="false">IF($A62="","",案件管理!$D$57:$D$57)</f>
        <v/>
      </c>
      <c r="D62" s="30" t="str">
        <f aca="false">IF($A62="","",案件管理!$AE$57:$AE$57)</f>
        <v/>
      </c>
      <c r="E62" s="30" t="str">
        <f aca="false">IF($A62="","",SUM($G62:$AD62))</f>
        <v/>
      </c>
      <c r="F62" s="51" t="str">
        <f aca="false">IF($A62="","",N($D62)-N($E62))</f>
        <v/>
      </c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customFormat="false" ht="15.75" hidden="false" customHeight="true" outlineLevel="0" collapsed="false">
      <c r="A63" s="28" t="str">
        <f aca="false">IF(案件管理!$A$58:$A$58="","",案件管理!$A$58:$A$58)</f>
        <v/>
      </c>
      <c r="B63" s="10" t="str">
        <f aca="false">IF($A63="","",案件管理!$B$58:$B$58)</f>
        <v/>
      </c>
      <c r="C63" s="10" t="str">
        <f aca="false">IF($A63="","",案件管理!$D$58:$D$58)</f>
        <v/>
      </c>
      <c r="D63" s="30" t="str">
        <f aca="false">IF($A63="","",案件管理!$AE$58:$AE$58)</f>
        <v/>
      </c>
      <c r="E63" s="30" t="str">
        <f aca="false">IF($A63="","",SUM($G63:$AD63))</f>
        <v/>
      </c>
      <c r="F63" s="51" t="str">
        <f aca="false">IF($A63="","",N($D63)-N($E63))</f>
        <v/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customFormat="false" ht="15.75" hidden="false" customHeight="true" outlineLevel="0" collapsed="false">
      <c r="A64" s="28" t="str">
        <f aca="false">IF(案件管理!$A$59:$A$59="","",案件管理!$A$59:$A$59)</f>
        <v/>
      </c>
      <c r="B64" s="10" t="str">
        <f aca="false">IF($A64="","",案件管理!$B$59:$B$59)</f>
        <v/>
      </c>
      <c r="C64" s="10" t="str">
        <f aca="false">IF($A64="","",案件管理!$D$59:$D$59)</f>
        <v/>
      </c>
      <c r="D64" s="30" t="str">
        <f aca="false">IF($A64="","",案件管理!$AE$59:$AE$59)</f>
        <v/>
      </c>
      <c r="E64" s="30" t="str">
        <f aca="false">IF($A64="","",SUM($G64:$AD64))</f>
        <v/>
      </c>
      <c r="F64" s="51" t="str">
        <f aca="false">IF($A64="","",N($D64)-N($E64))</f>
        <v/>
      </c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customFormat="false" ht="15.75" hidden="false" customHeight="true" outlineLevel="0" collapsed="false">
      <c r="A65" s="28" t="str">
        <f aca="false">IF(案件管理!$A$60:$A$60="","",案件管理!$A$60:$A$60)</f>
        <v/>
      </c>
      <c r="B65" s="10" t="str">
        <f aca="false">IF($A65="","",案件管理!$B$60:$B$60)</f>
        <v/>
      </c>
      <c r="C65" s="10" t="str">
        <f aca="false">IF($A65="","",案件管理!$D$60:$D$60)</f>
        <v/>
      </c>
      <c r="D65" s="30" t="str">
        <f aca="false">IF($A65="","",案件管理!$AE$60:$AE$60)</f>
        <v/>
      </c>
      <c r="E65" s="30" t="str">
        <f aca="false">IF($A65="","",SUM($G65:$AD65))</f>
        <v/>
      </c>
      <c r="F65" s="51" t="str">
        <f aca="false">IF($A65="","",N($D65)-N($E65))</f>
        <v/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customFormat="false" ht="15.75" hidden="false" customHeight="true" outlineLevel="0" collapsed="false">
      <c r="A66" s="28" t="str">
        <f aca="false">IF(案件管理!$A$61:$A$61="","",案件管理!$A$61:$A$61)</f>
        <v/>
      </c>
      <c r="B66" s="10" t="str">
        <f aca="false">IF($A66="","",案件管理!$B$61:$B$61)</f>
        <v/>
      </c>
      <c r="C66" s="10" t="str">
        <f aca="false">IF($A66="","",案件管理!$D$61:$D$61)</f>
        <v/>
      </c>
      <c r="D66" s="30" t="str">
        <f aca="false">IF($A66="","",案件管理!$AE$61:$AE$61)</f>
        <v/>
      </c>
      <c r="E66" s="30" t="str">
        <f aca="false">IF($A66="","",SUM($G66:$AD66))</f>
        <v/>
      </c>
      <c r="F66" s="51" t="str">
        <f aca="false">IF($A66="","",N($D66)-N($E66))</f>
        <v/>
      </c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customFormat="false" ht="15.75" hidden="false" customHeight="true" outlineLevel="0" collapsed="false">
      <c r="A67" s="28" t="str">
        <f aca="false">IF(案件管理!$A$62:$A$62="","",案件管理!$A$62:$A$62)</f>
        <v/>
      </c>
      <c r="B67" s="10" t="str">
        <f aca="false">IF($A67="","",案件管理!$B$62:$B$62)</f>
        <v/>
      </c>
      <c r="C67" s="10" t="str">
        <f aca="false">IF($A67="","",案件管理!$D$62:$D$62)</f>
        <v/>
      </c>
      <c r="D67" s="30" t="str">
        <f aca="false">IF($A67="","",案件管理!$AE$62:$AE$62)</f>
        <v/>
      </c>
      <c r="E67" s="30" t="str">
        <f aca="false">IF($A67="","",SUM($G67:$AD67))</f>
        <v/>
      </c>
      <c r="F67" s="51" t="str">
        <f aca="false">IF($A67="","",N($D67)-N($E67))</f>
        <v/>
      </c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customFormat="false" ht="15.75" hidden="false" customHeight="true" outlineLevel="0" collapsed="false">
      <c r="A68" s="28" t="str">
        <f aca="false">IF(案件管理!$A$63:$A$63="","",案件管理!$A$63:$A$63)</f>
        <v/>
      </c>
      <c r="B68" s="10" t="str">
        <f aca="false">IF($A68="","",案件管理!$B$63:$B$63)</f>
        <v/>
      </c>
      <c r="C68" s="10" t="str">
        <f aca="false">IF($A68="","",案件管理!$D$63:$D$63)</f>
        <v/>
      </c>
      <c r="D68" s="30" t="str">
        <f aca="false">IF($A68="","",案件管理!$AE$63:$AE$63)</f>
        <v/>
      </c>
      <c r="E68" s="30" t="str">
        <f aca="false">IF($A68="","",SUM($G68:$AD68))</f>
        <v/>
      </c>
      <c r="F68" s="51" t="str">
        <f aca="false">IF($A68="","",N($D68)-N($E68))</f>
        <v/>
      </c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customFormat="false" ht="15.75" hidden="false" customHeight="true" outlineLevel="0" collapsed="false">
      <c r="A69" s="28" t="str">
        <f aca="false">IF(案件管理!$A$64:$A$64="","",案件管理!$A$64:$A$64)</f>
        <v/>
      </c>
      <c r="B69" s="10" t="str">
        <f aca="false">IF($A69="","",案件管理!$B$64:$B$64)</f>
        <v/>
      </c>
      <c r="C69" s="10" t="str">
        <f aca="false">IF($A69="","",案件管理!$D$64:$D$64)</f>
        <v/>
      </c>
      <c r="D69" s="30" t="str">
        <f aca="false">IF($A69="","",案件管理!$AE$64:$AE$64)</f>
        <v/>
      </c>
      <c r="E69" s="30" t="str">
        <f aca="false">IF($A69="","",SUM($G69:$AD69))</f>
        <v/>
      </c>
      <c r="F69" s="51" t="str">
        <f aca="false">IF($A69="","",N($D69)-N($E69))</f>
        <v/>
      </c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customFormat="false" ht="15.75" hidden="false" customHeight="true" outlineLevel="0" collapsed="false">
      <c r="A70" s="28" t="str">
        <f aca="false">IF(案件管理!$A$65:$A$65="","",案件管理!$A$65:$A$65)</f>
        <v/>
      </c>
      <c r="B70" s="10" t="str">
        <f aca="false">IF($A70="","",案件管理!$B$65:$B$65)</f>
        <v/>
      </c>
      <c r="C70" s="10" t="str">
        <f aca="false">IF($A70="","",案件管理!$D$65:$D$65)</f>
        <v/>
      </c>
      <c r="D70" s="30" t="str">
        <f aca="false">IF($A70="","",案件管理!$AE$65:$AE$65)</f>
        <v/>
      </c>
      <c r="E70" s="30" t="str">
        <f aca="false">IF($A70="","",SUM($G70:$AD70))</f>
        <v/>
      </c>
      <c r="F70" s="51" t="str">
        <f aca="false">IF($A70="","",N($D70)-N($E70))</f>
        <v/>
      </c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customFormat="false" ht="15.75" hidden="false" customHeight="true" outlineLevel="0" collapsed="false">
      <c r="A71" s="28" t="str">
        <f aca="false">IF(案件管理!$A$66:$A$66="","",案件管理!$A$66:$A$66)</f>
        <v/>
      </c>
      <c r="B71" s="10" t="str">
        <f aca="false">IF($A71="","",案件管理!$B$66:$B$66)</f>
        <v/>
      </c>
      <c r="C71" s="10" t="str">
        <f aca="false">IF($A71="","",案件管理!$D$66:$D$66)</f>
        <v/>
      </c>
      <c r="D71" s="30" t="str">
        <f aca="false">IF($A71="","",案件管理!$AE$66:$AE$66)</f>
        <v/>
      </c>
      <c r="E71" s="30" t="str">
        <f aca="false">IF($A71="","",SUM($G71:$AD71))</f>
        <v/>
      </c>
      <c r="F71" s="51" t="str">
        <f aca="false">IF($A71="","",N($D71)-N($E71))</f>
        <v/>
      </c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customFormat="false" ht="15.75" hidden="false" customHeight="true" outlineLevel="0" collapsed="false">
      <c r="A72" s="28" t="str">
        <f aca="false">IF(案件管理!$A$67:$A$67="","",案件管理!$A$67:$A$67)</f>
        <v/>
      </c>
      <c r="B72" s="10" t="str">
        <f aca="false">IF($A72="","",案件管理!$B$67:$B$67)</f>
        <v/>
      </c>
      <c r="C72" s="10" t="str">
        <f aca="false">IF($A72="","",案件管理!$D$67:$D$67)</f>
        <v/>
      </c>
      <c r="D72" s="30" t="str">
        <f aca="false">IF($A72="","",案件管理!$AE$67:$AE$67)</f>
        <v/>
      </c>
      <c r="E72" s="30" t="str">
        <f aca="false">IF($A72="","",SUM($G72:$AD72))</f>
        <v/>
      </c>
      <c r="F72" s="51" t="str">
        <f aca="false">IF($A72="","",N($D72)-N($E72))</f>
        <v/>
      </c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customFormat="false" ht="15.75" hidden="false" customHeight="true" outlineLevel="0" collapsed="false">
      <c r="A73" s="28" t="str">
        <f aca="false">IF(案件管理!$A$68:$A$68="","",案件管理!$A$68:$A$68)</f>
        <v/>
      </c>
      <c r="B73" s="10" t="str">
        <f aca="false">IF($A73="","",案件管理!$B$68:$B$68)</f>
        <v/>
      </c>
      <c r="C73" s="10" t="str">
        <f aca="false">IF($A73="","",案件管理!$D$68:$D$68)</f>
        <v/>
      </c>
      <c r="D73" s="30" t="str">
        <f aca="false">IF($A73="","",案件管理!$AE$68:$AE$68)</f>
        <v/>
      </c>
      <c r="E73" s="30" t="str">
        <f aca="false">IF($A73="","",SUM($G73:$AD73))</f>
        <v/>
      </c>
      <c r="F73" s="51" t="str">
        <f aca="false">IF($A73="","",N($D73)-N($E73))</f>
        <v/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customFormat="false" ht="15.75" hidden="false" customHeight="true" outlineLevel="0" collapsed="false">
      <c r="A74" s="28" t="str">
        <f aca="false">IF(案件管理!$A$69:$A$69="","",案件管理!$A$69:$A$69)</f>
        <v/>
      </c>
      <c r="B74" s="10" t="str">
        <f aca="false">IF($A74="","",案件管理!$B$69:$B$69)</f>
        <v/>
      </c>
      <c r="C74" s="10" t="str">
        <f aca="false">IF($A74="","",案件管理!$D$69:$D$69)</f>
        <v/>
      </c>
      <c r="D74" s="30" t="str">
        <f aca="false">IF($A74="","",案件管理!$AE$69:$AE$69)</f>
        <v/>
      </c>
      <c r="E74" s="30" t="str">
        <f aca="false">IF($A74="","",SUM($G74:$AD74))</f>
        <v/>
      </c>
      <c r="F74" s="51" t="str">
        <f aca="false">IF($A74="","",N($D74)-N($E74))</f>
        <v/>
      </c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customFormat="false" ht="15.75" hidden="false" customHeight="true" outlineLevel="0" collapsed="false">
      <c r="A75" s="28" t="str">
        <f aca="false">IF(案件管理!$A$70:$A$70="","",案件管理!$A$70:$A$70)</f>
        <v/>
      </c>
      <c r="B75" s="10" t="str">
        <f aca="false">IF($A75="","",案件管理!$B$70:$B$70)</f>
        <v/>
      </c>
      <c r="C75" s="10" t="str">
        <f aca="false">IF($A75="","",案件管理!$D$70:$D$70)</f>
        <v/>
      </c>
      <c r="D75" s="30" t="str">
        <f aca="false">IF($A75="","",案件管理!$AE$70:$AE$70)</f>
        <v/>
      </c>
      <c r="E75" s="30" t="str">
        <f aca="false">IF($A75="","",SUM($G75:$AD75))</f>
        <v/>
      </c>
      <c r="F75" s="51" t="str">
        <f aca="false">IF($A75="","",N($D75)-N($E75))</f>
        <v/>
      </c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customFormat="false" ht="15.75" hidden="false" customHeight="true" outlineLevel="0" collapsed="false">
      <c r="A76" s="28" t="str">
        <f aca="false">IF(案件管理!$A$71:$A$71="","",案件管理!$A$71:$A$71)</f>
        <v/>
      </c>
      <c r="B76" s="10" t="str">
        <f aca="false">IF($A76="","",案件管理!$B$71:$B$71)</f>
        <v/>
      </c>
      <c r="C76" s="10" t="str">
        <f aca="false">IF($A76="","",案件管理!$D$71:$D$71)</f>
        <v/>
      </c>
      <c r="D76" s="30" t="str">
        <f aca="false">IF($A76="","",案件管理!$AE$71:$AE$71)</f>
        <v/>
      </c>
      <c r="E76" s="30" t="str">
        <f aca="false">IF($A76="","",SUM($G76:$AD76))</f>
        <v/>
      </c>
      <c r="F76" s="51" t="str">
        <f aca="false">IF($A76="","",N($D76)-N($E76))</f>
        <v/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customFormat="false" ht="15.75" hidden="false" customHeight="true" outlineLevel="0" collapsed="false">
      <c r="A77" s="28" t="str">
        <f aca="false">IF(案件管理!$A$72:$A$72="","",案件管理!$A$72:$A$72)</f>
        <v/>
      </c>
      <c r="B77" s="10" t="str">
        <f aca="false">IF($A77="","",案件管理!$B$72:$B$72)</f>
        <v/>
      </c>
      <c r="C77" s="10" t="str">
        <f aca="false">IF($A77="","",案件管理!$D$72:$D$72)</f>
        <v/>
      </c>
      <c r="D77" s="30" t="str">
        <f aca="false">IF($A77="","",案件管理!$AE$72:$AE$72)</f>
        <v/>
      </c>
      <c r="E77" s="30" t="str">
        <f aca="false">IF($A77="","",SUM($G77:$AD77))</f>
        <v/>
      </c>
      <c r="F77" s="51" t="str">
        <f aca="false">IF($A77="","",N($D77)-N($E77))</f>
        <v/>
      </c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customFormat="false" ht="15.75" hidden="false" customHeight="true" outlineLevel="0" collapsed="false">
      <c r="A78" s="28" t="str">
        <f aca="false">IF(案件管理!$A$73:$A$73="","",案件管理!$A$73:$A$73)</f>
        <v/>
      </c>
      <c r="B78" s="10" t="str">
        <f aca="false">IF($A78="","",案件管理!$B$73:$B$73)</f>
        <v/>
      </c>
      <c r="C78" s="10" t="str">
        <f aca="false">IF($A78="","",案件管理!$D$73:$D$73)</f>
        <v/>
      </c>
      <c r="D78" s="30" t="str">
        <f aca="false">IF($A78="","",案件管理!$AE$73:$AE$73)</f>
        <v/>
      </c>
      <c r="E78" s="30" t="str">
        <f aca="false">IF($A78="","",SUM($G78:$AD78))</f>
        <v/>
      </c>
      <c r="F78" s="51" t="str">
        <f aca="false">IF($A78="","",N($D78)-N($E78))</f>
        <v/>
      </c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customFormat="false" ht="15.75" hidden="false" customHeight="true" outlineLevel="0" collapsed="false">
      <c r="A79" s="28" t="str">
        <f aca="false">IF(案件管理!$A$74:$A$74="","",案件管理!$A$74:$A$74)</f>
        <v/>
      </c>
      <c r="B79" s="10" t="str">
        <f aca="false">IF($A79="","",案件管理!$B$74:$B$74)</f>
        <v/>
      </c>
      <c r="C79" s="10" t="str">
        <f aca="false">IF($A79="","",案件管理!$D$74:$D$74)</f>
        <v/>
      </c>
      <c r="D79" s="30" t="str">
        <f aca="false">IF($A79="","",案件管理!$AE$74:$AE$74)</f>
        <v/>
      </c>
      <c r="E79" s="30" t="str">
        <f aca="false">IF($A79="","",SUM($G79:$AD79))</f>
        <v/>
      </c>
      <c r="F79" s="51" t="str">
        <f aca="false">IF($A79="","",N($D79)-N($E79))</f>
        <v/>
      </c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customFormat="false" ht="15.75" hidden="false" customHeight="true" outlineLevel="0" collapsed="false">
      <c r="A80" s="28" t="str">
        <f aca="false">IF(案件管理!$A$75:$A$75="","",案件管理!$A$75:$A$75)</f>
        <v/>
      </c>
      <c r="B80" s="10" t="str">
        <f aca="false">IF($A80="","",案件管理!$B$75:$B$75)</f>
        <v/>
      </c>
      <c r="C80" s="10" t="str">
        <f aca="false">IF($A80="","",案件管理!$D$75:$D$75)</f>
        <v/>
      </c>
      <c r="D80" s="30" t="str">
        <f aca="false">IF($A80="","",案件管理!$AE$75:$AE$75)</f>
        <v/>
      </c>
      <c r="E80" s="30" t="str">
        <f aca="false">IF($A80="","",SUM($G80:$AD80))</f>
        <v/>
      </c>
      <c r="F80" s="51" t="str">
        <f aca="false">IF($A80="","",N($D80)-N($E80))</f>
        <v/>
      </c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customFormat="false" ht="15.75" hidden="false" customHeight="true" outlineLevel="0" collapsed="false">
      <c r="A81" s="28" t="str">
        <f aca="false">IF(案件管理!$A$76:$A$76="","",案件管理!$A$76:$A$76)</f>
        <v/>
      </c>
      <c r="B81" s="10" t="str">
        <f aca="false">IF($A81="","",案件管理!$B$76:$B$76)</f>
        <v/>
      </c>
      <c r="C81" s="10" t="str">
        <f aca="false">IF($A81="","",案件管理!$D$76:$D$76)</f>
        <v/>
      </c>
      <c r="D81" s="30" t="str">
        <f aca="false">IF($A81="","",案件管理!$AE$76:$AE$76)</f>
        <v/>
      </c>
      <c r="E81" s="30" t="str">
        <f aca="false">IF($A81="","",SUM($G81:$AD81))</f>
        <v/>
      </c>
      <c r="F81" s="51" t="str">
        <f aca="false">IF($A81="","",N($D81)-N($E81))</f>
        <v/>
      </c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customFormat="false" ht="15.75" hidden="false" customHeight="true" outlineLevel="0" collapsed="false">
      <c r="A82" s="28" t="str">
        <f aca="false">IF(案件管理!$A$77:$A$77="","",案件管理!$A$77:$A$77)</f>
        <v/>
      </c>
      <c r="B82" s="10" t="str">
        <f aca="false">IF($A82="","",案件管理!$B$77:$B$77)</f>
        <v/>
      </c>
      <c r="C82" s="10" t="str">
        <f aca="false">IF($A82="","",案件管理!$D$77:$D$77)</f>
        <v/>
      </c>
      <c r="D82" s="30" t="str">
        <f aca="false">IF($A82="","",案件管理!$AE$77:$AE$77)</f>
        <v/>
      </c>
      <c r="E82" s="30" t="str">
        <f aca="false">IF($A82="","",SUM($G82:$AD82))</f>
        <v/>
      </c>
      <c r="F82" s="51" t="str">
        <f aca="false">IF($A82="","",N($D82)-N($E82))</f>
        <v/>
      </c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customFormat="false" ht="15.75" hidden="false" customHeight="true" outlineLevel="0" collapsed="false">
      <c r="A83" s="28" t="str">
        <f aca="false">IF(案件管理!$A$78:$A$78="","",案件管理!$A$78:$A$78)</f>
        <v/>
      </c>
      <c r="B83" s="10" t="str">
        <f aca="false">IF($A83="","",案件管理!$B$78:$B$78)</f>
        <v/>
      </c>
      <c r="C83" s="10" t="str">
        <f aca="false">IF($A83="","",案件管理!$D$78:$D$78)</f>
        <v/>
      </c>
      <c r="D83" s="30" t="str">
        <f aca="false">IF($A83="","",案件管理!$AE$78:$AE$78)</f>
        <v/>
      </c>
      <c r="E83" s="30" t="str">
        <f aca="false">IF($A83="","",SUM($G83:$AD83))</f>
        <v/>
      </c>
      <c r="F83" s="51" t="str">
        <f aca="false">IF($A83="","",N($D83)-N($E83))</f>
        <v/>
      </c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customFormat="false" ht="15.75" hidden="false" customHeight="true" outlineLevel="0" collapsed="false">
      <c r="A84" s="28" t="str">
        <f aca="false">IF(案件管理!$A$79:$A$79="","",案件管理!$A$79:$A$79)</f>
        <v/>
      </c>
      <c r="B84" s="10" t="str">
        <f aca="false">IF($A84="","",案件管理!$B$79:$B$79)</f>
        <v/>
      </c>
      <c r="C84" s="10" t="str">
        <f aca="false">IF($A84="","",案件管理!$D$79:$D$79)</f>
        <v/>
      </c>
      <c r="D84" s="30" t="str">
        <f aca="false">IF($A84="","",案件管理!$AE$79:$AE$79)</f>
        <v/>
      </c>
      <c r="E84" s="30" t="str">
        <f aca="false">IF($A84="","",SUM($G84:$AD84))</f>
        <v/>
      </c>
      <c r="F84" s="51" t="str">
        <f aca="false">IF($A84="","",N($D84)-N($E84))</f>
        <v/>
      </c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customFormat="false" ht="15.75" hidden="false" customHeight="true" outlineLevel="0" collapsed="false">
      <c r="A85" s="28" t="str">
        <f aca="false">IF(案件管理!$A$80:$A$80="","",案件管理!$A$80:$A$80)</f>
        <v/>
      </c>
      <c r="B85" s="10" t="str">
        <f aca="false">IF($A85="","",案件管理!$B$80:$B$80)</f>
        <v/>
      </c>
      <c r="C85" s="10" t="str">
        <f aca="false">IF($A85="","",案件管理!$D$80:$D$80)</f>
        <v/>
      </c>
      <c r="D85" s="30" t="str">
        <f aca="false">IF($A85="","",案件管理!$AE$80:$AE$80)</f>
        <v/>
      </c>
      <c r="E85" s="30" t="str">
        <f aca="false">IF($A85="","",SUM($G85:$AD85))</f>
        <v/>
      </c>
      <c r="F85" s="51" t="str">
        <f aca="false">IF($A85="","",N($D85)-N($E85))</f>
        <v/>
      </c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customFormat="false" ht="15.75" hidden="false" customHeight="true" outlineLevel="0" collapsed="false">
      <c r="A86" s="28" t="str">
        <f aca="false">IF(案件管理!$A$81:$A$81="","",案件管理!$A$81:$A$81)</f>
        <v/>
      </c>
      <c r="B86" s="10" t="str">
        <f aca="false">IF($A86="","",案件管理!$B$81:$B$81)</f>
        <v/>
      </c>
      <c r="C86" s="10" t="str">
        <f aca="false">IF($A86="","",案件管理!$D$81:$D$81)</f>
        <v/>
      </c>
      <c r="D86" s="30" t="str">
        <f aca="false">IF($A86="","",案件管理!$AE$81:$AE$81)</f>
        <v/>
      </c>
      <c r="E86" s="30" t="str">
        <f aca="false">IF($A86="","",SUM($G86:$AD86))</f>
        <v/>
      </c>
      <c r="F86" s="51" t="str">
        <f aca="false">IF($A86="","",N($D86)-N($E86))</f>
        <v/>
      </c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customFormat="false" ht="15.75" hidden="false" customHeight="true" outlineLevel="0" collapsed="false">
      <c r="A87" s="28" t="str">
        <f aca="false">IF(案件管理!$A$82:$A$82="","",案件管理!$A$82:$A$82)</f>
        <v/>
      </c>
      <c r="B87" s="10" t="str">
        <f aca="false">IF($A87="","",案件管理!$B$82:$B$82)</f>
        <v/>
      </c>
      <c r="C87" s="10" t="str">
        <f aca="false">IF($A87="","",案件管理!$D$82:$D$82)</f>
        <v/>
      </c>
      <c r="D87" s="30" t="str">
        <f aca="false">IF($A87="","",案件管理!$AE$82:$AE$82)</f>
        <v/>
      </c>
      <c r="E87" s="30" t="str">
        <f aca="false">IF($A87="","",SUM($G87:$AD87))</f>
        <v/>
      </c>
      <c r="F87" s="51" t="str">
        <f aca="false">IF($A87="","",N($D87)-N($E87))</f>
        <v/>
      </c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customFormat="false" ht="15.75" hidden="false" customHeight="true" outlineLevel="0" collapsed="false">
      <c r="A88" s="28" t="str">
        <f aca="false">IF(案件管理!$A$83:$A$83="","",案件管理!$A$83:$A$83)</f>
        <v/>
      </c>
      <c r="B88" s="10" t="str">
        <f aca="false">IF($A88="","",案件管理!$B$83:$B$83)</f>
        <v/>
      </c>
      <c r="C88" s="10" t="str">
        <f aca="false">IF($A88="","",案件管理!$D$83:$D$83)</f>
        <v/>
      </c>
      <c r="D88" s="30" t="str">
        <f aca="false">IF($A88="","",案件管理!$AE$83:$AE$83)</f>
        <v/>
      </c>
      <c r="E88" s="30" t="str">
        <f aca="false">IF($A88="","",SUM($G88:$AD88))</f>
        <v/>
      </c>
      <c r="F88" s="51" t="str">
        <f aca="false">IF($A88="","",N($D88)-N($E88))</f>
        <v/>
      </c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customFormat="false" ht="15.75" hidden="false" customHeight="true" outlineLevel="0" collapsed="false">
      <c r="A89" s="28" t="str">
        <f aca="false">IF(案件管理!$A$84:$A$84="","",案件管理!$A$84:$A$84)</f>
        <v/>
      </c>
      <c r="B89" s="10" t="str">
        <f aca="false">IF($A89="","",案件管理!$B$84:$B$84)</f>
        <v/>
      </c>
      <c r="C89" s="10" t="str">
        <f aca="false">IF($A89="","",案件管理!$D$84:$D$84)</f>
        <v/>
      </c>
      <c r="D89" s="30" t="str">
        <f aca="false">IF($A89="","",案件管理!$AE$84:$AE$84)</f>
        <v/>
      </c>
      <c r="E89" s="30" t="str">
        <f aca="false">IF($A89="","",SUM($G89:$AD89))</f>
        <v/>
      </c>
      <c r="F89" s="51" t="str">
        <f aca="false">IF($A89="","",N($D89)-N($E89))</f>
        <v/>
      </c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customFormat="false" ht="15.75" hidden="false" customHeight="true" outlineLevel="0" collapsed="false">
      <c r="A90" s="28" t="str">
        <f aca="false">IF(案件管理!$A$85:$A$85="","",案件管理!$A$85:$A$85)</f>
        <v/>
      </c>
      <c r="B90" s="10" t="str">
        <f aca="false">IF($A90="","",案件管理!$B$85:$B$85)</f>
        <v/>
      </c>
      <c r="C90" s="10" t="str">
        <f aca="false">IF($A90="","",案件管理!$D$85:$D$85)</f>
        <v/>
      </c>
      <c r="D90" s="30" t="str">
        <f aca="false">IF($A90="","",案件管理!$AE$85:$AE$85)</f>
        <v/>
      </c>
      <c r="E90" s="30" t="str">
        <f aca="false">IF($A90="","",SUM($G90:$AD90))</f>
        <v/>
      </c>
      <c r="F90" s="51" t="str">
        <f aca="false">IF($A90="","",N($D90)-N($E90))</f>
        <v/>
      </c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customFormat="false" ht="15.75" hidden="false" customHeight="true" outlineLevel="0" collapsed="false">
      <c r="A91" s="28" t="str">
        <f aca="false">IF(案件管理!$A$86:$A$86="","",案件管理!$A$86:$A$86)</f>
        <v/>
      </c>
      <c r="B91" s="10" t="str">
        <f aca="false">IF($A91="","",案件管理!$B$86:$B$86)</f>
        <v/>
      </c>
      <c r="C91" s="10" t="str">
        <f aca="false">IF($A91="","",案件管理!$D$86:$D$86)</f>
        <v/>
      </c>
      <c r="D91" s="30" t="str">
        <f aca="false">IF($A91="","",案件管理!$AE$86:$AE$86)</f>
        <v/>
      </c>
      <c r="E91" s="30" t="str">
        <f aca="false">IF($A91="","",SUM($G91:$AD91))</f>
        <v/>
      </c>
      <c r="F91" s="51" t="str">
        <f aca="false">IF($A91="","",N($D91)-N($E91))</f>
        <v/>
      </c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customFormat="false" ht="15.75" hidden="false" customHeight="true" outlineLevel="0" collapsed="false">
      <c r="A92" s="28" t="str">
        <f aca="false">IF(案件管理!$A$87:$A$87="","",案件管理!$A$87:$A$87)</f>
        <v/>
      </c>
      <c r="B92" s="10" t="str">
        <f aca="false">IF($A92="","",案件管理!$B$87:$B$87)</f>
        <v/>
      </c>
      <c r="C92" s="10" t="str">
        <f aca="false">IF($A92="","",案件管理!$D$87:$D$87)</f>
        <v/>
      </c>
      <c r="D92" s="30" t="str">
        <f aca="false">IF($A92="","",案件管理!$AE$87:$AE$87)</f>
        <v/>
      </c>
      <c r="E92" s="30" t="str">
        <f aca="false">IF($A92="","",SUM($G92:$AD92))</f>
        <v/>
      </c>
      <c r="F92" s="51" t="str">
        <f aca="false">IF($A92="","",N($D92)-N($E92))</f>
        <v/>
      </c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customFormat="false" ht="15.75" hidden="false" customHeight="true" outlineLevel="0" collapsed="false">
      <c r="A93" s="28" t="str">
        <f aca="false">IF(案件管理!$A$88:$A$88="","",案件管理!$A$88:$A$88)</f>
        <v/>
      </c>
      <c r="B93" s="10" t="str">
        <f aca="false">IF($A93="","",案件管理!$B$88:$B$88)</f>
        <v/>
      </c>
      <c r="C93" s="10" t="str">
        <f aca="false">IF($A93="","",案件管理!$D$88:$D$88)</f>
        <v/>
      </c>
      <c r="D93" s="30" t="str">
        <f aca="false">IF($A93="","",案件管理!$AE$88:$AE$88)</f>
        <v/>
      </c>
      <c r="E93" s="30" t="str">
        <f aca="false">IF($A93="","",SUM($G93:$AD93))</f>
        <v/>
      </c>
      <c r="F93" s="51" t="str">
        <f aca="false">IF($A93="","",N($D93)-N($E93))</f>
        <v/>
      </c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customFormat="false" ht="15.75" hidden="false" customHeight="true" outlineLevel="0" collapsed="false">
      <c r="A94" s="28" t="str">
        <f aca="false">IF(案件管理!$A$89:$A$89="","",案件管理!$A$89:$A$89)</f>
        <v/>
      </c>
      <c r="B94" s="10" t="str">
        <f aca="false">IF($A94="","",案件管理!$B$89:$B$89)</f>
        <v/>
      </c>
      <c r="C94" s="10" t="str">
        <f aca="false">IF($A94="","",案件管理!$D$89:$D$89)</f>
        <v/>
      </c>
      <c r="D94" s="30" t="str">
        <f aca="false">IF($A94="","",案件管理!$AE$89:$AE$89)</f>
        <v/>
      </c>
      <c r="E94" s="30" t="str">
        <f aca="false">IF($A94="","",SUM($G94:$AD94))</f>
        <v/>
      </c>
      <c r="F94" s="51" t="str">
        <f aca="false">IF($A94="","",N($D94)-N($E94))</f>
        <v/>
      </c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customFormat="false" ht="15.75" hidden="false" customHeight="true" outlineLevel="0" collapsed="false">
      <c r="A95" s="28" t="str">
        <f aca="false">IF(案件管理!$A$90:$A$90="","",案件管理!$A$90:$A$90)</f>
        <v/>
      </c>
      <c r="B95" s="10" t="str">
        <f aca="false">IF($A95="","",案件管理!$B$90:$B$90)</f>
        <v/>
      </c>
      <c r="C95" s="10" t="str">
        <f aca="false">IF($A95="","",案件管理!$D$90:$D$90)</f>
        <v/>
      </c>
      <c r="D95" s="30" t="str">
        <f aca="false">IF($A95="","",案件管理!$AE$90:$AE$90)</f>
        <v/>
      </c>
      <c r="E95" s="30" t="str">
        <f aca="false">IF($A95="","",SUM($G95:$AD95))</f>
        <v/>
      </c>
      <c r="F95" s="51" t="str">
        <f aca="false">IF($A95="","",N($D95)-N($E95))</f>
        <v/>
      </c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customFormat="false" ht="15.75" hidden="false" customHeight="true" outlineLevel="0" collapsed="false">
      <c r="A96" s="28" t="str">
        <f aca="false">IF(案件管理!$A$91:$A$91="","",案件管理!$A$91:$A$91)</f>
        <v/>
      </c>
      <c r="B96" s="10" t="str">
        <f aca="false">IF($A96="","",案件管理!$B$91:$B$91)</f>
        <v/>
      </c>
      <c r="C96" s="10" t="str">
        <f aca="false">IF($A96="","",案件管理!$D$91:$D$91)</f>
        <v/>
      </c>
      <c r="D96" s="30" t="str">
        <f aca="false">IF($A96="","",案件管理!$AE$91:$AE$91)</f>
        <v/>
      </c>
      <c r="E96" s="30" t="str">
        <f aca="false">IF($A96="","",SUM($G96:$AD96))</f>
        <v/>
      </c>
      <c r="F96" s="51" t="str">
        <f aca="false">IF($A96="","",N($D96)-N($E96))</f>
        <v/>
      </c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customFormat="false" ht="15.75" hidden="false" customHeight="true" outlineLevel="0" collapsed="false">
      <c r="A97" s="28" t="str">
        <f aca="false">IF(案件管理!$A$92:$A$92="","",案件管理!$A$92:$A$92)</f>
        <v/>
      </c>
      <c r="B97" s="10" t="str">
        <f aca="false">IF($A97="","",案件管理!$B$92:$B$92)</f>
        <v/>
      </c>
      <c r="C97" s="10" t="str">
        <f aca="false">IF($A97="","",案件管理!$D$92:$D$92)</f>
        <v/>
      </c>
      <c r="D97" s="30" t="str">
        <f aca="false">IF($A97="","",案件管理!$AE$92:$AE$92)</f>
        <v/>
      </c>
      <c r="E97" s="30" t="str">
        <f aca="false">IF($A97="","",SUM($G97:$AD97))</f>
        <v/>
      </c>
      <c r="F97" s="51" t="str">
        <f aca="false">IF($A97="","",N($D97)-N($E97))</f>
        <v/>
      </c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customFormat="false" ht="15.75" hidden="false" customHeight="true" outlineLevel="0" collapsed="false">
      <c r="A98" s="28" t="str">
        <f aca="false">IF(案件管理!$A$93:$A$93="","",案件管理!$A$93:$A$93)</f>
        <v/>
      </c>
      <c r="B98" s="10" t="str">
        <f aca="false">IF($A98="","",案件管理!$B$93:$B$93)</f>
        <v/>
      </c>
      <c r="C98" s="10" t="str">
        <f aca="false">IF($A98="","",案件管理!$D$93:$D$93)</f>
        <v/>
      </c>
      <c r="D98" s="30" t="str">
        <f aca="false">IF($A98="","",案件管理!$AE$93:$AE$93)</f>
        <v/>
      </c>
      <c r="E98" s="30" t="str">
        <f aca="false">IF($A98="","",SUM($G98:$AD98))</f>
        <v/>
      </c>
      <c r="F98" s="51" t="str">
        <f aca="false">IF($A98="","",N($D98)-N($E98))</f>
        <v/>
      </c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customFormat="false" ht="15.75" hidden="false" customHeight="true" outlineLevel="0" collapsed="false">
      <c r="A99" s="28" t="str">
        <f aca="false">IF(案件管理!$A$94:$A$94="","",案件管理!$A$94:$A$94)</f>
        <v/>
      </c>
      <c r="B99" s="10" t="str">
        <f aca="false">IF($A99="","",案件管理!$B$94:$B$94)</f>
        <v/>
      </c>
      <c r="C99" s="10" t="str">
        <f aca="false">IF($A99="","",案件管理!$D$94:$D$94)</f>
        <v/>
      </c>
      <c r="D99" s="30" t="str">
        <f aca="false">IF($A99="","",案件管理!$AE$94:$AE$94)</f>
        <v/>
      </c>
      <c r="E99" s="30" t="str">
        <f aca="false">IF($A99="","",SUM($G99:$AD99))</f>
        <v/>
      </c>
      <c r="F99" s="51" t="str">
        <f aca="false">IF($A99="","",N($D99)-N($E99))</f>
        <v/>
      </c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customFormat="false" ht="15.75" hidden="false" customHeight="true" outlineLevel="0" collapsed="false">
      <c r="A100" s="28" t="str">
        <f aca="false">IF(案件管理!$A$95:$A$95="","",案件管理!$A$95:$A$95)</f>
        <v/>
      </c>
      <c r="B100" s="10" t="str">
        <f aca="false">IF($A100="","",案件管理!$B$95:$B$95)</f>
        <v/>
      </c>
      <c r="C100" s="10" t="str">
        <f aca="false">IF($A100="","",案件管理!$D$95:$D$95)</f>
        <v/>
      </c>
      <c r="D100" s="30" t="str">
        <f aca="false">IF($A100="","",案件管理!$AE$95:$AE$95)</f>
        <v/>
      </c>
      <c r="E100" s="30" t="str">
        <f aca="false">IF($A100="","",SUM($G100:$AD100))</f>
        <v/>
      </c>
      <c r="F100" s="51" t="str">
        <f aca="false">IF($A100="","",N($D100)-N($E100))</f>
        <v/>
      </c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customFormat="false" ht="15.75" hidden="false" customHeight="true" outlineLevel="0" collapsed="false">
      <c r="A101" s="28" t="str">
        <f aca="false">IF(案件管理!$A$96:$A$96="","",案件管理!$A$96:$A$96)</f>
        <v/>
      </c>
      <c r="B101" s="10" t="str">
        <f aca="false">IF($A101="","",案件管理!$B$96:$B$96)</f>
        <v/>
      </c>
      <c r="C101" s="10" t="str">
        <f aca="false">IF($A101="","",案件管理!$D$96:$D$96)</f>
        <v/>
      </c>
      <c r="D101" s="30" t="str">
        <f aca="false">IF($A101="","",案件管理!$AE$96:$AE$96)</f>
        <v/>
      </c>
      <c r="E101" s="30" t="str">
        <f aca="false">IF($A101="","",SUM($G101:$AD101))</f>
        <v/>
      </c>
      <c r="F101" s="51" t="str">
        <f aca="false">IF($A101="","",N($D101)-N($E101))</f>
        <v/>
      </c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customFormat="false" ht="15.75" hidden="false" customHeight="true" outlineLevel="0" collapsed="false">
      <c r="A102" s="28" t="str">
        <f aca="false">IF(案件管理!$A$97:$A$97="","",案件管理!$A$97:$A$97)</f>
        <v/>
      </c>
      <c r="B102" s="10" t="str">
        <f aca="false">IF($A102="","",案件管理!$B$97:$B$97)</f>
        <v/>
      </c>
      <c r="C102" s="10" t="str">
        <f aca="false">IF($A102="","",案件管理!$D$97:$D$97)</f>
        <v/>
      </c>
      <c r="D102" s="30" t="str">
        <f aca="false">IF($A102="","",案件管理!$AE$97:$AE$97)</f>
        <v/>
      </c>
      <c r="E102" s="30" t="str">
        <f aca="false">IF($A102="","",SUM($G102:$AD102))</f>
        <v/>
      </c>
      <c r="F102" s="51" t="str">
        <f aca="false">IF($A102="","",N($D102)-N($E102))</f>
        <v/>
      </c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customFormat="false" ht="15.75" hidden="false" customHeight="true" outlineLevel="0" collapsed="false">
      <c r="A103" s="28" t="str">
        <f aca="false">IF(案件管理!$A$98:$A$98="","",案件管理!$A$98:$A$98)</f>
        <v/>
      </c>
      <c r="B103" s="10" t="str">
        <f aca="false">IF($A103="","",案件管理!$B$98:$B$98)</f>
        <v/>
      </c>
      <c r="C103" s="10" t="str">
        <f aca="false">IF($A103="","",案件管理!$D$98:$D$98)</f>
        <v/>
      </c>
      <c r="D103" s="30" t="str">
        <f aca="false">IF($A103="","",案件管理!$AE$98:$AE$98)</f>
        <v/>
      </c>
      <c r="E103" s="30" t="str">
        <f aca="false">IF($A103="","",SUM($G103:$AD103))</f>
        <v/>
      </c>
      <c r="F103" s="51" t="str">
        <f aca="false">IF($A103="","",N($D103)-N($E103))</f>
        <v/>
      </c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customFormat="false" ht="15.75" hidden="false" customHeight="true" outlineLevel="0" collapsed="false">
      <c r="A104" s="28" t="str">
        <f aca="false">IF(案件管理!$A$99:$A$99="","",案件管理!$A$99:$A$99)</f>
        <v/>
      </c>
      <c r="B104" s="10" t="str">
        <f aca="false">IF($A104="","",案件管理!$B$99:$B$99)</f>
        <v/>
      </c>
      <c r="C104" s="10" t="str">
        <f aca="false">IF($A104="","",案件管理!$D$99:$D$99)</f>
        <v/>
      </c>
      <c r="D104" s="30" t="str">
        <f aca="false">IF($A104="","",案件管理!$AE$99:$AE$99)</f>
        <v/>
      </c>
      <c r="E104" s="30" t="str">
        <f aca="false">IF($A104="","",SUM($G104:$AD104))</f>
        <v/>
      </c>
      <c r="F104" s="51" t="str">
        <f aca="false">IF($A104="","",N($D104)-N($E104))</f>
        <v/>
      </c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customFormat="false" ht="15.75" hidden="false" customHeight="true" outlineLevel="0" collapsed="false">
      <c r="A105" s="28" t="str">
        <f aca="false">IF(案件管理!$A$100:$A$100="","",案件管理!$A$100:$A$100)</f>
        <v/>
      </c>
      <c r="B105" s="10" t="str">
        <f aca="false">IF($A105="","",案件管理!$B$100:$B$100)</f>
        <v/>
      </c>
      <c r="C105" s="10" t="str">
        <f aca="false">IF($A105="","",案件管理!$D$100:$D$100)</f>
        <v/>
      </c>
      <c r="D105" s="30" t="str">
        <f aca="false">IF($A105="","",案件管理!$AE$100:$AE$100)</f>
        <v/>
      </c>
      <c r="E105" s="30" t="str">
        <f aca="false">IF($A105="","",SUM($G105:$AD105))</f>
        <v/>
      </c>
      <c r="F105" s="51" t="str">
        <f aca="false">IF($A105="","",N($D105)-N($E105))</f>
        <v/>
      </c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customFormat="false" ht="15.75" hidden="false" customHeight="true" outlineLevel="0" collapsed="false">
      <c r="A106" s="28" t="str">
        <f aca="false">IF(案件管理!$A$101:$A$101="","",案件管理!$A$101:$A$101)</f>
        <v/>
      </c>
      <c r="B106" s="10" t="str">
        <f aca="false">IF($A106="","",案件管理!$B$101:$B$101)</f>
        <v/>
      </c>
      <c r="C106" s="10" t="str">
        <f aca="false">IF($A106="","",案件管理!$D$101:$D$101)</f>
        <v/>
      </c>
      <c r="D106" s="30" t="str">
        <f aca="false">IF($A106="","",案件管理!$AE$101:$AE$101)</f>
        <v/>
      </c>
      <c r="E106" s="30" t="str">
        <f aca="false">IF($A106="","",SUM($G106:$AD106))</f>
        <v/>
      </c>
      <c r="F106" s="51" t="str">
        <f aca="false">IF($A106="","",N($D106)-N($E106))</f>
        <v/>
      </c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customFormat="false" ht="15.75" hidden="false" customHeight="true" outlineLevel="0" collapsed="false">
      <c r="A107" s="28" t="str">
        <f aca="false">IF(案件管理!$A$102:$A$102="","",案件管理!$A$102:$A$102)</f>
        <v/>
      </c>
      <c r="B107" s="10" t="str">
        <f aca="false">IF($A107="","",案件管理!$B$102:$B$102)</f>
        <v/>
      </c>
      <c r="C107" s="10" t="str">
        <f aca="false">IF($A107="","",案件管理!$D$102:$D$102)</f>
        <v/>
      </c>
      <c r="D107" s="30" t="str">
        <f aca="false">IF($A107="","",案件管理!$AE$102:$AE$102)</f>
        <v/>
      </c>
      <c r="E107" s="30" t="str">
        <f aca="false">IF($A107="","",SUM($G107:$AD107))</f>
        <v/>
      </c>
      <c r="F107" s="51" t="str">
        <f aca="false">IF($A107="","",N($D107)-N($E107))</f>
        <v/>
      </c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customFormat="false" ht="15.75" hidden="false" customHeight="true" outlineLevel="0" collapsed="false">
      <c r="A108" s="28" t="str">
        <f aca="false">IF(案件管理!$A$103:$A$103="","",案件管理!$A$103:$A$103)</f>
        <v/>
      </c>
      <c r="B108" s="10" t="str">
        <f aca="false">IF($A108="","",案件管理!$B$103:$B$103)</f>
        <v/>
      </c>
      <c r="C108" s="10" t="str">
        <f aca="false">IF($A108="","",案件管理!$D$103:$D$103)</f>
        <v/>
      </c>
      <c r="D108" s="30" t="str">
        <f aca="false">IF($A108="","",案件管理!$AE$103:$AE$103)</f>
        <v/>
      </c>
      <c r="E108" s="30" t="str">
        <f aca="false">IF($A108="","",SUM($G108:$AD108))</f>
        <v/>
      </c>
      <c r="F108" s="51" t="str">
        <f aca="false">IF($A108="","",N($D108)-N($E108))</f>
        <v/>
      </c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customFormat="false" ht="15.75" hidden="false" customHeight="true" outlineLevel="0" collapsed="false">
      <c r="A109" s="28" t="str">
        <f aca="false">IF(案件管理!$A$104:$A$104="","",案件管理!$A$104:$A$104)</f>
        <v/>
      </c>
      <c r="B109" s="10" t="str">
        <f aca="false">IF($A109="","",案件管理!$B$104:$B$104)</f>
        <v/>
      </c>
      <c r="C109" s="10" t="str">
        <f aca="false">IF($A109="","",案件管理!$D$104:$D$104)</f>
        <v/>
      </c>
      <c r="D109" s="30" t="str">
        <f aca="false">IF($A109="","",案件管理!$AE$104:$AE$104)</f>
        <v/>
      </c>
      <c r="E109" s="30" t="str">
        <f aca="false">IF($A109="","",SUM($G109:$AD109))</f>
        <v/>
      </c>
      <c r="F109" s="51" t="str">
        <f aca="false">IF($A109="","",N($D109)-N($E109))</f>
        <v/>
      </c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customFormat="false" ht="15.75" hidden="false" customHeight="true" outlineLevel="0" collapsed="false">
      <c r="A110" s="28" t="str">
        <f aca="false">IF(案件管理!$A$105:$A$105="","",案件管理!$A$105:$A$105)</f>
        <v/>
      </c>
      <c r="B110" s="10" t="str">
        <f aca="false">IF($A110="","",案件管理!$B$105:$B$105)</f>
        <v/>
      </c>
      <c r="C110" s="10" t="str">
        <f aca="false">IF($A110="","",案件管理!$D$105:$D$105)</f>
        <v/>
      </c>
      <c r="D110" s="30" t="str">
        <f aca="false">IF($A110="","",案件管理!$AE$105:$AE$105)</f>
        <v/>
      </c>
      <c r="E110" s="30" t="str">
        <f aca="false">IF($A110="","",SUM($G110:$AD110))</f>
        <v/>
      </c>
      <c r="F110" s="51" t="str">
        <f aca="false">IF($A110="","",N($D110)-N($E110))</f>
        <v/>
      </c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customFormat="false" ht="15.75" hidden="false" customHeight="true" outlineLevel="0" collapsed="false">
      <c r="A111" s="28" t="str">
        <f aca="false">IF(案件管理!$A$106:$A$106="","",案件管理!$A$106:$A$106)</f>
        <v/>
      </c>
      <c r="B111" s="10" t="str">
        <f aca="false">IF($A111="","",案件管理!$B$106:$B$106)</f>
        <v/>
      </c>
      <c r="C111" s="10" t="str">
        <f aca="false">IF($A111="","",案件管理!$D$106:$D$106)</f>
        <v/>
      </c>
      <c r="D111" s="30" t="str">
        <f aca="false">IF($A111="","",案件管理!$AE$106:$AE$106)</f>
        <v/>
      </c>
      <c r="E111" s="30" t="str">
        <f aca="false">IF($A111="","",SUM($G111:$AD111))</f>
        <v/>
      </c>
      <c r="F111" s="51" t="str">
        <f aca="false">IF($A111="","",N($D111)-N($E111))</f>
        <v/>
      </c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customFormat="false" ht="15.75" hidden="false" customHeight="true" outlineLevel="0" collapsed="false">
      <c r="A112" s="28" t="str">
        <f aca="false">IF(案件管理!$A$107:$A$107="","",案件管理!$A$107:$A$107)</f>
        <v/>
      </c>
      <c r="B112" s="10" t="str">
        <f aca="false">IF($A112="","",案件管理!$B$107:$B$107)</f>
        <v/>
      </c>
      <c r="C112" s="10" t="str">
        <f aca="false">IF($A112="","",案件管理!$D$107:$D$107)</f>
        <v/>
      </c>
      <c r="D112" s="30" t="str">
        <f aca="false">IF($A112="","",案件管理!$AE$107:$AE$107)</f>
        <v/>
      </c>
      <c r="E112" s="30" t="str">
        <f aca="false">IF($A112="","",SUM($G112:$AD112))</f>
        <v/>
      </c>
      <c r="F112" s="51" t="str">
        <f aca="false">IF($A112="","",N($D112)-N($E112))</f>
        <v/>
      </c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customFormat="false" ht="15.75" hidden="false" customHeight="true" outlineLevel="0" collapsed="false">
      <c r="A113" s="28" t="str">
        <f aca="false">IF(案件管理!$A$108:$A$108="","",案件管理!$A$108:$A$108)</f>
        <v/>
      </c>
      <c r="B113" s="10" t="str">
        <f aca="false">IF($A113="","",案件管理!$B$108:$B$108)</f>
        <v/>
      </c>
      <c r="C113" s="10" t="str">
        <f aca="false">IF($A113="","",案件管理!$D$108:$D$108)</f>
        <v/>
      </c>
      <c r="D113" s="30" t="str">
        <f aca="false">IF($A113="","",案件管理!$AE$108:$AE$108)</f>
        <v/>
      </c>
      <c r="E113" s="30" t="str">
        <f aca="false">IF($A113="","",SUM($G113:$AD113))</f>
        <v/>
      </c>
      <c r="F113" s="51" t="str">
        <f aca="false">IF($A113="","",N($D113)-N($E113))</f>
        <v/>
      </c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customFormat="false" ht="15.75" hidden="false" customHeight="true" outlineLevel="0" collapsed="false">
      <c r="A114" s="28" t="str">
        <f aca="false">IF(案件管理!$A$109:$A$109="","",案件管理!$A$109:$A$109)</f>
        <v/>
      </c>
      <c r="B114" s="10" t="str">
        <f aca="false">IF($A114="","",案件管理!$B$109:$B$109)</f>
        <v/>
      </c>
      <c r="C114" s="10" t="str">
        <f aca="false">IF($A114="","",案件管理!$D$109:$D$109)</f>
        <v/>
      </c>
      <c r="D114" s="30" t="str">
        <f aca="false">IF($A114="","",案件管理!$AE$109:$AE$109)</f>
        <v/>
      </c>
      <c r="E114" s="30" t="str">
        <f aca="false">IF($A114="","",SUM($G114:$AD114))</f>
        <v/>
      </c>
      <c r="F114" s="51" t="str">
        <f aca="false">IF($A114="","",N($D114)-N($E114))</f>
        <v/>
      </c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customFormat="false" ht="15.75" hidden="false" customHeight="true" outlineLevel="0" collapsed="false">
      <c r="A115" s="28" t="str">
        <f aca="false">IF(案件管理!$A$110:$A$110="","",案件管理!$A$110:$A$110)</f>
        <v/>
      </c>
      <c r="B115" s="10" t="str">
        <f aca="false">IF($A115="","",案件管理!$B$110:$B$110)</f>
        <v/>
      </c>
      <c r="C115" s="10" t="str">
        <f aca="false">IF($A115="","",案件管理!$D$110:$D$110)</f>
        <v/>
      </c>
      <c r="D115" s="30" t="str">
        <f aca="false">IF($A115="","",案件管理!$AE$110:$AE$110)</f>
        <v/>
      </c>
      <c r="E115" s="30" t="str">
        <f aca="false">IF($A115="","",SUM($G115:$AD115))</f>
        <v/>
      </c>
      <c r="F115" s="51" t="str">
        <f aca="false">IF($A115="","",N($D115)-N($E115))</f>
        <v/>
      </c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customFormat="false" ht="15.75" hidden="false" customHeight="true" outlineLevel="0" collapsed="false">
      <c r="A116" s="28" t="str">
        <f aca="false">IF(案件管理!$A$111:$A$111="","",案件管理!$A$111:$A$111)</f>
        <v/>
      </c>
      <c r="B116" s="10" t="str">
        <f aca="false">IF($A116="","",案件管理!$B$111:$B$111)</f>
        <v/>
      </c>
      <c r="C116" s="10" t="str">
        <f aca="false">IF($A116="","",案件管理!$D$111:$D$111)</f>
        <v/>
      </c>
      <c r="D116" s="30" t="str">
        <f aca="false">IF($A116="","",案件管理!$AE$111:$AE$111)</f>
        <v/>
      </c>
      <c r="E116" s="30" t="str">
        <f aca="false">IF($A116="","",SUM($G116:$AD116))</f>
        <v/>
      </c>
      <c r="F116" s="51" t="str">
        <f aca="false">IF($A116="","",N($D116)-N($E116))</f>
        <v/>
      </c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customFormat="false" ht="15.75" hidden="false" customHeight="true" outlineLevel="0" collapsed="false">
      <c r="A117" s="28" t="str">
        <f aca="false">IF(案件管理!$A$112:$A$112="","",案件管理!$A$112:$A$112)</f>
        <v/>
      </c>
      <c r="B117" s="10" t="str">
        <f aca="false">IF($A117="","",案件管理!$B$112:$B$112)</f>
        <v/>
      </c>
      <c r="C117" s="10" t="str">
        <f aca="false">IF($A117="","",案件管理!$D$112:$D$112)</f>
        <v/>
      </c>
      <c r="D117" s="30" t="str">
        <f aca="false">IF($A117="","",案件管理!$AE$112:$AE$112)</f>
        <v/>
      </c>
      <c r="E117" s="30" t="str">
        <f aca="false">IF($A117="","",SUM($G117:$AD117))</f>
        <v/>
      </c>
      <c r="F117" s="51" t="str">
        <f aca="false">IF($A117="","",N($D117)-N($E117))</f>
        <v/>
      </c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customFormat="false" ht="15.75" hidden="false" customHeight="true" outlineLevel="0" collapsed="false">
      <c r="A118" s="28" t="str">
        <f aca="false">IF(案件管理!$A$113:$A$113="","",案件管理!$A$113:$A$113)</f>
        <v/>
      </c>
      <c r="B118" s="10" t="str">
        <f aca="false">IF($A118="","",案件管理!$B$113:$B$113)</f>
        <v/>
      </c>
      <c r="C118" s="10" t="str">
        <f aca="false">IF($A118="","",案件管理!$D$113:$D$113)</f>
        <v/>
      </c>
      <c r="D118" s="30" t="str">
        <f aca="false">IF($A118="","",案件管理!$AE$113:$AE$113)</f>
        <v/>
      </c>
      <c r="E118" s="30" t="str">
        <f aca="false">IF($A118="","",SUM($G118:$AD118))</f>
        <v/>
      </c>
      <c r="F118" s="51" t="str">
        <f aca="false">IF($A118="","",N($D118)-N($E118))</f>
        <v/>
      </c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customFormat="false" ht="15.75" hidden="false" customHeight="true" outlineLevel="0" collapsed="false">
      <c r="A119" s="28" t="str">
        <f aca="false">IF(案件管理!$A$114:$A$114="","",案件管理!$A$114:$A$114)</f>
        <v/>
      </c>
      <c r="B119" s="10" t="str">
        <f aca="false">IF($A119="","",案件管理!$B$114:$B$114)</f>
        <v/>
      </c>
      <c r="C119" s="10" t="str">
        <f aca="false">IF($A119="","",案件管理!$D$114:$D$114)</f>
        <v/>
      </c>
      <c r="D119" s="30" t="str">
        <f aca="false">IF($A119="","",案件管理!$AE$114:$AE$114)</f>
        <v/>
      </c>
      <c r="E119" s="30" t="str">
        <f aca="false">IF($A119="","",SUM($G119:$AD119))</f>
        <v/>
      </c>
      <c r="F119" s="51" t="str">
        <f aca="false">IF($A119="","",N($D119)-N($E119))</f>
        <v/>
      </c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customFormat="false" ht="15.75" hidden="false" customHeight="true" outlineLevel="0" collapsed="false">
      <c r="A120" s="28" t="str">
        <f aca="false">IF(案件管理!$A$115:$A$115="","",案件管理!$A$115:$A$115)</f>
        <v/>
      </c>
      <c r="B120" s="10" t="str">
        <f aca="false">IF($A120="","",案件管理!$B$115:$B$115)</f>
        <v/>
      </c>
      <c r="C120" s="10" t="str">
        <f aca="false">IF($A120="","",案件管理!$D$115:$D$115)</f>
        <v/>
      </c>
      <c r="D120" s="30" t="str">
        <f aca="false">IF($A120="","",案件管理!$AE$115:$AE$115)</f>
        <v/>
      </c>
      <c r="E120" s="30" t="str">
        <f aca="false">IF($A120="","",SUM($G120:$AD120))</f>
        <v/>
      </c>
      <c r="F120" s="51" t="str">
        <f aca="false">IF($A120="","",N($D120)-N($E120))</f>
        <v/>
      </c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customFormat="false" ht="15.75" hidden="false" customHeight="true" outlineLevel="0" collapsed="false">
      <c r="A121" s="28" t="str">
        <f aca="false">IF(案件管理!$A$116:$A$116="","",案件管理!$A$116:$A$116)</f>
        <v/>
      </c>
      <c r="B121" s="10" t="str">
        <f aca="false">IF($A121="","",案件管理!$B$116:$B$116)</f>
        <v/>
      </c>
      <c r="C121" s="10" t="str">
        <f aca="false">IF($A121="","",案件管理!$D$116:$D$116)</f>
        <v/>
      </c>
      <c r="D121" s="30" t="str">
        <f aca="false">IF($A121="","",案件管理!$AE$116:$AE$116)</f>
        <v/>
      </c>
      <c r="E121" s="30" t="str">
        <f aca="false">IF($A121="","",SUM($G121:$AD121))</f>
        <v/>
      </c>
      <c r="F121" s="51" t="str">
        <f aca="false">IF($A121="","",N($D121)-N($E121))</f>
        <v/>
      </c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customFormat="false" ht="15.75" hidden="false" customHeight="true" outlineLevel="0" collapsed="false">
      <c r="A122" s="28" t="str">
        <f aca="false">IF(案件管理!$A$117:$A$117="","",案件管理!$A$117:$A$117)</f>
        <v/>
      </c>
      <c r="B122" s="10" t="str">
        <f aca="false">IF($A122="","",案件管理!$B$117:$B$117)</f>
        <v/>
      </c>
      <c r="C122" s="10" t="str">
        <f aca="false">IF($A122="","",案件管理!$D$117:$D$117)</f>
        <v/>
      </c>
      <c r="D122" s="30" t="str">
        <f aca="false">IF($A122="","",案件管理!$AE$117:$AE$117)</f>
        <v/>
      </c>
      <c r="E122" s="30" t="str">
        <f aca="false">IF($A122="","",SUM($G122:$AD122))</f>
        <v/>
      </c>
      <c r="F122" s="51" t="str">
        <f aca="false">IF($A122="","",N($D122)-N($E122))</f>
        <v/>
      </c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customFormat="false" ht="15.75" hidden="false" customHeight="true" outlineLevel="0" collapsed="false">
      <c r="A123" s="28" t="str">
        <f aca="false">IF(案件管理!$A$118:$A$118="","",案件管理!$A$118:$A$118)</f>
        <v/>
      </c>
      <c r="B123" s="10" t="str">
        <f aca="false">IF($A123="","",案件管理!$B$118:$B$118)</f>
        <v/>
      </c>
      <c r="C123" s="10" t="str">
        <f aca="false">IF($A123="","",案件管理!$D$118:$D$118)</f>
        <v/>
      </c>
      <c r="D123" s="30" t="str">
        <f aca="false">IF($A123="","",案件管理!$AE$118:$AE$118)</f>
        <v/>
      </c>
      <c r="E123" s="30" t="str">
        <f aca="false">IF($A123="","",SUM($G123:$AD123))</f>
        <v/>
      </c>
      <c r="F123" s="51" t="str">
        <f aca="false">IF($A123="","",N($D123)-N($E123))</f>
        <v/>
      </c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customFormat="false" ht="15.75" hidden="false" customHeight="true" outlineLevel="0" collapsed="false">
      <c r="A124" s="28" t="str">
        <f aca="false">IF(案件管理!$A$119:$A$119="","",案件管理!$A$119:$A$119)</f>
        <v/>
      </c>
      <c r="B124" s="10" t="str">
        <f aca="false">IF($A124="","",案件管理!$B$119:$B$119)</f>
        <v/>
      </c>
      <c r="C124" s="10" t="str">
        <f aca="false">IF($A124="","",案件管理!$D$119:$D$119)</f>
        <v/>
      </c>
      <c r="D124" s="30" t="str">
        <f aca="false">IF($A124="","",案件管理!$AE$119:$AE$119)</f>
        <v/>
      </c>
      <c r="E124" s="30" t="str">
        <f aca="false">IF($A124="","",SUM($G124:$AD124))</f>
        <v/>
      </c>
      <c r="F124" s="51" t="str">
        <f aca="false">IF($A124="","",N($D124)-N($E124))</f>
        <v/>
      </c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customFormat="false" ht="15.75" hidden="false" customHeight="true" outlineLevel="0" collapsed="false">
      <c r="A125" s="28" t="str">
        <f aca="false">IF(案件管理!$A$120:$A$120="","",案件管理!$A$120:$A$120)</f>
        <v/>
      </c>
      <c r="B125" s="10" t="str">
        <f aca="false">IF($A125="","",案件管理!$B$120:$B$120)</f>
        <v/>
      </c>
      <c r="C125" s="10" t="str">
        <f aca="false">IF($A125="","",案件管理!$D$120:$D$120)</f>
        <v/>
      </c>
      <c r="D125" s="30" t="str">
        <f aca="false">IF($A125="","",案件管理!$AE$120:$AE$120)</f>
        <v/>
      </c>
      <c r="E125" s="30" t="str">
        <f aca="false">IF($A125="","",SUM($G125:$AD125))</f>
        <v/>
      </c>
      <c r="F125" s="51" t="str">
        <f aca="false">IF($A125="","",N($D125)-N($E125))</f>
        <v/>
      </c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customFormat="false" ht="15.75" hidden="false" customHeight="true" outlineLevel="0" collapsed="false">
      <c r="A126" s="28" t="str">
        <f aca="false">IF(案件管理!$A$121:$A$121="","",案件管理!$A$121:$A$121)</f>
        <v/>
      </c>
      <c r="B126" s="10" t="str">
        <f aca="false">IF($A126="","",案件管理!$B$121:$B$121)</f>
        <v/>
      </c>
      <c r="C126" s="10" t="str">
        <f aca="false">IF($A126="","",案件管理!$D$121:$D$121)</f>
        <v/>
      </c>
      <c r="D126" s="30" t="str">
        <f aca="false">IF($A126="","",案件管理!$AE$121:$AE$121)</f>
        <v/>
      </c>
      <c r="E126" s="30" t="str">
        <f aca="false">IF($A126="","",SUM($G126:$AD126))</f>
        <v/>
      </c>
      <c r="F126" s="51" t="str">
        <f aca="false">IF($A126="","",N($D126)-N($E126))</f>
        <v/>
      </c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customFormat="false" ht="15.75" hidden="false" customHeight="true" outlineLevel="0" collapsed="false">
      <c r="A127" s="28" t="str">
        <f aca="false">IF(案件管理!$A$122:$A$122="","",案件管理!$A$122:$A$122)</f>
        <v/>
      </c>
      <c r="B127" s="10" t="str">
        <f aca="false">IF($A127="","",案件管理!$B$122:$B$122)</f>
        <v/>
      </c>
      <c r="C127" s="10" t="str">
        <f aca="false">IF($A127="","",案件管理!$D$122:$D$122)</f>
        <v/>
      </c>
      <c r="D127" s="30" t="str">
        <f aca="false">IF($A127="","",案件管理!$AE$122:$AE$122)</f>
        <v/>
      </c>
      <c r="E127" s="30" t="str">
        <f aca="false">IF($A127="","",SUM($G127:$AD127))</f>
        <v/>
      </c>
      <c r="F127" s="51" t="str">
        <f aca="false">IF($A127="","",N($D127)-N($E127))</f>
        <v/>
      </c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customFormat="false" ht="15.75" hidden="false" customHeight="true" outlineLevel="0" collapsed="false">
      <c r="A128" s="28" t="str">
        <f aca="false">IF(案件管理!$A$123:$A$123="","",案件管理!$A$123:$A$123)</f>
        <v/>
      </c>
      <c r="B128" s="10" t="str">
        <f aca="false">IF($A128="","",案件管理!$B$123:$B$123)</f>
        <v/>
      </c>
      <c r="C128" s="10" t="str">
        <f aca="false">IF($A128="","",案件管理!$D$123:$D$123)</f>
        <v/>
      </c>
      <c r="D128" s="30" t="str">
        <f aca="false">IF($A128="","",案件管理!$AE$123:$AE$123)</f>
        <v/>
      </c>
      <c r="E128" s="30" t="str">
        <f aca="false">IF($A128="","",SUM($G128:$AD128))</f>
        <v/>
      </c>
      <c r="F128" s="51" t="str">
        <f aca="false">IF($A128="","",N($D128)-N($E128))</f>
        <v/>
      </c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customFormat="false" ht="15.75" hidden="false" customHeight="true" outlineLevel="0" collapsed="false">
      <c r="A129" s="28" t="str">
        <f aca="false">IF(案件管理!$A$124:$A$124="","",案件管理!$A$124:$A$124)</f>
        <v/>
      </c>
      <c r="B129" s="10" t="str">
        <f aca="false">IF($A129="","",案件管理!$B$124:$B$124)</f>
        <v/>
      </c>
      <c r="C129" s="10" t="str">
        <f aca="false">IF($A129="","",案件管理!$D$124:$D$124)</f>
        <v/>
      </c>
      <c r="D129" s="30" t="str">
        <f aca="false">IF($A129="","",案件管理!$AE$124:$AE$124)</f>
        <v/>
      </c>
      <c r="E129" s="30" t="str">
        <f aca="false">IF($A129="","",SUM($G129:$AD129))</f>
        <v/>
      </c>
      <c r="F129" s="51" t="str">
        <f aca="false">IF($A129="","",N($D129)-N($E129))</f>
        <v/>
      </c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customFormat="false" ht="15.75" hidden="false" customHeight="true" outlineLevel="0" collapsed="false">
      <c r="A130" s="28" t="str">
        <f aca="false">IF(案件管理!$A$125:$A$125="","",案件管理!$A$125:$A$125)</f>
        <v/>
      </c>
      <c r="B130" s="10" t="str">
        <f aca="false">IF($A130="","",案件管理!$B$125:$B$125)</f>
        <v/>
      </c>
      <c r="C130" s="10" t="str">
        <f aca="false">IF($A130="","",案件管理!$D$125:$D$125)</f>
        <v/>
      </c>
      <c r="D130" s="30" t="str">
        <f aca="false">IF($A130="","",案件管理!$AE$125:$AE$125)</f>
        <v/>
      </c>
      <c r="E130" s="30" t="str">
        <f aca="false">IF($A130="","",SUM($G130:$AD130))</f>
        <v/>
      </c>
      <c r="F130" s="51" t="str">
        <f aca="false">IF($A130="","",N($D130)-N($E130))</f>
        <v/>
      </c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customFormat="false" ht="15.75" hidden="false" customHeight="true" outlineLevel="0" collapsed="false">
      <c r="A131" s="28" t="str">
        <f aca="false">IF(案件管理!$A$126:$A$126="","",案件管理!$A$126:$A$126)</f>
        <v/>
      </c>
      <c r="B131" s="10" t="str">
        <f aca="false">IF($A131="","",案件管理!$B$126:$B$126)</f>
        <v/>
      </c>
      <c r="C131" s="10" t="str">
        <f aca="false">IF($A131="","",案件管理!$D$126:$D$126)</f>
        <v/>
      </c>
      <c r="D131" s="30" t="str">
        <f aca="false">IF($A131="","",案件管理!$AE$126:$AE$126)</f>
        <v/>
      </c>
      <c r="E131" s="30" t="str">
        <f aca="false">IF($A131="","",SUM($G131:$AD131))</f>
        <v/>
      </c>
      <c r="F131" s="51" t="str">
        <f aca="false">IF($A131="","",N($D131)-N($E131))</f>
        <v/>
      </c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customFormat="false" ht="15.75" hidden="false" customHeight="true" outlineLevel="0" collapsed="false">
      <c r="A132" s="28" t="str">
        <f aca="false">IF(案件管理!$A$127:$A$127="","",案件管理!$A$127:$A$127)</f>
        <v/>
      </c>
      <c r="B132" s="10" t="str">
        <f aca="false">IF($A132="","",案件管理!$B$127:$B$127)</f>
        <v/>
      </c>
      <c r="C132" s="10" t="str">
        <f aca="false">IF($A132="","",案件管理!$D$127:$D$127)</f>
        <v/>
      </c>
      <c r="D132" s="30" t="str">
        <f aca="false">IF($A132="","",案件管理!$AE$127:$AE$127)</f>
        <v/>
      </c>
      <c r="E132" s="30" t="str">
        <f aca="false">IF($A132="","",SUM($G132:$AD132))</f>
        <v/>
      </c>
      <c r="F132" s="51" t="str">
        <f aca="false">IF($A132="","",N($D132)-N($E132))</f>
        <v/>
      </c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customFormat="false" ht="15.75" hidden="false" customHeight="true" outlineLevel="0" collapsed="false">
      <c r="A133" s="28" t="str">
        <f aca="false">IF(案件管理!$A$128:$A$128="","",案件管理!$A$128:$A$128)</f>
        <v/>
      </c>
      <c r="B133" s="10" t="str">
        <f aca="false">IF($A133="","",案件管理!$B$128:$B$128)</f>
        <v/>
      </c>
      <c r="C133" s="10" t="str">
        <f aca="false">IF($A133="","",案件管理!$D$128:$D$128)</f>
        <v/>
      </c>
      <c r="D133" s="30" t="str">
        <f aca="false">IF($A133="","",案件管理!$AE$128:$AE$128)</f>
        <v/>
      </c>
      <c r="E133" s="30" t="str">
        <f aca="false">IF($A133="","",SUM($G133:$AD133))</f>
        <v/>
      </c>
      <c r="F133" s="51" t="str">
        <f aca="false">IF($A133="","",N($D133)-N($E133))</f>
        <v/>
      </c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customFormat="false" ht="15.75" hidden="false" customHeight="true" outlineLevel="0" collapsed="false">
      <c r="A134" s="28" t="str">
        <f aca="false">IF(案件管理!$A$129:$A$129="","",案件管理!$A$129:$A$129)</f>
        <v/>
      </c>
      <c r="B134" s="10" t="str">
        <f aca="false">IF($A134="","",案件管理!$B$129:$B$129)</f>
        <v/>
      </c>
      <c r="C134" s="10" t="str">
        <f aca="false">IF($A134="","",案件管理!$D$129:$D$129)</f>
        <v/>
      </c>
      <c r="D134" s="30" t="str">
        <f aca="false">IF($A134="","",案件管理!$AE$129:$AE$129)</f>
        <v/>
      </c>
      <c r="E134" s="30" t="str">
        <f aca="false">IF($A134="","",SUM($G134:$AD134))</f>
        <v/>
      </c>
      <c r="F134" s="51" t="str">
        <f aca="false">IF($A134="","",N($D134)-N($E134))</f>
        <v/>
      </c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customFormat="false" ht="15.75" hidden="false" customHeight="true" outlineLevel="0" collapsed="false">
      <c r="A135" s="28" t="str">
        <f aca="false">IF(案件管理!$A$130:$A$130="","",案件管理!$A$130:$A$130)</f>
        <v/>
      </c>
      <c r="B135" s="10" t="str">
        <f aca="false">IF($A135="","",案件管理!$B$130:$B$130)</f>
        <v/>
      </c>
      <c r="C135" s="10" t="str">
        <f aca="false">IF($A135="","",案件管理!$D$130:$D$130)</f>
        <v/>
      </c>
      <c r="D135" s="30" t="str">
        <f aca="false">IF($A135="","",案件管理!$AE$130:$AE$130)</f>
        <v/>
      </c>
      <c r="E135" s="30" t="str">
        <f aca="false">IF($A135="","",SUM($G135:$AD135))</f>
        <v/>
      </c>
      <c r="F135" s="51" t="str">
        <f aca="false">IF($A135="","",N($D135)-N($E135))</f>
        <v/>
      </c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customFormat="false" ht="15.75" hidden="false" customHeight="true" outlineLevel="0" collapsed="false">
      <c r="A136" s="28" t="str">
        <f aca="false">IF(案件管理!$A$131:$A$131="","",案件管理!$A$131:$A$131)</f>
        <v/>
      </c>
      <c r="B136" s="10" t="str">
        <f aca="false">IF($A136="","",案件管理!$B$131:$B$131)</f>
        <v/>
      </c>
      <c r="C136" s="10" t="str">
        <f aca="false">IF($A136="","",案件管理!$D$131:$D$131)</f>
        <v/>
      </c>
      <c r="D136" s="30" t="str">
        <f aca="false">IF($A136="","",案件管理!$AE$131:$AE$131)</f>
        <v/>
      </c>
      <c r="E136" s="30" t="str">
        <f aca="false">IF($A136="","",SUM($G136:$AD136))</f>
        <v/>
      </c>
      <c r="F136" s="51" t="str">
        <f aca="false">IF($A136="","",N($D136)-N($E136))</f>
        <v/>
      </c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customFormat="false" ht="15.75" hidden="false" customHeight="true" outlineLevel="0" collapsed="false">
      <c r="A137" s="28" t="str">
        <f aca="false">IF(案件管理!$A$132:$A$132="","",案件管理!$A$132:$A$132)</f>
        <v/>
      </c>
      <c r="B137" s="10" t="str">
        <f aca="false">IF($A137="","",案件管理!$B$132:$B$132)</f>
        <v/>
      </c>
      <c r="C137" s="10" t="str">
        <f aca="false">IF($A137="","",案件管理!$D$132:$D$132)</f>
        <v/>
      </c>
      <c r="D137" s="30" t="str">
        <f aca="false">IF($A137="","",案件管理!$AE$132:$AE$132)</f>
        <v/>
      </c>
      <c r="E137" s="30" t="str">
        <f aca="false">IF($A137="","",SUM($G137:$AD137))</f>
        <v/>
      </c>
      <c r="F137" s="51" t="str">
        <f aca="false">IF($A137="","",N($D137)-N($E137))</f>
        <v/>
      </c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customFormat="false" ht="15.75" hidden="false" customHeight="true" outlineLevel="0" collapsed="false">
      <c r="A138" s="28" t="str">
        <f aca="false">IF(案件管理!$A$133:$A$133="","",案件管理!$A$133:$A$133)</f>
        <v/>
      </c>
      <c r="B138" s="10" t="str">
        <f aca="false">IF($A138="","",案件管理!$B$133:$B$133)</f>
        <v/>
      </c>
      <c r="C138" s="10" t="str">
        <f aca="false">IF($A138="","",案件管理!$D$133:$D$133)</f>
        <v/>
      </c>
      <c r="D138" s="30" t="str">
        <f aca="false">IF($A138="","",案件管理!$AE$133:$AE$133)</f>
        <v/>
      </c>
      <c r="E138" s="30" t="str">
        <f aca="false">IF($A138="","",SUM($G138:$AD138))</f>
        <v/>
      </c>
      <c r="F138" s="51" t="str">
        <f aca="false">IF($A138="","",N($D138)-N($E138))</f>
        <v/>
      </c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 customFormat="false" ht="15.75" hidden="false" customHeight="true" outlineLevel="0" collapsed="false">
      <c r="A139" s="28" t="str">
        <f aca="false">IF(案件管理!$A$134:$A$134="","",案件管理!$A$134:$A$134)</f>
        <v/>
      </c>
      <c r="B139" s="10" t="str">
        <f aca="false">IF($A139="","",案件管理!$B$134:$B$134)</f>
        <v/>
      </c>
      <c r="C139" s="10" t="str">
        <f aca="false">IF($A139="","",案件管理!$D$134:$D$134)</f>
        <v/>
      </c>
      <c r="D139" s="30" t="str">
        <f aca="false">IF($A139="","",案件管理!$AE$134:$AE$134)</f>
        <v/>
      </c>
      <c r="E139" s="30" t="str">
        <f aca="false">IF($A139="","",SUM($G139:$AD139))</f>
        <v/>
      </c>
      <c r="F139" s="51" t="str">
        <f aca="false">IF($A139="","",N($D139)-N($E139))</f>
        <v/>
      </c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 customFormat="false" ht="15.75" hidden="false" customHeight="true" outlineLevel="0" collapsed="false">
      <c r="A140" s="28" t="str">
        <f aca="false">IF(案件管理!$A$135:$A$135="","",案件管理!$A$135:$A$135)</f>
        <v/>
      </c>
      <c r="B140" s="10" t="str">
        <f aca="false">IF($A140="","",案件管理!$B$135:$B$135)</f>
        <v/>
      </c>
      <c r="C140" s="10" t="str">
        <f aca="false">IF($A140="","",案件管理!$D$135:$D$135)</f>
        <v/>
      </c>
      <c r="D140" s="30" t="str">
        <f aca="false">IF($A140="","",案件管理!$AE$135:$AE$135)</f>
        <v/>
      </c>
      <c r="E140" s="30" t="str">
        <f aca="false">IF($A140="","",SUM($G140:$AD140))</f>
        <v/>
      </c>
      <c r="F140" s="51" t="str">
        <f aca="false">IF($A140="","",N($D140)-N($E140))</f>
        <v/>
      </c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 customFormat="false" ht="15.75" hidden="false" customHeight="true" outlineLevel="0" collapsed="false">
      <c r="A141" s="28" t="str">
        <f aca="false">IF(案件管理!$A$136:$A$136="","",案件管理!$A$136:$A$136)</f>
        <v/>
      </c>
      <c r="B141" s="10" t="str">
        <f aca="false">IF($A141="","",案件管理!$B$136:$B$136)</f>
        <v/>
      </c>
      <c r="C141" s="10" t="str">
        <f aca="false">IF($A141="","",案件管理!$D$136:$D$136)</f>
        <v/>
      </c>
      <c r="D141" s="30" t="str">
        <f aca="false">IF($A141="","",案件管理!$AE$136:$AE$136)</f>
        <v/>
      </c>
      <c r="E141" s="30" t="str">
        <f aca="false">IF($A141="","",SUM($G141:$AD141))</f>
        <v/>
      </c>
      <c r="F141" s="51" t="str">
        <f aca="false">IF($A141="","",N($D141)-N($E141))</f>
        <v/>
      </c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 customFormat="false" ht="15.75" hidden="false" customHeight="true" outlineLevel="0" collapsed="false">
      <c r="A142" s="28" t="str">
        <f aca="false">IF(案件管理!$A$137:$A$137="","",案件管理!$A$137:$A$137)</f>
        <v/>
      </c>
      <c r="B142" s="10" t="str">
        <f aca="false">IF($A142="","",案件管理!$B$137:$B$137)</f>
        <v/>
      </c>
      <c r="C142" s="10" t="str">
        <f aca="false">IF($A142="","",案件管理!$D$137:$D$137)</f>
        <v/>
      </c>
      <c r="D142" s="30" t="str">
        <f aca="false">IF($A142="","",案件管理!$AE$137:$AE$137)</f>
        <v/>
      </c>
      <c r="E142" s="30" t="str">
        <f aca="false">IF($A142="","",SUM($G142:$AD142))</f>
        <v/>
      </c>
      <c r="F142" s="51" t="str">
        <f aca="false">IF($A142="","",N($D142)-N($E142))</f>
        <v/>
      </c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 customFormat="false" ht="15.75" hidden="false" customHeight="true" outlineLevel="0" collapsed="false">
      <c r="A143" s="28" t="str">
        <f aca="false">IF(案件管理!$A$138:$A$138="","",案件管理!$A$138:$A$138)</f>
        <v/>
      </c>
      <c r="B143" s="10" t="str">
        <f aca="false">IF($A143="","",案件管理!$B$138:$B$138)</f>
        <v/>
      </c>
      <c r="C143" s="10" t="str">
        <f aca="false">IF($A143="","",案件管理!$D$138:$D$138)</f>
        <v/>
      </c>
      <c r="D143" s="30" t="str">
        <f aca="false">IF($A143="","",案件管理!$AE$138:$AE$138)</f>
        <v/>
      </c>
      <c r="E143" s="30" t="str">
        <f aca="false">IF($A143="","",SUM($G143:$AD143))</f>
        <v/>
      </c>
      <c r="F143" s="51" t="str">
        <f aca="false">IF($A143="","",N($D143)-N($E143))</f>
        <v/>
      </c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 customFormat="false" ht="15.75" hidden="false" customHeight="true" outlineLevel="0" collapsed="false">
      <c r="A144" s="28" t="str">
        <f aca="false">IF(案件管理!$A$139:$A$139="","",案件管理!$A$139:$A$139)</f>
        <v/>
      </c>
      <c r="B144" s="10" t="str">
        <f aca="false">IF($A144="","",案件管理!$B$139:$B$139)</f>
        <v/>
      </c>
      <c r="C144" s="10" t="str">
        <f aca="false">IF($A144="","",案件管理!$D$139:$D$139)</f>
        <v/>
      </c>
      <c r="D144" s="30" t="str">
        <f aca="false">IF($A144="","",案件管理!$AE$139:$AE$139)</f>
        <v/>
      </c>
      <c r="E144" s="30" t="str">
        <f aca="false">IF($A144="","",SUM($G144:$AD144))</f>
        <v/>
      </c>
      <c r="F144" s="51" t="str">
        <f aca="false">IF($A144="","",N($D144)-N($E144))</f>
        <v/>
      </c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 customFormat="false" ht="15.75" hidden="false" customHeight="true" outlineLevel="0" collapsed="false">
      <c r="A145" s="28" t="str">
        <f aca="false">IF(案件管理!$A$140:$A$140="","",案件管理!$A$140:$A$140)</f>
        <v/>
      </c>
      <c r="B145" s="10" t="str">
        <f aca="false">IF($A145="","",案件管理!$B$140:$B$140)</f>
        <v/>
      </c>
      <c r="C145" s="10" t="str">
        <f aca="false">IF($A145="","",案件管理!$D$140:$D$140)</f>
        <v/>
      </c>
      <c r="D145" s="30" t="str">
        <f aca="false">IF($A145="","",案件管理!$AE$140:$AE$140)</f>
        <v/>
      </c>
      <c r="E145" s="30" t="str">
        <f aca="false">IF($A145="","",SUM($G145:$AD145))</f>
        <v/>
      </c>
      <c r="F145" s="51" t="str">
        <f aca="false">IF($A145="","",N($D145)-N($E145))</f>
        <v/>
      </c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 customFormat="false" ht="15.75" hidden="false" customHeight="true" outlineLevel="0" collapsed="false">
      <c r="A146" s="28" t="str">
        <f aca="false">IF(案件管理!$A$141:$A$141="","",案件管理!$A$141:$A$141)</f>
        <v/>
      </c>
      <c r="B146" s="10" t="str">
        <f aca="false">IF($A146="","",案件管理!$B$141:$B$141)</f>
        <v/>
      </c>
      <c r="C146" s="10" t="str">
        <f aca="false">IF($A146="","",案件管理!$D$141:$D$141)</f>
        <v/>
      </c>
      <c r="D146" s="30" t="str">
        <f aca="false">IF($A146="","",案件管理!$AE$141:$AE$141)</f>
        <v/>
      </c>
      <c r="E146" s="30" t="str">
        <f aca="false">IF($A146="","",SUM($G146:$AD146))</f>
        <v/>
      </c>
      <c r="F146" s="51" t="str">
        <f aca="false">IF($A146="","",N($D146)-N($E146))</f>
        <v/>
      </c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 customFormat="false" ht="15.75" hidden="false" customHeight="true" outlineLevel="0" collapsed="false">
      <c r="A147" s="28" t="str">
        <f aca="false">IF(案件管理!$A$142:$A$142="","",案件管理!$A$142:$A$142)</f>
        <v/>
      </c>
      <c r="B147" s="10" t="str">
        <f aca="false">IF($A147="","",案件管理!$B$142:$B$142)</f>
        <v/>
      </c>
      <c r="C147" s="10" t="str">
        <f aca="false">IF($A147="","",案件管理!$D$142:$D$142)</f>
        <v/>
      </c>
      <c r="D147" s="30" t="str">
        <f aca="false">IF($A147="","",案件管理!$AE$142:$AE$142)</f>
        <v/>
      </c>
      <c r="E147" s="30" t="str">
        <f aca="false">IF($A147="","",SUM($G147:$AD147))</f>
        <v/>
      </c>
      <c r="F147" s="51" t="str">
        <f aca="false">IF($A147="","",N($D147)-N($E147))</f>
        <v/>
      </c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 customFormat="false" ht="15.75" hidden="false" customHeight="true" outlineLevel="0" collapsed="false">
      <c r="A148" s="28" t="str">
        <f aca="false">IF(案件管理!$A$143:$A$143="","",案件管理!$A$143:$A$143)</f>
        <v/>
      </c>
      <c r="B148" s="10" t="str">
        <f aca="false">IF($A148="","",案件管理!$B$143:$B$143)</f>
        <v/>
      </c>
      <c r="C148" s="10" t="str">
        <f aca="false">IF($A148="","",案件管理!$D$143:$D$143)</f>
        <v/>
      </c>
      <c r="D148" s="30" t="str">
        <f aca="false">IF($A148="","",案件管理!$AE$143:$AE$143)</f>
        <v/>
      </c>
      <c r="E148" s="30" t="str">
        <f aca="false">IF($A148="","",SUM($G148:$AD148))</f>
        <v/>
      </c>
      <c r="F148" s="51" t="str">
        <f aca="false">IF($A148="","",N($D148)-N($E148))</f>
        <v/>
      </c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 customFormat="false" ht="15.75" hidden="false" customHeight="true" outlineLevel="0" collapsed="false">
      <c r="A149" s="28" t="str">
        <f aca="false">IF(案件管理!$A$144:$A$144="","",案件管理!$A$144:$A$144)</f>
        <v/>
      </c>
      <c r="B149" s="10" t="str">
        <f aca="false">IF($A149="","",案件管理!$B$144:$B$144)</f>
        <v/>
      </c>
      <c r="C149" s="10" t="str">
        <f aca="false">IF($A149="","",案件管理!$D$144:$D$144)</f>
        <v/>
      </c>
      <c r="D149" s="30" t="str">
        <f aca="false">IF($A149="","",案件管理!$AE$144:$AE$144)</f>
        <v/>
      </c>
      <c r="E149" s="30" t="str">
        <f aca="false">IF($A149="","",SUM($G149:$AD149))</f>
        <v/>
      </c>
      <c r="F149" s="51" t="str">
        <f aca="false">IF($A149="","",N($D149)-N($E149))</f>
        <v/>
      </c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 customFormat="false" ht="15.75" hidden="false" customHeight="true" outlineLevel="0" collapsed="false">
      <c r="A150" s="28" t="str">
        <f aca="false">IF(案件管理!$A$145:$A$145="","",案件管理!$A$145:$A$145)</f>
        <v/>
      </c>
      <c r="B150" s="10" t="str">
        <f aca="false">IF($A150="","",案件管理!$B$145:$B$145)</f>
        <v/>
      </c>
      <c r="C150" s="10" t="str">
        <f aca="false">IF($A150="","",案件管理!$D$145:$D$145)</f>
        <v/>
      </c>
      <c r="D150" s="30" t="str">
        <f aca="false">IF($A150="","",案件管理!$AE$145:$AE$145)</f>
        <v/>
      </c>
      <c r="E150" s="30" t="str">
        <f aca="false">IF($A150="","",SUM($G150:$AD150))</f>
        <v/>
      </c>
      <c r="F150" s="51" t="str">
        <f aca="false">IF($A150="","",N($D150)-N($E150))</f>
        <v/>
      </c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 customFormat="false" ht="15.75" hidden="false" customHeight="true" outlineLevel="0" collapsed="false">
      <c r="A151" s="28" t="str">
        <f aca="false">IF(案件管理!$A$146:$A$146="","",案件管理!$A$146:$A$146)</f>
        <v/>
      </c>
      <c r="B151" s="10" t="str">
        <f aca="false">IF($A151="","",案件管理!$B$146:$B$146)</f>
        <v/>
      </c>
      <c r="C151" s="10" t="str">
        <f aca="false">IF($A151="","",案件管理!$D$146:$D$146)</f>
        <v/>
      </c>
      <c r="D151" s="30" t="str">
        <f aca="false">IF($A151="","",案件管理!$AE$146:$AE$146)</f>
        <v/>
      </c>
      <c r="E151" s="30" t="str">
        <f aca="false">IF($A151="","",SUM($G151:$AD151))</f>
        <v/>
      </c>
      <c r="F151" s="51" t="str">
        <f aca="false">IF($A151="","",N($D151)-N($E151))</f>
        <v/>
      </c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 customFormat="false" ht="15.75" hidden="false" customHeight="true" outlineLevel="0" collapsed="false">
      <c r="A152" s="28" t="str">
        <f aca="false">IF(案件管理!$A$147:$A$147="","",案件管理!$A$147:$A$147)</f>
        <v/>
      </c>
      <c r="B152" s="10" t="str">
        <f aca="false">IF($A152="","",案件管理!$B$147:$B$147)</f>
        <v/>
      </c>
      <c r="C152" s="10" t="str">
        <f aca="false">IF($A152="","",案件管理!$D$147:$D$147)</f>
        <v/>
      </c>
      <c r="D152" s="30" t="str">
        <f aca="false">IF($A152="","",案件管理!$AE$147:$AE$147)</f>
        <v/>
      </c>
      <c r="E152" s="30" t="str">
        <f aca="false">IF($A152="","",SUM($G152:$AD152))</f>
        <v/>
      </c>
      <c r="F152" s="51" t="str">
        <f aca="false">IF($A152="","",N($D152)-N($E152))</f>
        <v/>
      </c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 customFormat="false" ht="15.75" hidden="false" customHeight="true" outlineLevel="0" collapsed="false">
      <c r="A153" s="28" t="str">
        <f aca="false">IF(案件管理!$A$148:$A$148="","",案件管理!$A$148:$A$148)</f>
        <v/>
      </c>
      <c r="B153" s="10" t="str">
        <f aca="false">IF($A153="","",案件管理!$B$148:$B$148)</f>
        <v/>
      </c>
      <c r="C153" s="10" t="str">
        <f aca="false">IF($A153="","",案件管理!$D$148:$D$148)</f>
        <v/>
      </c>
      <c r="D153" s="30" t="str">
        <f aca="false">IF($A153="","",案件管理!$AE$148:$AE$148)</f>
        <v/>
      </c>
      <c r="E153" s="30" t="str">
        <f aca="false">IF($A153="","",SUM($G153:$AD153))</f>
        <v/>
      </c>
      <c r="F153" s="51" t="str">
        <f aca="false">IF($A153="","",N($D153)-N($E153))</f>
        <v/>
      </c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 customFormat="false" ht="15.75" hidden="false" customHeight="true" outlineLevel="0" collapsed="false">
      <c r="A154" s="28" t="str">
        <f aca="false">IF(案件管理!$A$149:$A$149="","",案件管理!$A$149:$A$149)</f>
        <v/>
      </c>
      <c r="B154" s="10" t="str">
        <f aca="false">IF($A154="","",案件管理!$B$149:$B$149)</f>
        <v/>
      </c>
      <c r="C154" s="10" t="str">
        <f aca="false">IF($A154="","",案件管理!$D$149:$D$149)</f>
        <v/>
      </c>
      <c r="D154" s="30" t="str">
        <f aca="false">IF($A154="","",案件管理!$AE$149:$AE$149)</f>
        <v/>
      </c>
      <c r="E154" s="30" t="str">
        <f aca="false">IF($A154="","",SUM($G154:$AD154))</f>
        <v/>
      </c>
      <c r="F154" s="51" t="str">
        <f aca="false">IF($A154="","",N($D154)-N($E154))</f>
        <v/>
      </c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 customFormat="false" ht="15.75" hidden="false" customHeight="true" outlineLevel="0" collapsed="false">
      <c r="A155" s="28" t="str">
        <f aca="false">IF(案件管理!$A$150:$A$150="","",案件管理!$A$150:$A$150)</f>
        <v/>
      </c>
      <c r="B155" s="10" t="str">
        <f aca="false">IF($A155="","",案件管理!$B$150:$B$150)</f>
        <v/>
      </c>
      <c r="C155" s="10" t="str">
        <f aca="false">IF($A155="","",案件管理!$D$150:$D$150)</f>
        <v/>
      </c>
      <c r="D155" s="30" t="str">
        <f aca="false">IF($A155="","",案件管理!$AE$150:$AE$150)</f>
        <v/>
      </c>
      <c r="E155" s="30" t="str">
        <f aca="false">IF($A155="","",SUM($G155:$AD155))</f>
        <v/>
      </c>
      <c r="F155" s="51" t="str">
        <f aca="false">IF($A155="","",N($D155)-N($E155))</f>
        <v/>
      </c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 customFormat="false" ht="15.75" hidden="false" customHeight="true" outlineLevel="0" collapsed="false">
      <c r="A156" s="28" t="str">
        <f aca="false">IF(案件管理!$A$151:$A$151="","",案件管理!$A$151:$A$151)</f>
        <v/>
      </c>
      <c r="B156" s="10" t="str">
        <f aca="false">IF($A156="","",案件管理!$B$151:$B$151)</f>
        <v/>
      </c>
      <c r="C156" s="10" t="str">
        <f aca="false">IF($A156="","",案件管理!$D$151:$D$151)</f>
        <v/>
      </c>
      <c r="D156" s="30" t="str">
        <f aca="false">IF($A156="","",案件管理!$AE$151:$AE$151)</f>
        <v/>
      </c>
      <c r="E156" s="30" t="str">
        <f aca="false">IF($A156="","",SUM($G156:$AD156))</f>
        <v/>
      </c>
      <c r="F156" s="51" t="str">
        <f aca="false">IF($A156="","",N($D156)-N($E156))</f>
        <v/>
      </c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 customFormat="false" ht="15.75" hidden="false" customHeight="true" outlineLevel="0" collapsed="false">
      <c r="A157" s="28" t="str">
        <f aca="false">IF(案件管理!$A$152:$A$152="","",案件管理!$A$152:$A$152)</f>
        <v/>
      </c>
      <c r="B157" s="10" t="str">
        <f aca="false">IF($A157="","",案件管理!$B$152:$B$152)</f>
        <v/>
      </c>
      <c r="C157" s="10" t="str">
        <f aca="false">IF($A157="","",案件管理!$D$152:$D$152)</f>
        <v/>
      </c>
      <c r="D157" s="30" t="str">
        <f aca="false">IF($A157="","",案件管理!$AE$152:$AE$152)</f>
        <v/>
      </c>
      <c r="E157" s="30" t="str">
        <f aca="false">IF($A157="","",SUM($G157:$AD157))</f>
        <v/>
      </c>
      <c r="F157" s="51" t="str">
        <f aca="false">IF($A157="","",N($D157)-N($E157))</f>
        <v/>
      </c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 customFormat="false" ht="15.75" hidden="false" customHeight="true" outlineLevel="0" collapsed="false">
      <c r="A158" s="28" t="str">
        <f aca="false">IF(案件管理!$A$153:$A$153="","",案件管理!$A$153:$A$153)</f>
        <v/>
      </c>
      <c r="B158" s="10" t="str">
        <f aca="false">IF($A158="","",案件管理!$B$153:$B$153)</f>
        <v/>
      </c>
      <c r="C158" s="10" t="str">
        <f aca="false">IF($A158="","",案件管理!$D$153:$D$153)</f>
        <v/>
      </c>
      <c r="D158" s="30" t="str">
        <f aca="false">IF($A158="","",案件管理!$AE$153:$AE$153)</f>
        <v/>
      </c>
      <c r="E158" s="30" t="str">
        <f aca="false">IF($A158="","",SUM($G158:$AD158))</f>
        <v/>
      </c>
      <c r="F158" s="51" t="str">
        <f aca="false">IF($A158="","",N($D158)-N($E158))</f>
        <v/>
      </c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 customFormat="false" ht="15.75" hidden="false" customHeight="true" outlineLevel="0" collapsed="false">
      <c r="A159" s="28" t="str">
        <f aca="false">IF(案件管理!$A$154:$A$154="","",案件管理!$A$154:$A$154)</f>
        <v/>
      </c>
      <c r="B159" s="10" t="str">
        <f aca="false">IF($A159="","",案件管理!$B$154:$B$154)</f>
        <v/>
      </c>
      <c r="C159" s="10" t="str">
        <f aca="false">IF($A159="","",案件管理!$D$154:$D$154)</f>
        <v/>
      </c>
      <c r="D159" s="30" t="str">
        <f aca="false">IF($A159="","",案件管理!$AE$154:$AE$154)</f>
        <v/>
      </c>
      <c r="E159" s="30" t="str">
        <f aca="false">IF($A159="","",SUM($G159:$AD159))</f>
        <v/>
      </c>
      <c r="F159" s="51" t="str">
        <f aca="false">IF($A159="","",N($D159)-N($E159))</f>
        <v/>
      </c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 customFormat="false" ht="15.75" hidden="false" customHeight="true" outlineLevel="0" collapsed="false">
      <c r="A160" s="28" t="str">
        <f aca="false">IF(案件管理!$A$155:$A$155="","",案件管理!$A$155:$A$155)</f>
        <v/>
      </c>
      <c r="B160" s="10" t="str">
        <f aca="false">IF($A160="","",案件管理!$B$155:$B$155)</f>
        <v/>
      </c>
      <c r="C160" s="10" t="str">
        <f aca="false">IF($A160="","",案件管理!$D$155:$D$155)</f>
        <v/>
      </c>
      <c r="D160" s="30" t="str">
        <f aca="false">IF($A160="","",案件管理!$AE$155:$AE$155)</f>
        <v/>
      </c>
      <c r="E160" s="30" t="str">
        <f aca="false">IF($A160="","",SUM($G160:$AD160))</f>
        <v/>
      </c>
      <c r="F160" s="51" t="str">
        <f aca="false">IF($A160="","",N($D160)-N($E160))</f>
        <v/>
      </c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 customFormat="false" ht="15.75" hidden="false" customHeight="true" outlineLevel="0" collapsed="false">
      <c r="A161" s="28" t="str">
        <f aca="false">IF(案件管理!$A$156:$A$156="","",案件管理!$A$156:$A$156)</f>
        <v/>
      </c>
      <c r="B161" s="10" t="str">
        <f aca="false">IF($A161="","",案件管理!$B$156:$B$156)</f>
        <v/>
      </c>
      <c r="C161" s="10" t="str">
        <f aca="false">IF($A161="","",案件管理!$D$156:$D$156)</f>
        <v/>
      </c>
      <c r="D161" s="30" t="str">
        <f aca="false">IF($A161="","",案件管理!$AE$156:$AE$156)</f>
        <v/>
      </c>
      <c r="E161" s="30" t="str">
        <f aca="false">IF($A161="","",SUM($G161:$AD161))</f>
        <v/>
      </c>
      <c r="F161" s="51" t="str">
        <f aca="false">IF($A161="","",N($D161)-N($E161))</f>
        <v/>
      </c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 customFormat="false" ht="15.75" hidden="false" customHeight="true" outlineLevel="0" collapsed="false">
      <c r="A162" s="28" t="str">
        <f aca="false">IF(案件管理!$A$157:$A$157="","",案件管理!$A$157:$A$157)</f>
        <v/>
      </c>
      <c r="B162" s="10" t="str">
        <f aca="false">IF($A162="","",案件管理!$B$157:$B$157)</f>
        <v/>
      </c>
      <c r="C162" s="10" t="str">
        <f aca="false">IF($A162="","",案件管理!$D$157:$D$157)</f>
        <v/>
      </c>
      <c r="D162" s="30" t="str">
        <f aca="false">IF($A162="","",案件管理!$AE$157:$AE$157)</f>
        <v/>
      </c>
      <c r="E162" s="30" t="str">
        <f aca="false">IF($A162="","",SUM($G162:$AD162))</f>
        <v/>
      </c>
      <c r="F162" s="51" t="str">
        <f aca="false">IF($A162="","",N($D162)-N($E162))</f>
        <v/>
      </c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 customFormat="false" ht="15.75" hidden="false" customHeight="true" outlineLevel="0" collapsed="false">
      <c r="A163" s="28" t="str">
        <f aca="false">IF(案件管理!$A$158:$A$158="","",案件管理!$A$158:$A$158)</f>
        <v/>
      </c>
      <c r="B163" s="10" t="str">
        <f aca="false">IF($A163="","",案件管理!$B$158:$B$158)</f>
        <v/>
      </c>
      <c r="C163" s="10" t="str">
        <f aca="false">IF($A163="","",案件管理!$D$158:$D$158)</f>
        <v/>
      </c>
      <c r="D163" s="30" t="str">
        <f aca="false">IF($A163="","",案件管理!$AE$158:$AE$158)</f>
        <v/>
      </c>
      <c r="E163" s="30" t="str">
        <f aca="false">IF($A163="","",SUM($G163:$AD163))</f>
        <v/>
      </c>
      <c r="F163" s="51" t="str">
        <f aca="false">IF($A163="","",N($D163)-N($E163))</f>
        <v/>
      </c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 customFormat="false" ht="15.75" hidden="false" customHeight="true" outlineLevel="0" collapsed="false">
      <c r="A164" s="28" t="str">
        <f aca="false">IF(案件管理!$A$159:$A$159="","",案件管理!$A$159:$A$159)</f>
        <v/>
      </c>
      <c r="B164" s="10" t="str">
        <f aca="false">IF($A164="","",案件管理!$B$159:$B$159)</f>
        <v/>
      </c>
      <c r="C164" s="10" t="str">
        <f aca="false">IF($A164="","",案件管理!$D$159:$D$159)</f>
        <v/>
      </c>
      <c r="D164" s="30" t="str">
        <f aca="false">IF($A164="","",案件管理!$AE$159:$AE$159)</f>
        <v/>
      </c>
      <c r="E164" s="30" t="str">
        <f aca="false">IF($A164="","",SUM($G164:$AD164))</f>
        <v/>
      </c>
      <c r="F164" s="51" t="str">
        <f aca="false">IF($A164="","",N($D164)-N($E164))</f>
        <v/>
      </c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 customFormat="false" ht="15.75" hidden="false" customHeight="true" outlineLevel="0" collapsed="false">
      <c r="A165" s="28" t="str">
        <f aca="false">IF(案件管理!$A$160:$A$160="","",案件管理!$A$160:$A$160)</f>
        <v/>
      </c>
      <c r="B165" s="10" t="str">
        <f aca="false">IF($A165="","",案件管理!$B$160:$B$160)</f>
        <v/>
      </c>
      <c r="C165" s="10" t="str">
        <f aca="false">IF($A165="","",案件管理!$D$160:$D$160)</f>
        <v/>
      </c>
      <c r="D165" s="30" t="str">
        <f aca="false">IF($A165="","",案件管理!$AE$160:$AE$160)</f>
        <v/>
      </c>
      <c r="E165" s="30" t="str">
        <f aca="false">IF($A165="","",SUM($G165:$AD165))</f>
        <v/>
      </c>
      <c r="F165" s="51" t="str">
        <f aca="false">IF($A165="","",N($D165)-N($E165))</f>
        <v/>
      </c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 customFormat="false" ht="15.75" hidden="false" customHeight="true" outlineLevel="0" collapsed="false">
      <c r="A166" s="28" t="str">
        <f aca="false">IF(案件管理!$A$161:$A$161="","",案件管理!$A$161:$A$161)</f>
        <v/>
      </c>
      <c r="B166" s="10" t="str">
        <f aca="false">IF($A166="","",案件管理!$B$161:$B$161)</f>
        <v/>
      </c>
      <c r="C166" s="10" t="str">
        <f aca="false">IF($A166="","",案件管理!$D$161:$D$161)</f>
        <v/>
      </c>
      <c r="D166" s="30" t="str">
        <f aca="false">IF($A166="","",案件管理!$AE$161:$AE$161)</f>
        <v/>
      </c>
      <c r="E166" s="30" t="str">
        <f aca="false">IF($A166="","",SUM($G166:$AD166))</f>
        <v/>
      </c>
      <c r="F166" s="51" t="str">
        <f aca="false">IF($A166="","",N($D166)-N($E166))</f>
        <v/>
      </c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 customFormat="false" ht="15.75" hidden="false" customHeight="true" outlineLevel="0" collapsed="false">
      <c r="A167" s="28" t="str">
        <f aca="false">IF(案件管理!$A$162:$A$162="","",案件管理!$A$162:$A$162)</f>
        <v/>
      </c>
      <c r="B167" s="10" t="str">
        <f aca="false">IF($A167="","",案件管理!$B$162:$B$162)</f>
        <v/>
      </c>
      <c r="C167" s="10" t="str">
        <f aca="false">IF($A167="","",案件管理!$D$162:$D$162)</f>
        <v/>
      </c>
      <c r="D167" s="30" t="str">
        <f aca="false">IF($A167="","",案件管理!$AE$162:$AE$162)</f>
        <v/>
      </c>
      <c r="E167" s="30" t="str">
        <f aca="false">IF($A167="","",SUM($G167:$AD167))</f>
        <v/>
      </c>
      <c r="F167" s="51" t="str">
        <f aca="false">IF($A167="","",N($D167)-N($E167))</f>
        <v/>
      </c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 customFormat="false" ht="15.75" hidden="false" customHeight="true" outlineLevel="0" collapsed="false">
      <c r="A168" s="28" t="str">
        <f aca="false">IF(案件管理!$A$163:$A$163="","",案件管理!$A$163:$A$163)</f>
        <v/>
      </c>
      <c r="B168" s="10" t="str">
        <f aca="false">IF($A168="","",案件管理!$B$163:$B$163)</f>
        <v/>
      </c>
      <c r="C168" s="10" t="str">
        <f aca="false">IF($A168="","",案件管理!$D$163:$D$163)</f>
        <v/>
      </c>
      <c r="D168" s="30" t="str">
        <f aca="false">IF($A168="","",案件管理!$AE$163:$AE$163)</f>
        <v/>
      </c>
      <c r="E168" s="30" t="str">
        <f aca="false">IF($A168="","",SUM($G168:$AD168))</f>
        <v/>
      </c>
      <c r="F168" s="51" t="str">
        <f aca="false">IF($A168="","",N($D168)-N($E168))</f>
        <v/>
      </c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 customFormat="false" ht="15.75" hidden="false" customHeight="true" outlineLevel="0" collapsed="false">
      <c r="A169" s="28" t="str">
        <f aca="false">IF(案件管理!$A$164:$A$164="","",案件管理!$A$164:$A$164)</f>
        <v/>
      </c>
      <c r="B169" s="10" t="str">
        <f aca="false">IF($A169="","",案件管理!$B$164:$B$164)</f>
        <v/>
      </c>
      <c r="C169" s="10" t="str">
        <f aca="false">IF($A169="","",案件管理!$D$164:$D$164)</f>
        <v/>
      </c>
      <c r="D169" s="30" t="str">
        <f aca="false">IF($A169="","",案件管理!$AE$164:$AE$164)</f>
        <v/>
      </c>
      <c r="E169" s="30" t="str">
        <f aca="false">IF($A169="","",SUM($G169:$AD169))</f>
        <v/>
      </c>
      <c r="F169" s="51" t="str">
        <f aca="false">IF($A169="","",N($D169)-N($E169))</f>
        <v/>
      </c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 customFormat="false" ht="15.75" hidden="false" customHeight="true" outlineLevel="0" collapsed="false">
      <c r="A170" s="28" t="str">
        <f aca="false">IF(案件管理!$A$165:$A$165="","",案件管理!$A$165:$A$165)</f>
        <v/>
      </c>
      <c r="B170" s="10" t="str">
        <f aca="false">IF($A170="","",案件管理!$B$165:$B$165)</f>
        <v/>
      </c>
      <c r="C170" s="10" t="str">
        <f aca="false">IF($A170="","",案件管理!$D$165:$D$165)</f>
        <v/>
      </c>
      <c r="D170" s="30" t="str">
        <f aca="false">IF($A170="","",案件管理!$AE$165:$AE$165)</f>
        <v/>
      </c>
      <c r="E170" s="30" t="str">
        <f aca="false">IF($A170="","",SUM($G170:$AD170))</f>
        <v/>
      </c>
      <c r="F170" s="51" t="str">
        <f aca="false">IF($A170="","",N($D170)-N($E170))</f>
        <v/>
      </c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 customFormat="false" ht="15.75" hidden="false" customHeight="true" outlineLevel="0" collapsed="false">
      <c r="A171" s="28" t="str">
        <f aca="false">IF(案件管理!$A$166:$A$166="","",案件管理!$A$166:$A$166)</f>
        <v/>
      </c>
      <c r="B171" s="10" t="str">
        <f aca="false">IF($A171="","",案件管理!$B$166:$B$166)</f>
        <v/>
      </c>
      <c r="C171" s="10" t="str">
        <f aca="false">IF($A171="","",案件管理!$D$166:$D$166)</f>
        <v/>
      </c>
      <c r="D171" s="30" t="str">
        <f aca="false">IF($A171="","",案件管理!$AE$166:$AE$166)</f>
        <v/>
      </c>
      <c r="E171" s="30" t="str">
        <f aca="false">IF($A171="","",SUM($G171:$AD171))</f>
        <v/>
      </c>
      <c r="F171" s="51" t="str">
        <f aca="false">IF($A171="","",N($D171)-N($E171))</f>
        <v/>
      </c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 customFormat="false" ht="15.75" hidden="false" customHeight="true" outlineLevel="0" collapsed="false">
      <c r="A172" s="28" t="str">
        <f aca="false">IF(案件管理!$A$167:$A$167="","",案件管理!$A$167:$A$167)</f>
        <v/>
      </c>
      <c r="B172" s="10" t="str">
        <f aca="false">IF($A172="","",案件管理!$B$167:$B$167)</f>
        <v/>
      </c>
      <c r="C172" s="10" t="str">
        <f aca="false">IF($A172="","",案件管理!$D$167:$D$167)</f>
        <v/>
      </c>
      <c r="D172" s="30" t="str">
        <f aca="false">IF($A172="","",案件管理!$AE$167:$AE$167)</f>
        <v/>
      </c>
      <c r="E172" s="30" t="str">
        <f aca="false">IF($A172="","",SUM($G172:$AD172))</f>
        <v/>
      </c>
      <c r="F172" s="51" t="str">
        <f aca="false">IF($A172="","",N($D172)-N($E172))</f>
        <v/>
      </c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 customFormat="false" ht="15.75" hidden="false" customHeight="true" outlineLevel="0" collapsed="false">
      <c r="A173" s="28" t="str">
        <f aca="false">IF(案件管理!$A$168:$A$168="","",案件管理!$A$168:$A$168)</f>
        <v/>
      </c>
      <c r="B173" s="10" t="str">
        <f aca="false">IF($A173="","",案件管理!$B$168:$B$168)</f>
        <v/>
      </c>
      <c r="C173" s="10" t="str">
        <f aca="false">IF($A173="","",案件管理!$D$168:$D$168)</f>
        <v/>
      </c>
      <c r="D173" s="30" t="str">
        <f aca="false">IF($A173="","",案件管理!$AE$168:$AE$168)</f>
        <v/>
      </c>
      <c r="E173" s="30" t="str">
        <f aca="false">IF($A173="","",SUM($G173:$AD173))</f>
        <v/>
      </c>
      <c r="F173" s="51" t="str">
        <f aca="false">IF($A173="","",N($D173)-N($E173))</f>
        <v/>
      </c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 customFormat="false" ht="15.75" hidden="false" customHeight="true" outlineLevel="0" collapsed="false">
      <c r="A174" s="28" t="str">
        <f aca="false">IF(案件管理!$A$169:$A$169="","",案件管理!$A$169:$A$169)</f>
        <v/>
      </c>
      <c r="B174" s="10" t="str">
        <f aca="false">IF($A174="","",案件管理!$B$169:$B$169)</f>
        <v/>
      </c>
      <c r="C174" s="10" t="str">
        <f aca="false">IF($A174="","",案件管理!$D$169:$D$169)</f>
        <v/>
      </c>
      <c r="D174" s="30" t="str">
        <f aca="false">IF($A174="","",案件管理!$AE$169:$AE$169)</f>
        <v/>
      </c>
      <c r="E174" s="30" t="str">
        <f aca="false">IF($A174="","",SUM($G174:$AD174))</f>
        <v/>
      </c>
      <c r="F174" s="51" t="str">
        <f aca="false">IF($A174="","",N($D174)-N($E174))</f>
        <v/>
      </c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 customFormat="false" ht="15.75" hidden="false" customHeight="true" outlineLevel="0" collapsed="false">
      <c r="A175" s="28" t="str">
        <f aca="false">IF(案件管理!$A$170:$A$170="","",案件管理!$A$170:$A$170)</f>
        <v/>
      </c>
      <c r="B175" s="10" t="str">
        <f aca="false">IF($A175="","",案件管理!$B$170:$B$170)</f>
        <v/>
      </c>
      <c r="C175" s="10" t="str">
        <f aca="false">IF($A175="","",案件管理!$D$170:$D$170)</f>
        <v/>
      </c>
      <c r="D175" s="30" t="str">
        <f aca="false">IF($A175="","",案件管理!$AE$170:$AE$170)</f>
        <v/>
      </c>
      <c r="E175" s="30" t="str">
        <f aca="false">IF($A175="","",SUM($G175:$AD175))</f>
        <v/>
      </c>
      <c r="F175" s="51" t="str">
        <f aca="false">IF($A175="","",N($D175)-N($E175))</f>
        <v/>
      </c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 customFormat="false" ht="15.75" hidden="false" customHeight="true" outlineLevel="0" collapsed="false">
      <c r="A176" s="28" t="str">
        <f aca="false">IF(案件管理!$A$171:$A$171="","",案件管理!$A$171:$A$171)</f>
        <v/>
      </c>
      <c r="B176" s="10" t="str">
        <f aca="false">IF($A176="","",案件管理!$B$171:$B$171)</f>
        <v/>
      </c>
      <c r="C176" s="10" t="str">
        <f aca="false">IF($A176="","",案件管理!$D$171:$D$171)</f>
        <v/>
      </c>
      <c r="D176" s="30" t="str">
        <f aca="false">IF($A176="","",案件管理!$AE$171:$AE$171)</f>
        <v/>
      </c>
      <c r="E176" s="30" t="str">
        <f aca="false">IF($A176="","",SUM($G176:$AD176))</f>
        <v/>
      </c>
      <c r="F176" s="51" t="str">
        <f aca="false">IF($A176="","",N($D176)-N($E176))</f>
        <v/>
      </c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 customFormat="false" ht="15.75" hidden="false" customHeight="true" outlineLevel="0" collapsed="false">
      <c r="A177" s="28" t="str">
        <f aca="false">IF(案件管理!$A$172:$A$172="","",案件管理!$A$172:$A$172)</f>
        <v/>
      </c>
      <c r="B177" s="10" t="str">
        <f aca="false">IF($A177="","",案件管理!$B$172:$B$172)</f>
        <v/>
      </c>
      <c r="C177" s="10" t="str">
        <f aca="false">IF($A177="","",案件管理!$D$172:$D$172)</f>
        <v/>
      </c>
      <c r="D177" s="30" t="str">
        <f aca="false">IF($A177="","",案件管理!$AE$172:$AE$172)</f>
        <v/>
      </c>
      <c r="E177" s="30" t="str">
        <f aca="false">IF($A177="","",SUM($G177:$AD177))</f>
        <v/>
      </c>
      <c r="F177" s="51" t="str">
        <f aca="false">IF($A177="","",N($D177)-N($E177))</f>
        <v/>
      </c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 customFormat="false" ht="15.75" hidden="false" customHeight="true" outlineLevel="0" collapsed="false">
      <c r="A178" s="28" t="str">
        <f aca="false">IF(案件管理!$A$173:$A$173="","",案件管理!$A$173:$A$173)</f>
        <v/>
      </c>
      <c r="B178" s="10" t="str">
        <f aca="false">IF($A178="","",案件管理!$B$173:$B$173)</f>
        <v/>
      </c>
      <c r="C178" s="10" t="str">
        <f aca="false">IF($A178="","",案件管理!$D$173:$D$173)</f>
        <v/>
      </c>
      <c r="D178" s="30" t="str">
        <f aca="false">IF($A178="","",案件管理!$AE$173:$AE$173)</f>
        <v/>
      </c>
      <c r="E178" s="30" t="str">
        <f aca="false">IF($A178="","",SUM($G178:$AD178))</f>
        <v/>
      </c>
      <c r="F178" s="51" t="str">
        <f aca="false">IF($A178="","",N($D178)-N($E178))</f>
        <v/>
      </c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 customFormat="false" ht="15.75" hidden="false" customHeight="true" outlineLevel="0" collapsed="false">
      <c r="A179" s="28" t="str">
        <f aca="false">IF(案件管理!$A$174:$A$174="","",案件管理!$A$174:$A$174)</f>
        <v/>
      </c>
      <c r="B179" s="10" t="str">
        <f aca="false">IF($A179="","",案件管理!$B$174:$B$174)</f>
        <v/>
      </c>
      <c r="C179" s="10" t="str">
        <f aca="false">IF($A179="","",案件管理!$D$174:$D$174)</f>
        <v/>
      </c>
      <c r="D179" s="30" t="str">
        <f aca="false">IF($A179="","",案件管理!$AE$174:$AE$174)</f>
        <v/>
      </c>
      <c r="E179" s="30" t="str">
        <f aca="false">IF($A179="","",SUM($G179:$AD179))</f>
        <v/>
      </c>
      <c r="F179" s="51" t="str">
        <f aca="false">IF($A179="","",N($D179)-N($E179))</f>
        <v/>
      </c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 customFormat="false" ht="15.75" hidden="false" customHeight="true" outlineLevel="0" collapsed="false">
      <c r="A180" s="28" t="str">
        <f aca="false">IF(案件管理!$A$175:$A$175="","",案件管理!$A$175:$A$175)</f>
        <v/>
      </c>
      <c r="B180" s="10" t="str">
        <f aca="false">IF($A180="","",案件管理!$B$175:$B$175)</f>
        <v/>
      </c>
      <c r="C180" s="10" t="str">
        <f aca="false">IF($A180="","",案件管理!$D$175:$D$175)</f>
        <v/>
      </c>
      <c r="D180" s="30" t="str">
        <f aca="false">IF($A180="","",案件管理!$AE$175:$AE$175)</f>
        <v/>
      </c>
      <c r="E180" s="30" t="str">
        <f aca="false">IF($A180="","",SUM($G180:$AD180))</f>
        <v/>
      </c>
      <c r="F180" s="51" t="str">
        <f aca="false">IF($A180="","",N($D180)-N($E180))</f>
        <v/>
      </c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 customFormat="false" ht="15.75" hidden="false" customHeight="true" outlineLevel="0" collapsed="false">
      <c r="A181" s="28" t="str">
        <f aca="false">IF(案件管理!$A$176:$A$176="","",案件管理!$A$176:$A$176)</f>
        <v/>
      </c>
      <c r="B181" s="10" t="str">
        <f aca="false">IF($A181="","",案件管理!$B$176:$B$176)</f>
        <v/>
      </c>
      <c r="C181" s="10" t="str">
        <f aca="false">IF($A181="","",案件管理!$D$176:$D$176)</f>
        <v/>
      </c>
      <c r="D181" s="30" t="str">
        <f aca="false">IF($A181="","",案件管理!$AE$176:$AE$176)</f>
        <v/>
      </c>
      <c r="E181" s="30" t="str">
        <f aca="false">IF($A181="","",SUM($G181:$AD181))</f>
        <v/>
      </c>
      <c r="F181" s="51" t="str">
        <f aca="false">IF($A181="","",N($D181)-N($E181))</f>
        <v/>
      </c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 customFormat="false" ht="15.75" hidden="false" customHeight="true" outlineLevel="0" collapsed="false">
      <c r="A182" s="28" t="str">
        <f aca="false">IF(案件管理!$A$177:$A$177="","",案件管理!$A$177:$A$177)</f>
        <v/>
      </c>
      <c r="B182" s="10" t="str">
        <f aca="false">IF($A182="","",案件管理!$B$177:$B$177)</f>
        <v/>
      </c>
      <c r="C182" s="10" t="str">
        <f aca="false">IF($A182="","",案件管理!$D$177:$D$177)</f>
        <v/>
      </c>
      <c r="D182" s="30" t="str">
        <f aca="false">IF($A182="","",案件管理!$AE$177:$AE$177)</f>
        <v/>
      </c>
      <c r="E182" s="30" t="str">
        <f aca="false">IF($A182="","",SUM($G182:$AD182))</f>
        <v/>
      </c>
      <c r="F182" s="51" t="str">
        <f aca="false">IF($A182="","",N($D182)-N($E182))</f>
        <v/>
      </c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 customFormat="false" ht="15.75" hidden="false" customHeight="true" outlineLevel="0" collapsed="false">
      <c r="A183" s="28" t="str">
        <f aca="false">IF(案件管理!$A$178:$A$178="","",案件管理!$A$178:$A$178)</f>
        <v/>
      </c>
      <c r="B183" s="10" t="str">
        <f aca="false">IF($A183="","",案件管理!$B$178:$B$178)</f>
        <v/>
      </c>
      <c r="C183" s="10" t="str">
        <f aca="false">IF($A183="","",案件管理!$D$178:$D$178)</f>
        <v/>
      </c>
      <c r="D183" s="30" t="str">
        <f aca="false">IF($A183="","",案件管理!$AE$178:$AE$178)</f>
        <v/>
      </c>
      <c r="E183" s="30" t="str">
        <f aca="false">IF($A183="","",SUM($G183:$AD183))</f>
        <v/>
      </c>
      <c r="F183" s="51" t="str">
        <f aca="false">IF($A183="","",N($D183)-N($E183))</f>
        <v/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 customFormat="false" ht="15.75" hidden="false" customHeight="true" outlineLevel="0" collapsed="false">
      <c r="A184" s="28" t="str">
        <f aca="false">IF(案件管理!$A$179:$A$179="","",案件管理!$A$179:$A$179)</f>
        <v/>
      </c>
      <c r="B184" s="10" t="str">
        <f aca="false">IF($A184="","",案件管理!$B$179:$B$179)</f>
        <v/>
      </c>
      <c r="C184" s="10" t="str">
        <f aca="false">IF($A184="","",案件管理!$D$179:$D$179)</f>
        <v/>
      </c>
      <c r="D184" s="30" t="str">
        <f aca="false">IF($A184="","",案件管理!$AE$179:$AE$179)</f>
        <v/>
      </c>
      <c r="E184" s="30" t="str">
        <f aca="false">IF($A184="","",SUM($G184:$AD184))</f>
        <v/>
      </c>
      <c r="F184" s="51" t="str">
        <f aca="false">IF($A184="","",N($D184)-N($E184))</f>
        <v/>
      </c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 customFormat="false" ht="15.75" hidden="false" customHeight="true" outlineLevel="0" collapsed="false">
      <c r="A185" s="28" t="str">
        <f aca="false">IF(案件管理!$A$180:$A$180="","",案件管理!$A$180:$A$180)</f>
        <v/>
      </c>
      <c r="B185" s="10" t="str">
        <f aca="false">IF($A185="","",案件管理!$B$180:$B$180)</f>
        <v/>
      </c>
      <c r="C185" s="10" t="str">
        <f aca="false">IF($A185="","",案件管理!$D$180:$D$180)</f>
        <v/>
      </c>
      <c r="D185" s="30" t="str">
        <f aca="false">IF($A185="","",案件管理!$AE$180:$AE$180)</f>
        <v/>
      </c>
      <c r="E185" s="30" t="str">
        <f aca="false">IF($A185="","",SUM($G185:$AD185))</f>
        <v/>
      </c>
      <c r="F185" s="51" t="str">
        <f aca="false">IF($A185="","",N($D185)-N($E185))</f>
        <v/>
      </c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 customFormat="false" ht="15.75" hidden="false" customHeight="true" outlineLevel="0" collapsed="false">
      <c r="A186" s="28" t="str">
        <f aca="false">IF(案件管理!$A$181:$A$181="","",案件管理!$A$181:$A$181)</f>
        <v/>
      </c>
      <c r="B186" s="10" t="str">
        <f aca="false">IF($A186="","",案件管理!$B$181:$B$181)</f>
        <v/>
      </c>
      <c r="C186" s="10" t="str">
        <f aca="false">IF($A186="","",案件管理!$D$181:$D$181)</f>
        <v/>
      </c>
      <c r="D186" s="30" t="str">
        <f aca="false">IF($A186="","",案件管理!$AE$181:$AE$181)</f>
        <v/>
      </c>
      <c r="E186" s="30" t="str">
        <f aca="false">IF($A186="","",SUM($G186:$AD186))</f>
        <v/>
      </c>
      <c r="F186" s="51" t="str">
        <f aca="false">IF($A186="","",N($D186)-N($E186))</f>
        <v/>
      </c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 customFormat="false" ht="15.75" hidden="false" customHeight="true" outlineLevel="0" collapsed="false">
      <c r="A187" s="28" t="str">
        <f aca="false">IF(案件管理!$A$182:$A$182="","",案件管理!$A$182:$A$182)</f>
        <v/>
      </c>
      <c r="B187" s="10" t="str">
        <f aca="false">IF($A187="","",案件管理!$B$182:$B$182)</f>
        <v/>
      </c>
      <c r="C187" s="10" t="str">
        <f aca="false">IF($A187="","",案件管理!$D$182:$D$182)</f>
        <v/>
      </c>
      <c r="D187" s="30" t="str">
        <f aca="false">IF($A187="","",案件管理!$AE$182:$AE$182)</f>
        <v/>
      </c>
      <c r="E187" s="30" t="str">
        <f aca="false">IF($A187="","",SUM($G187:$AD187))</f>
        <v/>
      </c>
      <c r="F187" s="51" t="str">
        <f aca="false">IF($A187="","",N($D187)-N($E187))</f>
        <v/>
      </c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 customFormat="false" ht="15.75" hidden="false" customHeight="true" outlineLevel="0" collapsed="false">
      <c r="A188" s="28" t="str">
        <f aca="false">IF(案件管理!$A$183:$A$183="","",案件管理!$A$183:$A$183)</f>
        <v/>
      </c>
      <c r="B188" s="10" t="str">
        <f aca="false">IF($A188="","",案件管理!$B$183:$B$183)</f>
        <v/>
      </c>
      <c r="C188" s="10" t="str">
        <f aca="false">IF($A188="","",案件管理!$D$183:$D$183)</f>
        <v/>
      </c>
      <c r="D188" s="30" t="str">
        <f aca="false">IF($A188="","",案件管理!$AE$183:$AE$183)</f>
        <v/>
      </c>
      <c r="E188" s="30" t="str">
        <f aca="false">IF($A188="","",SUM($G188:$AD188))</f>
        <v/>
      </c>
      <c r="F188" s="51" t="str">
        <f aca="false">IF($A188="","",N($D188)-N($E188))</f>
        <v/>
      </c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 customFormat="false" ht="15.75" hidden="false" customHeight="true" outlineLevel="0" collapsed="false">
      <c r="A189" s="28" t="str">
        <f aca="false">IF(案件管理!$A$184:$A$184="","",案件管理!$A$184:$A$184)</f>
        <v/>
      </c>
      <c r="B189" s="10" t="str">
        <f aca="false">IF($A189="","",案件管理!$B$184:$B$184)</f>
        <v/>
      </c>
      <c r="C189" s="10" t="str">
        <f aca="false">IF($A189="","",案件管理!$D$184:$D$184)</f>
        <v/>
      </c>
      <c r="D189" s="30" t="str">
        <f aca="false">IF($A189="","",案件管理!$AE$184:$AE$184)</f>
        <v/>
      </c>
      <c r="E189" s="30" t="str">
        <f aca="false">IF($A189="","",SUM($G189:$AD189))</f>
        <v/>
      </c>
      <c r="F189" s="51" t="str">
        <f aca="false">IF($A189="","",N($D189)-N($E189))</f>
        <v/>
      </c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 customFormat="false" ht="15.75" hidden="false" customHeight="true" outlineLevel="0" collapsed="false">
      <c r="A190" s="28" t="str">
        <f aca="false">IF(案件管理!$A$185:$A$185="","",案件管理!$A$185:$A$185)</f>
        <v/>
      </c>
      <c r="B190" s="10" t="str">
        <f aca="false">IF($A190="","",案件管理!$B$185:$B$185)</f>
        <v/>
      </c>
      <c r="C190" s="10" t="str">
        <f aca="false">IF($A190="","",案件管理!$D$185:$D$185)</f>
        <v/>
      </c>
      <c r="D190" s="30" t="str">
        <f aca="false">IF($A190="","",案件管理!$AE$185:$AE$185)</f>
        <v/>
      </c>
      <c r="E190" s="30" t="str">
        <f aca="false">IF($A190="","",SUM($G190:$AD190))</f>
        <v/>
      </c>
      <c r="F190" s="51" t="str">
        <f aca="false">IF($A190="","",N($D190)-N($E190))</f>
        <v/>
      </c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 customFormat="false" ht="15.75" hidden="false" customHeight="true" outlineLevel="0" collapsed="false">
      <c r="A191" s="28" t="str">
        <f aca="false">IF(案件管理!$A$186:$A$186="","",案件管理!$A$186:$A$186)</f>
        <v/>
      </c>
      <c r="B191" s="10" t="str">
        <f aca="false">IF($A191="","",案件管理!$B$186:$B$186)</f>
        <v/>
      </c>
      <c r="C191" s="10" t="str">
        <f aca="false">IF($A191="","",案件管理!$D$186:$D$186)</f>
        <v/>
      </c>
      <c r="D191" s="30" t="str">
        <f aca="false">IF($A191="","",案件管理!$AE$186:$AE$186)</f>
        <v/>
      </c>
      <c r="E191" s="30" t="str">
        <f aca="false">IF($A191="","",SUM($G191:$AD191))</f>
        <v/>
      </c>
      <c r="F191" s="51" t="str">
        <f aca="false">IF($A191="","",N($D191)-N($E191))</f>
        <v/>
      </c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 customFormat="false" ht="15.75" hidden="false" customHeight="true" outlineLevel="0" collapsed="false">
      <c r="A192" s="28" t="str">
        <f aca="false">IF(案件管理!$A$187:$A$187="","",案件管理!$A$187:$A$187)</f>
        <v/>
      </c>
      <c r="B192" s="10" t="str">
        <f aca="false">IF($A192="","",案件管理!$B$187:$B$187)</f>
        <v/>
      </c>
      <c r="C192" s="10" t="str">
        <f aca="false">IF($A192="","",案件管理!$D$187:$D$187)</f>
        <v/>
      </c>
      <c r="D192" s="30" t="str">
        <f aca="false">IF($A192="","",案件管理!$AE$187:$AE$187)</f>
        <v/>
      </c>
      <c r="E192" s="30" t="str">
        <f aca="false">IF($A192="","",SUM($G192:$AD192))</f>
        <v/>
      </c>
      <c r="F192" s="51" t="str">
        <f aca="false">IF($A192="","",N($D192)-N($E192))</f>
        <v/>
      </c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 customFormat="false" ht="15.75" hidden="false" customHeight="true" outlineLevel="0" collapsed="false">
      <c r="A193" s="28" t="str">
        <f aca="false">IF(案件管理!$A$188:$A$188="","",案件管理!$A$188:$A$188)</f>
        <v/>
      </c>
      <c r="B193" s="10" t="str">
        <f aca="false">IF($A193="","",案件管理!$B$188:$B$188)</f>
        <v/>
      </c>
      <c r="C193" s="10" t="str">
        <f aca="false">IF($A193="","",案件管理!$D$188:$D$188)</f>
        <v/>
      </c>
      <c r="D193" s="30" t="str">
        <f aca="false">IF($A193="","",案件管理!$AE$188:$AE$188)</f>
        <v/>
      </c>
      <c r="E193" s="30" t="str">
        <f aca="false">IF($A193="","",SUM($G193:$AD193))</f>
        <v/>
      </c>
      <c r="F193" s="51" t="str">
        <f aca="false">IF($A193="","",N($D193)-N($E193))</f>
        <v/>
      </c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 customFormat="false" ht="15.75" hidden="false" customHeight="true" outlineLevel="0" collapsed="false">
      <c r="A194" s="28" t="str">
        <f aca="false">IF(案件管理!$A$189:$A$189="","",案件管理!$A$189:$A$189)</f>
        <v/>
      </c>
      <c r="B194" s="10" t="str">
        <f aca="false">IF($A194="","",案件管理!$B$189:$B$189)</f>
        <v/>
      </c>
      <c r="C194" s="10" t="str">
        <f aca="false">IF($A194="","",案件管理!$D$189:$D$189)</f>
        <v/>
      </c>
      <c r="D194" s="30" t="str">
        <f aca="false">IF($A194="","",案件管理!$AE$189:$AE$189)</f>
        <v/>
      </c>
      <c r="E194" s="30" t="str">
        <f aca="false">IF($A194="","",SUM($G194:$AD194))</f>
        <v/>
      </c>
      <c r="F194" s="51" t="str">
        <f aca="false">IF($A194="","",N($D194)-N($E194))</f>
        <v/>
      </c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 customFormat="false" ht="15.75" hidden="false" customHeight="true" outlineLevel="0" collapsed="false">
      <c r="A195" s="28" t="str">
        <f aca="false">IF(案件管理!$A$190:$A$190="","",案件管理!$A$190:$A$190)</f>
        <v/>
      </c>
      <c r="B195" s="10" t="str">
        <f aca="false">IF($A195="","",案件管理!$B$190:$B$190)</f>
        <v/>
      </c>
      <c r="C195" s="10" t="str">
        <f aca="false">IF($A195="","",案件管理!$D$190:$D$190)</f>
        <v/>
      </c>
      <c r="D195" s="30" t="str">
        <f aca="false">IF($A195="","",案件管理!$AE$190:$AE$190)</f>
        <v/>
      </c>
      <c r="E195" s="30" t="str">
        <f aca="false">IF($A195="","",SUM($G195:$AD195))</f>
        <v/>
      </c>
      <c r="F195" s="51" t="str">
        <f aca="false">IF($A195="","",N($D195)-N($E195))</f>
        <v/>
      </c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 customFormat="false" ht="15.75" hidden="false" customHeight="true" outlineLevel="0" collapsed="false">
      <c r="A196" s="28" t="str">
        <f aca="false">IF(案件管理!$A$191:$A$191="","",案件管理!$A$191:$A$191)</f>
        <v/>
      </c>
      <c r="B196" s="10" t="str">
        <f aca="false">IF($A196="","",案件管理!$B$191:$B$191)</f>
        <v/>
      </c>
      <c r="C196" s="10" t="str">
        <f aca="false">IF($A196="","",案件管理!$D$191:$D$191)</f>
        <v/>
      </c>
      <c r="D196" s="30" t="str">
        <f aca="false">IF($A196="","",案件管理!$AE$191:$AE$191)</f>
        <v/>
      </c>
      <c r="E196" s="30" t="str">
        <f aca="false">IF($A196="","",SUM($G196:$AD196))</f>
        <v/>
      </c>
      <c r="F196" s="51" t="str">
        <f aca="false">IF($A196="","",N($D196)-N($E196))</f>
        <v/>
      </c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 customFormat="false" ht="15.75" hidden="false" customHeight="true" outlineLevel="0" collapsed="false">
      <c r="A197" s="28" t="str">
        <f aca="false">IF(案件管理!$A$192:$A$192="","",案件管理!$A$192:$A$192)</f>
        <v/>
      </c>
      <c r="B197" s="10" t="str">
        <f aca="false">IF($A197="","",案件管理!$B$192:$B$192)</f>
        <v/>
      </c>
      <c r="C197" s="10" t="str">
        <f aca="false">IF($A197="","",案件管理!$D$192:$D$192)</f>
        <v/>
      </c>
      <c r="D197" s="30" t="str">
        <f aca="false">IF($A197="","",案件管理!$AE$192:$AE$192)</f>
        <v/>
      </c>
      <c r="E197" s="30" t="str">
        <f aca="false">IF($A197="","",SUM($G197:$AD197))</f>
        <v/>
      </c>
      <c r="F197" s="51" t="str">
        <f aca="false">IF($A197="","",N($D197)-N($E197))</f>
        <v/>
      </c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 customFormat="false" ht="15.75" hidden="false" customHeight="true" outlineLevel="0" collapsed="false">
      <c r="A198" s="28" t="str">
        <f aca="false">IF(案件管理!$A$193:$A$193="","",案件管理!$A$193:$A$193)</f>
        <v/>
      </c>
      <c r="B198" s="10" t="str">
        <f aca="false">IF($A198="","",案件管理!$B$193:$B$193)</f>
        <v/>
      </c>
      <c r="C198" s="10" t="str">
        <f aca="false">IF($A198="","",案件管理!$D$193:$D$193)</f>
        <v/>
      </c>
      <c r="D198" s="30" t="str">
        <f aca="false">IF($A198="","",案件管理!$AE$193:$AE$193)</f>
        <v/>
      </c>
      <c r="E198" s="30" t="str">
        <f aca="false">IF($A198="","",SUM($G198:$AD198))</f>
        <v/>
      </c>
      <c r="F198" s="51" t="str">
        <f aca="false">IF($A198="","",N($D198)-N($E198))</f>
        <v/>
      </c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 customFormat="false" ht="15.75" hidden="false" customHeight="true" outlineLevel="0" collapsed="false">
      <c r="A199" s="28" t="str">
        <f aca="false">IF(案件管理!$A$194:$A$194="","",案件管理!$A$194:$A$194)</f>
        <v/>
      </c>
      <c r="B199" s="10" t="str">
        <f aca="false">IF($A199="","",案件管理!$B$194:$B$194)</f>
        <v/>
      </c>
      <c r="C199" s="10" t="str">
        <f aca="false">IF($A199="","",案件管理!$D$194:$D$194)</f>
        <v/>
      </c>
      <c r="D199" s="30" t="str">
        <f aca="false">IF($A199="","",案件管理!$AE$194:$AE$194)</f>
        <v/>
      </c>
      <c r="E199" s="30" t="str">
        <f aca="false">IF($A199="","",SUM($G199:$AD199))</f>
        <v/>
      </c>
      <c r="F199" s="51" t="str">
        <f aca="false">IF($A199="","",N($D199)-N($E199))</f>
        <v/>
      </c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 customFormat="false" ht="15.75" hidden="false" customHeight="true" outlineLevel="0" collapsed="false">
      <c r="A200" s="28" t="str">
        <f aca="false">IF(案件管理!$A$195:$A$195="","",案件管理!$A$195:$A$195)</f>
        <v/>
      </c>
      <c r="B200" s="10" t="str">
        <f aca="false">IF($A200="","",案件管理!$B$195:$B$195)</f>
        <v/>
      </c>
      <c r="C200" s="10" t="str">
        <f aca="false">IF($A200="","",案件管理!$D$195:$D$195)</f>
        <v/>
      </c>
      <c r="D200" s="30" t="str">
        <f aca="false">IF($A200="","",案件管理!$AE$195:$AE$195)</f>
        <v/>
      </c>
      <c r="E200" s="30" t="str">
        <f aca="false">IF($A200="","",SUM($G200:$AD200))</f>
        <v/>
      </c>
      <c r="F200" s="51" t="str">
        <f aca="false">IF($A200="","",N($D200)-N($E200))</f>
        <v/>
      </c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 customFormat="false" ht="15.75" hidden="false" customHeight="true" outlineLevel="0" collapsed="false">
      <c r="A201" s="28" t="str">
        <f aca="false">IF(案件管理!$A$196:$A$196="","",案件管理!$A$196:$A$196)</f>
        <v/>
      </c>
      <c r="B201" s="10" t="str">
        <f aca="false">IF($A201="","",案件管理!$B$196:$B$196)</f>
        <v/>
      </c>
      <c r="C201" s="10" t="str">
        <f aca="false">IF($A201="","",案件管理!$D$196:$D$196)</f>
        <v/>
      </c>
      <c r="D201" s="30" t="str">
        <f aca="false">IF($A201="","",案件管理!$AE$196:$AE$196)</f>
        <v/>
      </c>
      <c r="E201" s="30" t="str">
        <f aca="false">IF($A201="","",SUM($G201:$AD201))</f>
        <v/>
      </c>
      <c r="F201" s="51" t="str">
        <f aca="false">IF($A201="","",N($D201)-N($E201))</f>
        <v/>
      </c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 customFormat="false" ht="15.75" hidden="false" customHeight="true" outlineLevel="0" collapsed="false">
      <c r="A202" s="28" t="str">
        <f aca="false">IF(案件管理!$A$197:$A$197="","",案件管理!$A$197:$A$197)</f>
        <v/>
      </c>
      <c r="B202" s="10" t="str">
        <f aca="false">IF($A202="","",案件管理!$B$197:$B$197)</f>
        <v/>
      </c>
      <c r="C202" s="10" t="str">
        <f aca="false">IF($A202="","",案件管理!$D$197:$D$197)</f>
        <v/>
      </c>
      <c r="D202" s="30" t="str">
        <f aca="false">IF($A202="","",案件管理!$AE$197:$AE$197)</f>
        <v/>
      </c>
      <c r="E202" s="30" t="str">
        <f aca="false">IF($A202="","",SUM($G202:$AD202))</f>
        <v/>
      </c>
      <c r="F202" s="51" t="str">
        <f aca="false">IF($A202="","",N($D202)-N($E202))</f>
        <v/>
      </c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 customFormat="false" ht="15.75" hidden="false" customHeight="true" outlineLevel="0" collapsed="false">
      <c r="A203" s="28" t="str">
        <f aca="false">IF(案件管理!$A$198:$A$198="","",案件管理!$A$198:$A$198)</f>
        <v/>
      </c>
      <c r="B203" s="10" t="str">
        <f aca="false">IF($A203="","",案件管理!$B$198:$B$198)</f>
        <v/>
      </c>
      <c r="C203" s="10" t="str">
        <f aca="false">IF($A203="","",案件管理!$D$198:$D$198)</f>
        <v/>
      </c>
      <c r="D203" s="30" t="str">
        <f aca="false">IF($A203="","",案件管理!$AE$198:$AE$198)</f>
        <v/>
      </c>
      <c r="E203" s="30" t="str">
        <f aca="false">IF($A203="","",SUM($G203:$AD203))</f>
        <v/>
      </c>
      <c r="F203" s="51" t="str">
        <f aca="false">IF($A203="","",N($D203)-N($E203))</f>
        <v/>
      </c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 customFormat="false" ht="15.75" hidden="false" customHeight="true" outlineLevel="0" collapsed="false">
      <c r="A204" s="28" t="str">
        <f aca="false">IF(案件管理!$A$199:$A$199="","",案件管理!$A$199:$A$199)</f>
        <v/>
      </c>
      <c r="B204" s="10" t="str">
        <f aca="false">IF($A204="","",案件管理!$B$199:$B$199)</f>
        <v/>
      </c>
      <c r="C204" s="10" t="str">
        <f aca="false">IF($A204="","",案件管理!$D$199:$D$199)</f>
        <v/>
      </c>
      <c r="D204" s="30" t="str">
        <f aca="false">IF($A204="","",案件管理!$AE$199:$AE$199)</f>
        <v/>
      </c>
      <c r="E204" s="30" t="str">
        <f aca="false">IF($A204="","",SUM($G204:$AD204))</f>
        <v/>
      </c>
      <c r="F204" s="51" t="str">
        <f aca="false">IF($A204="","",N($D204)-N($E204))</f>
        <v/>
      </c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 customFormat="false" ht="15.75" hidden="false" customHeight="true" outlineLevel="0" collapsed="false">
      <c r="A205" s="28" t="str">
        <f aca="false">IF(案件管理!$A$200:$A$200="","",案件管理!$A$200:$A$200)</f>
        <v/>
      </c>
      <c r="B205" s="10" t="str">
        <f aca="false">IF($A205="","",案件管理!$B$200:$B$200)</f>
        <v/>
      </c>
      <c r="C205" s="10" t="str">
        <f aca="false">IF($A205="","",案件管理!$D$200:$D$200)</f>
        <v/>
      </c>
      <c r="D205" s="30" t="str">
        <f aca="false">IF($A205="","",案件管理!$AE$200:$AE$200)</f>
        <v/>
      </c>
      <c r="E205" s="30" t="str">
        <f aca="false">IF($A205="","",SUM($G205:$AD205))</f>
        <v/>
      </c>
      <c r="F205" s="51" t="str">
        <f aca="false">IF($A205="","",N($D205)-N($E205))</f>
        <v/>
      </c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 customFormat="false" ht="15.75" hidden="false" customHeight="true" outlineLevel="0" collapsed="false">
      <c r="A206" s="28" t="str">
        <f aca="false">IF(案件管理!$A$201:$A$201="","",案件管理!$A$201:$A$201)</f>
        <v/>
      </c>
      <c r="B206" s="10" t="str">
        <f aca="false">IF($A206="","",案件管理!$B$201:$B$201)</f>
        <v/>
      </c>
      <c r="C206" s="10" t="str">
        <f aca="false">IF($A206="","",案件管理!$D$201:$D$201)</f>
        <v/>
      </c>
      <c r="D206" s="30" t="str">
        <f aca="false">IF($A206="","",案件管理!$AE$201:$AE$201)</f>
        <v/>
      </c>
      <c r="E206" s="30" t="str">
        <f aca="false">IF($A206="","",SUM($G206:$AD206))</f>
        <v/>
      </c>
      <c r="F206" s="51" t="str">
        <f aca="false">IF($A206="","",N($D206)-N($E206))</f>
        <v/>
      </c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 customFormat="false" ht="15.75" hidden="false" customHeight="true" outlineLevel="0" collapsed="false">
      <c r="A207" s="28" t="str">
        <f aca="false">IF(案件管理!$A$202:$A$202="","",案件管理!$A$202:$A$202)</f>
        <v/>
      </c>
      <c r="B207" s="10" t="str">
        <f aca="false">IF($A207="","",案件管理!$B$202:$B$202)</f>
        <v/>
      </c>
      <c r="C207" s="10" t="str">
        <f aca="false">IF($A207="","",案件管理!$D$202:$D$202)</f>
        <v/>
      </c>
      <c r="D207" s="30" t="str">
        <f aca="false">IF($A207="","",案件管理!$AE$202:$AE$202)</f>
        <v/>
      </c>
      <c r="E207" s="30" t="str">
        <f aca="false">IF($A207="","",SUM($G207:$AD207))</f>
        <v/>
      </c>
      <c r="F207" s="51" t="str">
        <f aca="false">IF($A207="","",N($D207)-N($E207))</f>
        <v/>
      </c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 customFormat="false" ht="15" hidden="false" customHeight="false" outlineLevel="0" collapsed="false">
      <c r="A208" s="54" t="s">
        <v>171</v>
      </c>
      <c r="B208" s="55"/>
      <c r="C208" s="55"/>
      <c r="D208" s="56" t="n">
        <f aca="false">SUM(D8:D207)</f>
        <v>87</v>
      </c>
      <c r="E208" s="56" t="n">
        <f aca="false">SUM(E8:E207)</f>
        <v>87</v>
      </c>
      <c r="F208" s="57" t="n">
        <f aca="false">SUM(F8:F207)</f>
        <v>0</v>
      </c>
      <c r="G208" s="57" t="n">
        <f aca="false">SUM(G8:G207)</f>
        <v>4</v>
      </c>
      <c r="H208" s="57" t="n">
        <f aca="false">SUM(H8:H207)</f>
        <v>4</v>
      </c>
      <c r="I208" s="57" t="n">
        <f aca="false">SUM(I8:I207)</f>
        <v>19</v>
      </c>
      <c r="J208" s="57" t="n">
        <f aca="false">SUM(J8:J207)</f>
        <v>20</v>
      </c>
      <c r="K208" s="57" t="n">
        <f aca="false">SUM(K8:K207)</f>
        <v>10</v>
      </c>
      <c r="L208" s="57" t="n">
        <f aca="false">SUM(L8:L207)</f>
        <v>0</v>
      </c>
      <c r="M208" s="57" t="n">
        <f aca="false">SUM(M8:M207)</f>
        <v>0</v>
      </c>
      <c r="N208" s="57" t="n">
        <f aca="false">SUM(N8:N207)</f>
        <v>5</v>
      </c>
      <c r="O208" s="57" t="n">
        <f aca="false">SUM(O8:O207)</f>
        <v>10</v>
      </c>
      <c r="P208" s="57" t="n">
        <f aca="false">SUM(P8:P207)</f>
        <v>10</v>
      </c>
      <c r="Q208" s="57" t="n">
        <f aca="false">SUM(Q8:Q207)</f>
        <v>5</v>
      </c>
      <c r="R208" s="57" t="n">
        <f aca="false">SUM(R8:R207)</f>
        <v>0</v>
      </c>
      <c r="S208" s="57" t="n">
        <f aca="false">SUM(S8:S207)</f>
        <v>0</v>
      </c>
      <c r="T208" s="57" t="n">
        <f aca="false">SUM(T8:T207)</f>
        <v>0</v>
      </c>
      <c r="U208" s="57" t="n">
        <f aca="false">SUM(U8:U207)</f>
        <v>0</v>
      </c>
      <c r="V208" s="57" t="n">
        <f aca="false">SUM(V8:V207)</f>
        <v>0</v>
      </c>
      <c r="W208" s="57" t="n">
        <f aca="false">SUM(W8:W207)</f>
        <v>0</v>
      </c>
      <c r="X208" s="57" t="n">
        <f aca="false">SUM(X8:X207)</f>
        <v>0</v>
      </c>
      <c r="Y208" s="57" t="n">
        <f aca="false">SUM(Y8:Y207)</f>
        <v>0</v>
      </c>
      <c r="Z208" s="57" t="n">
        <f aca="false">SUM(Z8:Z207)</f>
        <v>0</v>
      </c>
      <c r="AA208" s="57" t="n">
        <f aca="false">SUM(AA8:AA207)</f>
        <v>0</v>
      </c>
      <c r="AB208" s="57" t="n">
        <f aca="false">SUM(AB8:AB207)</f>
        <v>0</v>
      </c>
      <c r="AC208" s="57" t="n">
        <f aca="false">SUM(AC8:AC207)</f>
        <v>0</v>
      </c>
      <c r="AD208" s="57" t="n">
        <f aca="false">SUM(AD8:AD207)</f>
        <v>0</v>
      </c>
    </row>
    <row r="211" customFormat="false" ht="15" hidden="false" customHeight="false" outlineLevel="0" collapsed="false">
      <c r="A211" s="2" t="s">
        <v>172</v>
      </c>
    </row>
    <row r="212" customFormat="false" ht="12" hidden="false" customHeight="true" outlineLevel="0" collapsed="false">
      <c r="A212" s="47" t="s">
        <v>167</v>
      </c>
      <c r="G212" s="48" t="n">
        <f aca="false">YEAR(G213)*100+MONTH(G213)</f>
        <v>202604</v>
      </c>
      <c r="H212" s="48" t="n">
        <f aca="false">YEAR(H213)*100+MONTH(H213)</f>
        <v>202605</v>
      </c>
      <c r="I212" s="48" t="n">
        <f aca="false">YEAR(I213)*100+MONTH(I213)</f>
        <v>202606</v>
      </c>
      <c r="J212" s="48" t="n">
        <f aca="false">YEAR(J213)*100+MONTH(J213)</f>
        <v>202607</v>
      </c>
      <c r="K212" s="48" t="n">
        <f aca="false">YEAR(K213)*100+MONTH(K213)</f>
        <v>202608</v>
      </c>
      <c r="L212" s="48" t="n">
        <f aca="false">YEAR(L213)*100+MONTH(L213)</f>
        <v>202609</v>
      </c>
      <c r="M212" s="48" t="n">
        <f aca="false">YEAR(M213)*100+MONTH(M213)</f>
        <v>202610</v>
      </c>
      <c r="N212" s="48" t="n">
        <f aca="false">YEAR(N213)*100+MONTH(N213)</f>
        <v>202611</v>
      </c>
      <c r="O212" s="48" t="n">
        <f aca="false">YEAR(O213)*100+MONTH(O213)</f>
        <v>202612</v>
      </c>
      <c r="P212" s="48" t="n">
        <f aca="false">YEAR(P213)*100+MONTH(P213)</f>
        <v>202701</v>
      </c>
      <c r="Q212" s="48" t="n">
        <f aca="false">YEAR(Q213)*100+MONTH(Q213)</f>
        <v>202702</v>
      </c>
      <c r="R212" s="48" t="n">
        <f aca="false">YEAR(R213)*100+MONTH(R213)</f>
        <v>202703</v>
      </c>
      <c r="S212" s="48" t="n">
        <f aca="false">YEAR(S213)*100+MONTH(S213)</f>
        <v>202704</v>
      </c>
      <c r="T212" s="48" t="n">
        <f aca="false">YEAR(T213)*100+MONTH(T213)</f>
        <v>202705</v>
      </c>
      <c r="U212" s="48" t="n">
        <f aca="false">YEAR(U213)*100+MONTH(U213)</f>
        <v>202706</v>
      </c>
      <c r="V212" s="48" t="n">
        <f aca="false">YEAR(V213)*100+MONTH(V213)</f>
        <v>202707</v>
      </c>
      <c r="W212" s="48" t="n">
        <f aca="false">YEAR(W213)*100+MONTH(W213)</f>
        <v>202708</v>
      </c>
      <c r="X212" s="48" t="n">
        <f aca="false">YEAR(X213)*100+MONTH(X213)</f>
        <v>202709</v>
      </c>
      <c r="Y212" s="48" t="n">
        <f aca="false">YEAR(Y213)*100+MONTH(Y213)</f>
        <v>202710</v>
      </c>
      <c r="Z212" s="48" t="n">
        <f aca="false">YEAR(Z213)*100+MONTH(Z213)</f>
        <v>202711</v>
      </c>
      <c r="AA212" s="48" t="n">
        <f aca="false">YEAR(AA213)*100+MONTH(AA213)</f>
        <v>202712</v>
      </c>
      <c r="AB212" s="48" t="n">
        <f aca="false">YEAR(AB213)*100+MONTH(AB213)</f>
        <v>202801</v>
      </c>
      <c r="AC212" s="48" t="n">
        <f aca="false">YEAR(AC213)*100+MONTH(AC213)</f>
        <v>202802</v>
      </c>
      <c r="AD212" s="48" t="n">
        <f aca="false">YEAR(AD213)*100+MONTH(AD213)</f>
        <v>202803</v>
      </c>
    </row>
    <row r="213" customFormat="false" ht="19.5" hidden="false" customHeight="true" outlineLevel="0" collapsed="false">
      <c r="A213" s="49" t="s">
        <v>168</v>
      </c>
      <c r="B213" s="49" t="s">
        <v>88</v>
      </c>
      <c r="C213" s="49" t="s">
        <v>90</v>
      </c>
      <c r="D213" s="49" t="s">
        <v>117</v>
      </c>
      <c r="E213" s="49" t="s">
        <v>173</v>
      </c>
      <c r="F213" s="49" t="s">
        <v>174</v>
      </c>
      <c r="G213" s="50" t="n">
        <f aca="false">EDATE(マスタ!$B$7,0)</f>
        <v>46113</v>
      </c>
      <c r="H213" s="50" t="n">
        <f aca="false">EDATE(マスタ!$B$7,1)</f>
        <v>46143</v>
      </c>
      <c r="I213" s="50" t="n">
        <f aca="false">EDATE(マスタ!$B$7,2)</f>
        <v>46174</v>
      </c>
      <c r="J213" s="50" t="n">
        <f aca="false">EDATE(マスタ!$B$7,3)</f>
        <v>46204</v>
      </c>
      <c r="K213" s="50" t="n">
        <f aca="false">EDATE(マスタ!$B$7,4)</f>
        <v>46235</v>
      </c>
      <c r="L213" s="50" t="n">
        <f aca="false">EDATE(マスタ!$B$7,5)</f>
        <v>46266</v>
      </c>
      <c r="M213" s="50" t="n">
        <f aca="false">EDATE(マスタ!$B$7,6)</f>
        <v>46296</v>
      </c>
      <c r="N213" s="50" t="n">
        <f aca="false">EDATE(マスタ!$B$7,7)</f>
        <v>46327</v>
      </c>
      <c r="O213" s="50" t="n">
        <f aca="false">EDATE(マスタ!$B$7,8)</f>
        <v>46357</v>
      </c>
      <c r="P213" s="50" t="n">
        <f aca="false">EDATE(マスタ!$B$7,9)</f>
        <v>46388</v>
      </c>
      <c r="Q213" s="50" t="n">
        <f aca="false">EDATE(マスタ!$B$7,10)</f>
        <v>46419</v>
      </c>
      <c r="R213" s="50" t="n">
        <f aca="false">EDATE(マスタ!$B$7,11)</f>
        <v>46447</v>
      </c>
      <c r="S213" s="50" t="n">
        <f aca="false">EDATE(マスタ!$B$7,12)</f>
        <v>46478</v>
      </c>
      <c r="T213" s="50" t="n">
        <f aca="false">EDATE(マスタ!$B$7,13)</f>
        <v>46508</v>
      </c>
      <c r="U213" s="50" t="n">
        <f aca="false">EDATE(マスタ!$B$7,14)</f>
        <v>46539</v>
      </c>
      <c r="V213" s="50" t="n">
        <f aca="false">EDATE(マスタ!$B$7,15)</f>
        <v>46569</v>
      </c>
      <c r="W213" s="50" t="n">
        <f aca="false">EDATE(マスタ!$B$7,16)</f>
        <v>46600</v>
      </c>
      <c r="X213" s="50" t="n">
        <f aca="false">EDATE(マスタ!$B$7,17)</f>
        <v>46631</v>
      </c>
      <c r="Y213" s="50" t="n">
        <f aca="false">EDATE(マスタ!$B$7,18)</f>
        <v>46661</v>
      </c>
      <c r="Z213" s="50" t="n">
        <f aca="false">EDATE(マスタ!$B$7,19)</f>
        <v>46692</v>
      </c>
      <c r="AA213" s="50" t="n">
        <f aca="false">EDATE(マスタ!$B$7,20)</f>
        <v>46722</v>
      </c>
      <c r="AB213" s="50" t="n">
        <f aca="false">EDATE(マスタ!$B$7,21)</f>
        <v>46753</v>
      </c>
      <c r="AC213" s="50" t="n">
        <f aca="false">EDATE(マスタ!$B$7,22)</f>
        <v>46784</v>
      </c>
      <c r="AD213" s="50" t="n">
        <f aca="false">EDATE(マスタ!$B$7,23)</f>
        <v>46813</v>
      </c>
    </row>
    <row r="214" customFormat="false" ht="15.75" hidden="false" customHeight="true" outlineLevel="0" collapsed="false">
      <c r="A214" s="28" t="str">
        <f aca="false">IF(案件管理!$A$3:$A$3="","",案件管理!$A$3:$A$3)</f>
        <v>P-001</v>
      </c>
      <c r="B214" s="10" t="str">
        <f aca="false">IF($A214="","",案件管理!$B$3:$B$3)</f>
        <v>本社ネットワーク更改</v>
      </c>
      <c r="C214" s="10" t="str">
        <f aca="false">IF($A214="","",案件管理!$D$3:$D$3)</f>
        <v>山田 太郎</v>
      </c>
      <c r="D214" s="30" t="n">
        <f aca="false">IF($A214="","",案件管理!$AE$3:$AE$3)</f>
        <v>45</v>
      </c>
      <c r="E214" s="30" t="n">
        <f aca="false">IF($A214="","",SUM($G214:$AD214))</f>
        <v>2.25</v>
      </c>
      <c r="F214" s="51" t="n">
        <f aca="false">IF($A214="","",N($E8)-N($E214))</f>
        <v>42.75</v>
      </c>
      <c r="G214" s="51" t="n">
        <f aca="false">IF($A214="","",SUMIFS(工数明細!$G$3:$G$302,工数明細!$B$3:$B$302,$A214,工数明細!$I$3:$I$302,G$212))</f>
        <v>0</v>
      </c>
      <c r="H214" s="51" t="n">
        <f aca="false">IF($A214="","",SUMIFS(工数明細!$G$3:$G$302,工数明細!$B$3:$B$302,$A214,工数明細!$I$3:$I$302,H$212))</f>
        <v>0</v>
      </c>
      <c r="I214" s="51" t="n">
        <f aca="false">IF($A214="","",SUMIFS(工数明細!$G$3:$G$302,工数明細!$B$3:$B$302,$A214,工数明細!$I$3:$I$302,I$212))</f>
        <v>1.75</v>
      </c>
      <c r="J214" s="51" t="n">
        <f aca="false">IF($A214="","",SUMIFS(工数明細!$G$3:$G$302,工数明細!$B$3:$B$302,$A214,工数明細!$I$3:$I$302,J$212))</f>
        <v>0.5</v>
      </c>
      <c r="K214" s="51" t="n">
        <f aca="false">IF($A214="","",SUMIFS(工数明細!$G$3:$G$302,工数明細!$B$3:$B$302,$A214,工数明細!$I$3:$I$302,K$212))</f>
        <v>0</v>
      </c>
      <c r="L214" s="51" t="n">
        <f aca="false">IF($A214="","",SUMIFS(工数明細!$G$3:$G$302,工数明細!$B$3:$B$302,$A214,工数明細!$I$3:$I$302,L$212))</f>
        <v>0</v>
      </c>
      <c r="M214" s="51" t="n">
        <f aca="false">IF($A214="","",SUMIFS(工数明細!$G$3:$G$302,工数明細!$B$3:$B$302,$A214,工数明細!$I$3:$I$302,M$212))</f>
        <v>0</v>
      </c>
      <c r="N214" s="51" t="n">
        <f aca="false">IF($A214="","",SUMIFS(工数明細!$G$3:$G$302,工数明細!$B$3:$B$302,$A214,工数明細!$I$3:$I$302,N$212))</f>
        <v>0</v>
      </c>
      <c r="O214" s="51" t="n">
        <f aca="false">IF($A214="","",SUMIFS(工数明細!$G$3:$G$302,工数明細!$B$3:$B$302,$A214,工数明細!$I$3:$I$302,O$212))</f>
        <v>0</v>
      </c>
      <c r="P214" s="51" t="n">
        <f aca="false">IF($A214="","",SUMIFS(工数明細!$G$3:$G$302,工数明細!$B$3:$B$302,$A214,工数明細!$I$3:$I$302,P$212))</f>
        <v>0</v>
      </c>
      <c r="Q214" s="51" t="n">
        <f aca="false">IF($A214="","",SUMIFS(工数明細!$G$3:$G$302,工数明細!$B$3:$B$302,$A214,工数明細!$I$3:$I$302,Q$212))</f>
        <v>0</v>
      </c>
      <c r="R214" s="51" t="n">
        <f aca="false">IF($A214="","",SUMIFS(工数明細!$G$3:$G$302,工数明細!$B$3:$B$302,$A214,工数明細!$I$3:$I$302,R$212))</f>
        <v>0</v>
      </c>
      <c r="S214" s="51" t="n">
        <f aca="false">IF($A214="","",SUMIFS(工数明細!$G$3:$G$302,工数明細!$B$3:$B$302,$A214,工数明細!$I$3:$I$302,S$212))</f>
        <v>0</v>
      </c>
      <c r="T214" s="51" t="n">
        <f aca="false">IF($A214="","",SUMIFS(工数明細!$G$3:$G$302,工数明細!$B$3:$B$302,$A214,工数明細!$I$3:$I$302,T$212))</f>
        <v>0</v>
      </c>
      <c r="U214" s="51" t="n">
        <f aca="false">IF($A214="","",SUMIFS(工数明細!$G$3:$G$302,工数明細!$B$3:$B$302,$A214,工数明細!$I$3:$I$302,U$212))</f>
        <v>0</v>
      </c>
      <c r="V214" s="51" t="n">
        <f aca="false">IF($A214="","",SUMIFS(工数明細!$G$3:$G$302,工数明細!$B$3:$B$302,$A214,工数明細!$I$3:$I$302,V$212))</f>
        <v>0</v>
      </c>
      <c r="W214" s="51" t="n">
        <f aca="false">IF($A214="","",SUMIFS(工数明細!$G$3:$G$302,工数明細!$B$3:$B$302,$A214,工数明細!$I$3:$I$302,W$212))</f>
        <v>0</v>
      </c>
      <c r="X214" s="51" t="n">
        <f aca="false">IF($A214="","",SUMIFS(工数明細!$G$3:$G$302,工数明細!$B$3:$B$302,$A214,工数明細!$I$3:$I$302,X$212))</f>
        <v>0</v>
      </c>
      <c r="Y214" s="51" t="n">
        <f aca="false">IF($A214="","",SUMIFS(工数明細!$G$3:$G$302,工数明細!$B$3:$B$302,$A214,工数明細!$I$3:$I$302,Y$212))</f>
        <v>0</v>
      </c>
      <c r="Z214" s="51" t="n">
        <f aca="false">IF($A214="","",SUMIFS(工数明細!$G$3:$G$302,工数明細!$B$3:$B$302,$A214,工数明細!$I$3:$I$302,Z$212))</f>
        <v>0</v>
      </c>
      <c r="AA214" s="51" t="n">
        <f aca="false">IF($A214="","",SUMIFS(工数明細!$G$3:$G$302,工数明細!$B$3:$B$302,$A214,工数明細!$I$3:$I$302,AA$212))</f>
        <v>0</v>
      </c>
      <c r="AB214" s="51" t="n">
        <f aca="false">IF($A214="","",SUMIFS(工数明細!$G$3:$G$302,工数明細!$B$3:$B$302,$A214,工数明細!$I$3:$I$302,AB$212))</f>
        <v>0</v>
      </c>
      <c r="AC214" s="51" t="n">
        <f aca="false">IF($A214="","",SUMIFS(工数明細!$G$3:$G$302,工数明細!$B$3:$B$302,$A214,工数明細!$I$3:$I$302,AC$212))</f>
        <v>0</v>
      </c>
      <c r="AD214" s="51" t="n">
        <f aca="false">IF($A214="","",SUMIFS(工数明細!$G$3:$G$302,工数明細!$B$3:$B$302,$A214,工数明細!$I$3:$I$302,AD$212))</f>
        <v>0</v>
      </c>
    </row>
    <row r="215" customFormat="false" ht="15.75" hidden="false" customHeight="true" outlineLevel="0" collapsed="false">
      <c r="A215" s="28" t="str">
        <f aca="false">IF(案件管理!$A$4:$A$4="","",案件管理!$A$4:$A$4)</f>
        <v>P-002</v>
      </c>
      <c r="B215" s="10" t="str">
        <f aca="false">IF($A215="","",案件管理!$B$4:$B$4)</f>
        <v>基幹システム保守（年間）</v>
      </c>
      <c r="C215" s="10" t="str">
        <f aca="false">IF($A215="","",案件管理!$D$4:$D$4)</f>
        <v>佐藤 花子</v>
      </c>
      <c r="D215" s="30" t="n">
        <f aca="false">IF($A215="","",案件管理!$AE$4:$AE$4)</f>
        <v>12</v>
      </c>
      <c r="E215" s="30" t="n">
        <f aca="false">IF($A215="","",SUM($G215:$AD215))</f>
        <v>0.5</v>
      </c>
      <c r="F215" s="51" t="n">
        <f aca="false">IF($A215="","",N($E9)-N($E215))</f>
        <v>11.5</v>
      </c>
      <c r="G215" s="51" t="n">
        <f aca="false">IF($A215="","",SUMIFS(工数明細!$G$3:$G$302,工数明細!$B$3:$B$302,$A215,工数明細!$I$3:$I$302,G$212))</f>
        <v>0</v>
      </c>
      <c r="H215" s="51" t="n">
        <f aca="false">IF($A215="","",SUMIFS(工数明細!$G$3:$G$302,工数明細!$B$3:$B$302,$A215,工数明細!$I$3:$I$302,H$212))</f>
        <v>0</v>
      </c>
      <c r="I215" s="51" t="n">
        <f aca="false">IF($A215="","",SUMIFS(工数明細!$G$3:$G$302,工数明細!$B$3:$B$302,$A215,工数明細!$I$3:$I$302,I$212))</f>
        <v>0.5</v>
      </c>
      <c r="J215" s="51" t="n">
        <f aca="false">IF($A215="","",SUMIFS(工数明細!$G$3:$G$302,工数明細!$B$3:$B$302,$A215,工数明細!$I$3:$I$302,J$212))</f>
        <v>0</v>
      </c>
      <c r="K215" s="51" t="n">
        <f aca="false">IF($A215="","",SUMIFS(工数明細!$G$3:$G$302,工数明細!$B$3:$B$302,$A215,工数明細!$I$3:$I$302,K$212))</f>
        <v>0</v>
      </c>
      <c r="L215" s="51" t="n">
        <f aca="false">IF($A215="","",SUMIFS(工数明細!$G$3:$G$302,工数明細!$B$3:$B$302,$A215,工数明細!$I$3:$I$302,L$212))</f>
        <v>0</v>
      </c>
      <c r="M215" s="51" t="n">
        <f aca="false">IF($A215="","",SUMIFS(工数明細!$G$3:$G$302,工数明細!$B$3:$B$302,$A215,工数明細!$I$3:$I$302,M$212))</f>
        <v>0</v>
      </c>
      <c r="N215" s="51" t="n">
        <f aca="false">IF($A215="","",SUMIFS(工数明細!$G$3:$G$302,工数明細!$B$3:$B$302,$A215,工数明細!$I$3:$I$302,N$212))</f>
        <v>0</v>
      </c>
      <c r="O215" s="51" t="n">
        <f aca="false">IF($A215="","",SUMIFS(工数明細!$G$3:$G$302,工数明細!$B$3:$B$302,$A215,工数明細!$I$3:$I$302,O$212))</f>
        <v>0</v>
      </c>
      <c r="P215" s="51" t="n">
        <f aca="false">IF($A215="","",SUMIFS(工数明細!$G$3:$G$302,工数明細!$B$3:$B$302,$A215,工数明細!$I$3:$I$302,P$212))</f>
        <v>0</v>
      </c>
      <c r="Q215" s="51" t="n">
        <f aca="false">IF($A215="","",SUMIFS(工数明細!$G$3:$G$302,工数明細!$B$3:$B$302,$A215,工数明細!$I$3:$I$302,Q$212))</f>
        <v>0</v>
      </c>
      <c r="R215" s="51" t="n">
        <f aca="false">IF($A215="","",SUMIFS(工数明細!$G$3:$G$302,工数明細!$B$3:$B$302,$A215,工数明細!$I$3:$I$302,R$212))</f>
        <v>0</v>
      </c>
      <c r="S215" s="51" t="n">
        <f aca="false">IF($A215="","",SUMIFS(工数明細!$G$3:$G$302,工数明細!$B$3:$B$302,$A215,工数明細!$I$3:$I$302,S$212))</f>
        <v>0</v>
      </c>
      <c r="T215" s="51" t="n">
        <f aca="false">IF($A215="","",SUMIFS(工数明細!$G$3:$G$302,工数明細!$B$3:$B$302,$A215,工数明細!$I$3:$I$302,T$212))</f>
        <v>0</v>
      </c>
      <c r="U215" s="51" t="n">
        <f aca="false">IF($A215="","",SUMIFS(工数明細!$G$3:$G$302,工数明細!$B$3:$B$302,$A215,工数明細!$I$3:$I$302,U$212))</f>
        <v>0</v>
      </c>
      <c r="V215" s="51" t="n">
        <f aca="false">IF($A215="","",SUMIFS(工数明細!$G$3:$G$302,工数明細!$B$3:$B$302,$A215,工数明細!$I$3:$I$302,V$212))</f>
        <v>0</v>
      </c>
      <c r="W215" s="51" t="n">
        <f aca="false">IF($A215="","",SUMIFS(工数明細!$G$3:$G$302,工数明細!$B$3:$B$302,$A215,工数明細!$I$3:$I$302,W$212))</f>
        <v>0</v>
      </c>
      <c r="X215" s="51" t="n">
        <f aca="false">IF($A215="","",SUMIFS(工数明細!$G$3:$G$302,工数明細!$B$3:$B$302,$A215,工数明細!$I$3:$I$302,X$212))</f>
        <v>0</v>
      </c>
      <c r="Y215" s="51" t="n">
        <f aca="false">IF($A215="","",SUMIFS(工数明細!$G$3:$G$302,工数明細!$B$3:$B$302,$A215,工数明細!$I$3:$I$302,Y$212))</f>
        <v>0</v>
      </c>
      <c r="Z215" s="51" t="n">
        <f aca="false">IF($A215="","",SUMIFS(工数明細!$G$3:$G$302,工数明細!$B$3:$B$302,$A215,工数明細!$I$3:$I$302,Z$212))</f>
        <v>0</v>
      </c>
      <c r="AA215" s="51" t="n">
        <f aca="false">IF($A215="","",SUMIFS(工数明細!$G$3:$G$302,工数明細!$B$3:$B$302,$A215,工数明細!$I$3:$I$302,AA$212))</f>
        <v>0</v>
      </c>
      <c r="AB215" s="51" t="n">
        <f aca="false">IF($A215="","",SUMIFS(工数明細!$G$3:$G$302,工数明細!$B$3:$B$302,$A215,工数明細!$I$3:$I$302,AB$212))</f>
        <v>0</v>
      </c>
      <c r="AC215" s="51" t="n">
        <f aca="false">IF($A215="","",SUMIFS(工数明細!$G$3:$G$302,工数明細!$B$3:$B$302,$A215,工数明細!$I$3:$I$302,AC$212))</f>
        <v>0</v>
      </c>
      <c r="AD215" s="51" t="n">
        <f aca="false">IF($A215="","",SUMIFS(工数明細!$G$3:$G$302,工数明細!$B$3:$B$302,$A215,工数明細!$I$3:$I$302,AD$212))</f>
        <v>0</v>
      </c>
    </row>
    <row r="216" customFormat="false" ht="15.75" hidden="false" customHeight="true" outlineLevel="0" collapsed="false">
      <c r="A216" s="28" t="str">
        <f aca="false">IF(案件管理!$A$5:$A$5="","",案件管理!$A$5:$A$5)</f>
        <v>P-003</v>
      </c>
      <c r="B216" s="10" t="str">
        <f aca="false">IF($A216="","",案件管理!$B$5:$B$5)</f>
        <v>Webサイトリニューアル</v>
      </c>
      <c r="C216" s="10" t="str">
        <f aca="false">IF($A216="","",案件管理!$D$5:$D$5)</f>
        <v>鈴木 一郎</v>
      </c>
      <c r="D216" s="30" t="n">
        <f aca="false">IF($A216="","",案件管理!$AE$5:$AE$5)</f>
        <v>30</v>
      </c>
      <c r="E216" s="30" t="n">
        <f aca="false">IF($A216="","",SUM($G216:$AD216))</f>
        <v>0</v>
      </c>
      <c r="F216" s="51" t="n">
        <f aca="false">IF($A216="","",N($E10)-N($E216))</f>
        <v>30</v>
      </c>
      <c r="G216" s="51" t="n">
        <f aca="false">IF($A216="","",SUMIFS(工数明細!$G$3:$G$302,工数明細!$B$3:$B$302,$A216,工数明細!$I$3:$I$302,G$212))</f>
        <v>0</v>
      </c>
      <c r="H216" s="51" t="n">
        <f aca="false">IF($A216="","",SUMIFS(工数明細!$G$3:$G$302,工数明細!$B$3:$B$302,$A216,工数明細!$I$3:$I$302,H$212))</f>
        <v>0</v>
      </c>
      <c r="I216" s="51" t="n">
        <f aca="false">IF($A216="","",SUMIFS(工数明細!$G$3:$G$302,工数明細!$B$3:$B$302,$A216,工数明細!$I$3:$I$302,I$212))</f>
        <v>0</v>
      </c>
      <c r="J216" s="51" t="n">
        <f aca="false">IF($A216="","",SUMIFS(工数明細!$G$3:$G$302,工数明細!$B$3:$B$302,$A216,工数明細!$I$3:$I$302,J$212))</f>
        <v>0</v>
      </c>
      <c r="K216" s="51" t="n">
        <f aca="false">IF($A216="","",SUMIFS(工数明細!$G$3:$G$302,工数明細!$B$3:$B$302,$A216,工数明細!$I$3:$I$302,K$212))</f>
        <v>0</v>
      </c>
      <c r="L216" s="51" t="n">
        <f aca="false">IF($A216="","",SUMIFS(工数明細!$G$3:$G$302,工数明細!$B$3:$B$302,$A216,工数明細!$I$3:$I$302,L$212))</f>
        <v>0</v>
      </c>
      <c r="M216" s="51" t="n">
        <f aca="false">IF($A216="","",SUMIFS(工数明細!$G$3:$G$302,工数明細!$B$3:$B$302,$A216,工数明細!$I$3:$I$302,M$212))</f>
        <v>0</v>
      </c>
      <c r="N216" s="51" t="n">
        <f aca="false">IF($A216="","",SUMIFS(工数明細!$G$3:$G$302,工数明細!$B$3:$B$302,$A216,工数明細!$I$3:$I$302,N$212))</f>
        <v>0</v>
      </c>
      <c r="O216" s="51" t="n">
        <f aca="false">IF($A216="","",SUMIFS(工数明細!$G$3:$G$302,工数明細!$B$3:$B$302,$A216,工数明細!$I$3:$I$302,O$212))</f>
        <v>0</v>
      </c>
      <c r="P216" s="51" t="n">
        <f aca="false">IF($A216="","",SUMIFS(工数明細!$G$3:$G$302,工数明細!$B$3:$B$302,$A216,工数明細!$I$3:$I$302,P$212))</f>
        <v>0</v>
      </c>
      <c r="Q216" s="51" t="n">
        <f aca="false">IF($A216="","",SUMIFS(工数明細!$G$3:$G$302,工数明細!$B$3:$B$302,$A216,工数明細!$I$3:$I$302,Q$212))</f>
        <v>0</v>
      </c>
      <c r="R216" s="51" t="n">
        <f aca="false">IF($A216="","",SUMIFS(工数明細!$G$3:$G$302,工数明細!$B$3:$B$302,$A216,工数明細!$I$3:$I$302,R$212))</f>
        <v>0</v>
      </c>
      <c r="S216" s="51" t="n">
        <f aca="false">IF($A216="","",SUMIFS(工数明細!$G$3:$G$302,工数明細!$B$3:$B$302,$A216,工数明細!$I$3:$I$302,S$212))</f>
        <v>0</v>
      </c>
      <c r="T216" s="51" t="n">
        <f aca="false">IF($A216="","",SUMIFS(工数明細!$G$3:$G$302,工数明細!$B$3:$B$302,$A216,工数明細!$I$3:$I$302,T$212))</f>
        <v>0</v>
      </c>
      <c r="U216" s="51" t="n">
        <f aca="false">IF($A216="","",SUMIFS(工数明細!$G$3:$G$302,工数明細!$B$3:$B$302,$A216,工数明細!$I$3:$I$302,U$212))</f>
        <v>0</v>
      </c>
      <c r="V216" s="51" t="n">
        <f aca="false">IF($A216="","",SUMIFS(工数明細!$G$3:$G$302,工数明細!$B$3:$B$302,$A216,工数明細!$I$3:$I$302,V$212))</f>
        <v>0</v>
      </c>
      <c r="W216" s="51" t="n">
        <f aca="false">IF($A216="","",SUMIFS(工数明細!$G$3:$G$302,工数明細!$B$3:$B$302,$A216,工数明細!$I$3:$I$302,W$212))</f>
        <v>0</v>
      </c>
      <c r="X216" s="51" t="n">
        <f aca="false">IF($A216="","",SUMIFS(工数明細!$G$3:$G$302,工数明細!$B$3:$B$302,$A216,工数明細!$I$3:$I$302,X$212))</f>
        <v>0</v>
      </c>
      <c r="Y216" s="51" t="n">
        <f aca="false">IF($A216="","",SUMIFS(工数明細!$G$3:$G$302,工数明細!$B$3:$B$302,$A216,工数明細!$I$3:$I$302,Y$212))</f>
        <v>0</v>
      </c>
      <c r="Z216" s="51" t="n">
        <f aca="false">IF($A216="","",SUMIFS(工数明細!$G$3:$G$302,工数明細!$B$3:$B$302,$A216,工数明細!$I$3:$I$302,Z$212))</f>
        <v>0</v>
      </c>
      <c r="AA216" s="51" t="n">
        <f aca="false">IF($A216="","",SUMIFS(工数明細!$G$3:$G$302,工数明細!$B$3:$B$302,$A216,工数明細!$I$3:$I$302,AA$212))</f>
        <v>0</v>
      </c>
      <c r="AB216" s="51" t="n">
        <f aca="false">IF($A216="","",SUMIFS(工数明細!$G$3:$G$302,工数明細!$B$3:$B$302,$A216,工数明細!$I$3:$I$302,AB$212))</f>
        <v>0</v>
      </c>
      <c r="AC216" s="51" t="n">
        <f aca="false">IF($A216="","",SUMIFS(工数明細!$G$3:$G$302,工数明細!$B$3:$B$302,$A216,工数明細!$I$3:$I$302,AC$212))</f>
        <v>0</v>
      </c>
      <c r="AD216" s="51" t="n">
        <f aca="false">IF($A216="","",SUMIFS(工数明細!$G$3:$G$302,工数明細!$B$3:$B$302,$A216,工数明細!$I$3:$I$302,AD$212))</f>
        <v>0</v>
      </c>
    </row>
    <row r="217" customFormat="false" ht="15.75" hidden="false" customHeight="true" outlineLevel="0" collapsed="false">
      <c r="A217" s="28" t="str">
        <f aca="false">IF(案件管理!$A$6:$A$6="","",案件管理!$A$6:$A$6)</f>
        <v/>
      </c>
      <c r="B217" s="10" t="str">
        <f aca="false">IF($A217="","",案件管理!$B$6:$B$6)</f>
        <v/>
      </c>
      <c r="C217" s="10" t="str">
        <f aca="false">IF($A217="","",案件管理!$D$6:$D$6)</f>
        <v/>
      </c>
      <c r="D217" s="30" t="str">
        <f aca="false">IF($A217="","",案件管理!$AE$6:$AE$6)</f>
        <v/>
      </c>
      <c r="E217" s="30" t="str">
        <f aca="false">IF($A217="","",SUM($G217:$AD217))</f>
        <v/>
      </c>
      <c r="F217" s="51" t="str">
        <f aca="false">IF($A217="","",N($E11)-N($E217))</f>
        <v/>
      </c>
      <c r="G217" s="51" t="str">
        <f aca="false">IF($A217="","",SUMIFS(工数明細!$G$3:$G$302,工数明細!$B$3:$B$302,$A217,工数明細!$I$3:$I$302,G$212))</f>
        <v/>
      </c>
      <c r="H217" s="51" t="str">
        <f aca="false">IF($A217="","",SUMIFS(工数明細!$G$3:$G$302,工数明細!$B$3:$B$302,$A217,工数明細!$I$3:$I$302,H$212))</f>
        <v/>
      </c>
      <c r="I217" s="51" t="str">
        <f aca="false">IF($A217="","",SUMIFS(工数明細!$G$3:$G$302,工数明細!$B$3:$B$302,$A217,工数明細!$I$3:$I$302,I$212))</f>
        <v/>
      </c>
      <c r="J217" s="51" t="str">
        <f aca="false">IF($A217="","",SUMIFS(工数明細!$G$3:$G$302,工数明細!$B$3:$B$302,$A217,工数明細!$I$3:$I$302,J$212))</f>
        <v/>
      </c>
      <c r="K217" s="51" t="str">
        <f aca="false">IF($A217="","",SUMIFS(工数明細!$G$3:$G$302,工数明細!$B$3:$B$302,$A217,工数明細!$I$3:$I$302,K$212))</f>
        <v/>
      </c>
      <c r="L217" s="51" t="str">
        <f aca="false">IF($A217="","",SUMIFS(工数明細!$G$3:$G$302,工数明細!$B$3:$B$302,$A217,工数明細!$I$3:$I$302,L$212))</f>
        <v/>
      </c>
      <c r="M217" s="51" t="str">
        <f aca="false">IF($A217="","",SUMIFS(工数明細!$G$3:$G$302,工数明細!$B$3:$B$302,$A217,工数明細!$I$3:$I$302,M$212))</f>
        <v/>
      </c>
      <c r="N217" s="51" t="str">
        <f aca="false">IF($A217="","",SUMIFS(工数明細!$G$3:$G$302,工数明細!$B$3:$B$302,$A217,工数明細!$I$3:$I$302,N$212))</f>
        <v/>
      </c>
      <c r="O217" s="51" t="str">
        <f aca="false">IF($A217="","",SUMIFS(工数明細!$G$3:$G$302,工数明細!$B$3:$B$302,$A217,工数明細!$I$3:$I$302,O$212))</f>
        <v/>
      </c>
      <c r="P217" s="51" t="str">
        <f aca="false">IF($A217="","",SUMIFS(工数明細!$G$3:$G$302,工数明細!$B$3:$B$302,$A217,工数明細!$I$3:$I$302,P$212))</f>
        <v/>
      </c>
      <c r="Q217" s="51" t="str">
        <f aca="false">IF($A217="","",SUMIFS(工数明細!$G$3:$G$302,工数明細!$B$3:$B$302,$A217,工数明細!$I$3:$I$302,Q$212))</f>
        <v/>
      </c>
      <c r="R217" s="51" t="str">
        <f aca="false">IF($A217="","",SUMIFS(工数明細!$G$3:$G$302,工数明細!$B$3:$B$302,$A217,工数明細!$I$3:$I$302,R$212))</f>
        <v/>
      </c>
      <c r="S217" s="51" t="str">
        <f aca="false">IF($A217="","",SUMIFS(工数明細!$G$3:$G$302,工数明細!$B$3:$B$302,$A217,工数明細!$I$3:$I$302,S$212))</f>
        <v/>
      </c>
      <c r="T217" s="51" t="str">
        <f aca="false">IF($A217="","",SUMIFS(工数明細!$G$3:$G$302,工数明細!$B$3:$B$302,$A217,工数明細!$I$3:$I$302,T$212))</f>
        <v/>
      </c>
      <c r="U217" s="51" t="str">
        <f aca="false">IF($A217="","",SUMIFS(工数明細!$G$3:$G$302,工数明細!$B$3:$B$302,$A217,工数明細!$I$3:$I$302,U$212))</f>
        <v/>
      </c>
      <c r="V217" s="51" t="str">
        <f aca="false">IF($A217="","",SUMIFS(工数明細!$G$3:$G$302,工数明細!$B$3:$B$302,$A217,工数明細!$I$3:$I$302,V$212))</f>
        <v/>
      </c>
      <c r="W217" s="51" t="str">
        <f aca="false">IF($A217="","",SUMIFS(工数明細!$G$3:$G$302,工数明細!$B$3:$B$302,$A217,工数明細!$I$3:$I$302,W$212))</f>
        <v/>
      </c>
      <c r="X217" s="51" t="str">
        <f aca="false">IF($A217="","",SUMIFS(工数明細!$G$3:$G$302,工数明細!$B$3:$B$302,$A217,工数明細!$I$3:$I$302,X$212))</f>
        <v/>
      </c>
      <c r="Y217" s="51" t="str">
        <f aca="false">IF($A217="","",SUMIFS(工数明細!$G$3:$G$302,工数明細!$B$3:$B$302,$A217,工数明細!$I$3:$I$302,Y$212))</f>
        <v/>
      </c>
      <c r="Z217" s="51" t="str">
        <f aca="false">IF($A217="","",SUMIFS(工数明細!$G$3:$G$302,工数明細!$B$3:$B$302,$A217,工数明細!$I$3:$I$302,Z$212))</f>
        <v/>
      </c>
      <c r="AA217" s="51" t="str">
        <f aca="false">IF($A217="","",SUMIFS(工数明細!$G$3:$G$302,工数明細!$B$3:$B$302,$A217,工数明細!$I$3:$I$302,AA$212))</f>
        <v/>
      </c>
      <c r="AB217" s="51" t="str">
        <f aca="false">IF($A217="","",SUMIFS(工数明細!$G$3:$G$302,工数明細!$B$3:$B$302,$A217,工数明細!$I$3:$I$302,AB$212))</f>
        <v/>
      </c>
      <c r="AC217" s="51" t="str">
        <f aca="false">IF($A217="","",SUMIFS(工数明細!$G$3:$G$302,工数明細!$B$3:$B$302,$A217,工数明細!$I$3:$I$302,AC$212))</f>
        <v/>
      </c>
      <c r="AD217" s="51" t="str">
        <f aca="false">IF($A217="","",SUMIFS(工数明細!$G$3:$G$302,工数明細!$B$3:$B$302,$A217,工数明細!$I$3:$I$302,AD$212))</f>
        <v/>
      </c>
    </row>
    <row r="218" customFormat="false" ht="15.75" hidden="false" customHeight="true" outlineLevel="0" collapsed="false">
      <c r="A218" s="28" t="str">
        <f aca="false">IF(案件管理!$A$7:$A$7="","",案件管理!$A$7:$A$7)</f>
        <v/>
      </c>
      <c r="B218" s="10" t="str">
        <f aca="false">IF($A218="","",案件管理!$B$7:$B$7)</f>
        <v/>
      </c>
      <c r="C218" s="10" t="str">
        <f aca="false">IF($A218="","",案件管理!$D$7:$D$7)</f>
        <v/>
      </c>
      <c r="D218" s="30" t="str">
        <f aca="false">IF($A218="","",案件管理!$AE$7:$AE$7)</f>
        <v/>
      </c>
      <c r="E218" s="30" t="str">
        <f aca="false">IF($A218="","",SUM($G218:$AD218))</f>
        <v/>
      </c>
      <c r="F218" s="51" t="str">
        <f aca="false">IF($A218="","",N($E12)-N($E218))</f>
        <v/>
      </c>
      <c r="G218" s="51" t="str">
        <f aca="false">IF($A218="","",SUMIFS(工数明細!$G$3:$G$302,工数明細!$B$3:$B$302,$A218,工数明細!$I$3:$I$302,G$212))</f>
        <v/>
      </c>
      <c r="H218" s="51" t="str">
        <f aca="false">IF($A218="","",SUMIFS(工数明細!$G$3:$G$302,工数明細!$B$3:$B$302,$A218,工数明細!$I$3:$I$302,H$212))</f>
        <v/>
      </c>
      <c r="I218" s="51" t="str">
        <f aca="false">IF($A218="","",SUMIFS(工数明細!$G$3:$G$302,工数明細!$B$3:$B$302,$A218,工数明細!$I$3:$I$302,I$212))</f>
        <v/>
      </c>
      <c r="J218" s="51" t="str">
        <f aca="false">IF($A218="","",SUMIFS(工数明細!$G$3:$G$302,工数明細!$B$3:$B$302,$A218,工数明細!$I$3:$I$302,J$212))</f>
        <v/>
      </c>
      <c r="K218" s="51" t="str">
        <f aca="false">IF($A218="","",SUMIFS(工数明細!$G$3:$G$302,工数明細!$B$3:$B$302,$A218,工数明細!$I$3:$I$302,K$212))</f>
        <v/>
      </c>
      <c r="L218" s="51" t="str">
        <f aca="false">IF($A218="","",SUMIFS(工数明細!$G$3:$G$302,工数明細!$B$3:$B$302,$A218,工数明細!$I$3:$I$302,L$212))</f>
        <v/>
      </c>
      <c r="M218" s="51" t="str">
        <f aca="false">IF($A218="","",SUMIFS(工数明細!$G$3:$G$302,工数明細!$B$3:$B$302,$A218,工数明細!$I$3:$I$302,M$212))</f>
        <v/>
      </c>
      <c r="N218" s="51" t="str">
        <f aca="false">IF($A218="","",SUMIFS(工数明細!$G$3:$G$302,工数明細!$B$3:$B$302,$A218,工数明細!$I$3:$I$302,N$212))</f>
        <v/>
      </c>
      <c r="O218" s="51" t="str">
        <f aca="false">IF($A218="","",SUMIFS(工数明細!$G$3:$G$302,工数明細!$B$3:$B$302,$A218,工数明細!$I$3:$I$302,O$212))</f>
        <v/>
      </c>
      <c r="P218" s="51" t="str">
        <f aca="false">IF($A218="","",SUMIFS(工数明細!$G$3:$G$302,工数明細!$B$3:$B$302,$A218,工数明細!$I$3:$I$302,P$212))</f>
        <v/>
      </c>
      <c r="Q218" s="51" t="str">
        <f aca="false">IF($A218="","",SUMIFS(工数明細!$G$3:$G$302,工数明細!$B$3:$B$302,$A218,工数明細!$I$3:$I$302,Q$212))</f>
        <v/>
      </c>
      <c r="R218" s="51" t="str">
        <f aca="false">IF($A218="","",SUMIFS(工数明細!$G$3:$G$302,工数明細!$B$3:$B$302,$A218,工数明細!$I$3:$I$302,R$212))</f>
        <v/>
      </c>
      <c r="S218" s="51" t="str">
        <f aca="false">IF($A218="","",SUMIFS(工数明細!$G$3:$G$302,工数明細!$B$3:$B$302,$A218,工数明細!$I$3:$I$302,S$212))</f>
        <v/>
      </c>
      <c r="T218" s="51" t="str">
        <f aca="false">IF($A218="","",SUMIFS(工数明細!$G$3:$G$302,工数明細!$B$3:$B$302,$A218,工数明細!$I$3:$I$302,T$212))</f>
        <v/>
      </c>
      <c r="U218" s="51" t="str">
        <f aca="false">IF($A218="","",SUMIFS(工数明細!$G$3:$G$302,工数明細!$B$3:$B$302,$A218,工数明細!$I$3:$I$302,U$212))</f>
        <v/>
      </c>
      <c r="V218" s="51" t="str">
        <f aca="false">IF($A218="","",SUMIFS(工数明細!$G$3:$G$302,工数明細!$B$3:$B$302,$A218,工数明細!$I$3:$I$302,V$212))</f>
        <v/>
      </c>
      <c r="W218" s="51" t="str">
        <f aca="false">IF($A218="","",SUMIFS(工数明細!$G$3:$G$302,工数明細!$B$3:$B$302,$A218,工数明細!$I$3:$I$302,W$212))</f>
        <v/>
      </c>
      <c r="X218" s="51" t="str">
        <f aca="false">IF($A218="","",SUMIFS(工数明細!$G$3:$G$302,工数明細!$B$3:$B$302,$A218,工数明細!$I$3:$I$302,X$212))</f>
        <v/>
      </c>
      <c r="Y218" s="51" t="str">
        <f aca="false">IF($A218="","",SUMIFS(工数明細!$G$3:$G$302,工数明細!$B$3:$B$302,$A218,工数明細!$I$3:$I$302,Y$212))</f>
        <v/>
      </c>
      <c r="Z218" s="51" t="str">
        <f aca="false">IF($A218="","",SUMIFS(工数明細!$G$3:$G$302,工数明細!$B$3:$B$302,$A218,工数明細!$I$3:$I$302,Z$212))</f>
        <v/>
      </c>
      <c r="AA218" s="51" t="str">
        <f aca="false">IF($A218="","",SUMIFS(工数明細!$G$3:$G$302,工数明細!$B$3:$B$302,$A218,工数明細!$I$3:$I$302,AA$212))</f>
        <v/>
      </c>
      <c r="AB218" s="51" t="str">
        <f aca="false">IF($A218="","",SUMIFS(工数明細!$G$3:$G$302,工数明細!$B$3:$B$302,$A218,工数明細!$I$3:$I$302,AB$212))</f>
        <v/>
      </c>
      <c r="AC218" s="51" t="str">
        <f aca="false">IF($A218="","",SUMIFS(工数明細!$G$3:$G$302,工数明細!$B$3:$B$302,$A218,工数明細!$I$3:$I$302,AC$212))</f>
        <v/>
      </c>
      <c r="AD218" s="51" t="str">
        <f aca="false">IF($A218="","",SUMIFS(工数明細!$G$3:$G$302,工数明細!$B$3:$B$302,$A218,工数明細!$I$3:$I$302,AD$212))</f>
        <v/>
      </c>
    </row>
    <row r="219" customFormat="false" ht="15.75" hidden="false" customHeight="true" outlineLevel="0" collapsed="false">
      <c r="A219" s="28" t="str">
        <f aca="false">IF(案件管理!$A$8:$A$8="","",案件管理!$A$8:$A$8)</f>
        <v/>
      </c>
      <c r="B219" s="10" t="str">
        <f aca="false">IF($A219="","",案件管理!$B$8:$B$8)</f>
        <v/>
      </c>
      <c r="C219" s="10" t="str">
        <f aca="false">IF($A219="","",案件管理!$D$8:$D$8)</f>
        <v/>
      </c>
      <c r="D219" s="30" t="str">
        <f aca="false">IF($A219="","",案件管理!$AE$8:$AE$8)</f>
        <v/>
      </c>
      <c r="E219" s="30" t="str">
        <f aca="false">IF($A219="","",SUM($G219:$AD219))</f>
        <v/>
      </c>
      <c r="F219" s="51" t="str">
        <f aca="false">IF($A219="","",N($E13)-N($E219))</f>
        <v/>
      </c>
      <c r="G219" s="51" t="str">
        <f aca="false">IF($A219="","",SUMIFS(工数明細!$G$3:$G$302,工数明細!$B$3:$B$302,$A219,工数明細!$I$3:$I$302,G$212))</f>
        <v/>
      </c>
      <c r="H219" s="51" t="str">
        <f aca="false">IF($A219="","",SUMIFS(工数明細!$G$3:$G$302,工数明細!$B$3:$B$302,$A219,工数明細!$I$3:$I$302,H$212))</f>
        <v/>
      </c>
      <c r="I219" s="51" t="str">
        <f aca="false">IF($A219="","",SUMIFS(工数明細!$G$3:$G$302,工数明細!$B$3:$B$302,$A219,工数明細!$I$3:$I$302,I$212))</f>
        <v/>
      </c>
      <c r="J219" s="51" t="str">
        <f aca="false">IF($A219="","",SUMIFS(工数明細!$G$3:$G$302,工数明細!$B$3:$B$302,$A219,工数明細!$I$3:$I$302,J$212))</f>
        <v/>
      </c>
      <c r="K219" s="51" t="str">
        <f aca="false">IF($A219="","",SUMIFS(工数明細!$G$3:$G$302,工数明細!$B$3:$B$302,$A219,工数明細!$I$3:$I$302,K$212))</f>
        <v/>
      </c>
      <c r="L219" s="51" t="str">
        <f aca="false">IF($A219="","",SUMIFS(工数明細!$G$3:$G$302,工数明細!$B$3:$B$302,$A219,工数明細!$I$3:$I$302,L$212))</f>
        <v/>
      </c>
      <c r="M219" s="51" t="str">
        <f aca="false">IF($A219="","",SUMIFS(工数明細!$G$3:$G$302,工数明細!$B$3:$B$302,$A219,工数明細!$I$3:$I$302,M$212))</f>
        <v/>
      </c>
      <c r="N219" s="51" t="str">
        <f aca="false">IF($A219="","",SUMIFS(工数明細!$G$3:$G$302,工数明細!$B$3:$B$302,$A219,工数明細!$I$3:$I$302,N$212))</f>
        <v/>
      </c>
      <c r="O219" s="51" t="str">
        <f aca="false">IF($A219="","",SUMIFS(工数明細!$G$3:$G$302,工数明細!$B$3:$B$302,$A219,工数明細!$I$3:$I$302,O$212))</f>
        <v/>
      </c>
      <c r="P219" s="51" t="str">
        <f aca="false">IF($A219="","",SUMIFS(工数明細!$G$3:$G$302,工数明細!$B$3:$B$302,$A219,工数明細!$I$3:$I$302,P$212))</f>
        <v/>
      </c>
      <c r="Q219" s="51" t="str">
        <f aca="false">IF($A219="","",SUMIFS(工数明細!$G$3:$G$302,工数明細!$B$3:$B$302,$A219,工数明細!$I$3:$I$302,Q$212))</f>
        <v/>
      </c>
      <c r="R219" s="51" t="str">
        <f aca="false">IF($A219="","",SUMIFS(工数明細!$G$3:$G$302,工数明細!$B$3:$B$302,$A219,工数明細!$I$3:$I$302,R$212))</f>
        <v/>
      </c>
      <c r="S219" s="51" t="str">
        <f aca="false">IF($A219="","",SUMIFS(工数明細!$G$3:$G$302,工数明細!$B$3:$B$302,$A219,工数明細!$I$3:$I$302,S$212))</f>
        <v/>
      </c>
      <c r="T219" s="51" t="str">
        <f aca="false">IF($A219="","",SUMIFS(工数明細!$G$3:$G$302,工数明細!$B$3:$B$302,$A219,工数明細!$I$3:$I$302,T$212))</f>
        <v/>
      </c>
      <c r="U219" s="51" t="str">
        <f aca="false">IF($A219="","",SUMIFS(工数明細!$G$3:$G$302,工数明細!$B$3:$B$302,$A219,工数明細!$I$3:$I$302,U$212))</f>
        <v/>
      </c>
      <c r="V219" s="51" t="str">
        <f aca="false">IF($A219="","",SUMIFS(工数明細!$G$3:$G$302,工数明細!$B$3:$B$302,$A219,工数明細!$I$3:$I$302,V$212))</f>
        <v/>
      </c>
      <c r="W219" s="51" t="str">
        <f aca="false">IF($A219="","",SUMIFS(工数明細!$G$3:$G$302,工数明細!$B$3:$B$302,$A219,工数明細!$I$3:$I$302,W$212))</f>
        <v/>
      </c>
      <c r="X219" s="51" t="str">
        <f aca="false">IF($A219="","",SUMIFS(工数明細!$G$3:$G$302,工数明細!$B$3:$B$302,$A219,工数明細!$I$3:$I$302,X$212))</f>
        <v/>
      </c>
      <c r="Y219" s="51" t="str">
        <f aca="false">IF($A219="","",SUMIFS(工数明細!$G$3:$G$302,工数明細!$B$3:$B$302,$A219,工数明細!$I$3:$I$302,Y$212))</f>
        <v/>
      </c>
      <c r="Z219" s="51" t="str">
        <f aca="false">IF($A219="","",SUMIFS(工数明細!$G$3:$G$302,工数明細!$B$3:$B$302,$A219,工数明細!$I$3:$I$302,Z$212))</f>
        <v/>
      </c>
      <c r="AA219" s="51" t="str">
        <f aca="false">IF($A219="","",SUMIFS(工数明細!$G$3:$G$302,工数明細!$B$3:$B$302,$A219,工数明細!$I$3:$I$302,AA$212))</f>
        <v/>
      </c>
      <c r="AB219" s="51" t="str">
        <f aca="false">IF($A219="","",SUMIFS(工数明細!$G$3:$G$302,工数明細!$B$3:$B$302,$A219,工数明細!$I$3:$I$302,AB$212))</f>
        <v/>
      </c>
      <c r="AC219" s="51" t="str">
        <f aca="false">IF($A219="","",SUMIFS(工数明細!$G$3:$G$302,工数明細!$B$3:$B$302,$A219,工数明細!$I$3:$I$302,AC$212))</f>
        <v/>
      </c>
      <c r="AD219" s="51" t="str">
        <f aca="false">IF($A219="","",SUMIFS(工数明細!$G$3:$G$302,工数明細!$B$3:$B$302,$A219,工数明細!$I$3:$I$302,AD$212))</f>
        <v/>
      </c>
    </row>
    <row r="220" customFormat="false" ht="15.75" hidden="false" customHeight="true" outlineLevel="0" collapsed="false">
      <c r="A220" s="28" t="str">
        <f aca="false">IF(案件管理!$A$9:$A$9="","",案件管理!$A$9:$A$9)</f>
        <v/>
      </c>
      <c r="B220" s="10" t="str">
        <f aca="false">IF($A220="","",案件管理!$B$9:$B$9)</f>
        <v/>
      </c>
      <c r="C220" s="10" t="str">
        <f aca="false">IF($A220="","",案件管理!$D$9:$D$9)</f>
        <v/>
      </c>
      <c r="D220" s="30" t="str">
        <f aca="false">IF($A220="","",案件管理!$AE$9:$AE$9)</f>
        <v/>
      </c>
      <c r="E220" s="30" t="str">
        <f aca="false">IF($A220="","",SUM($G220:$AD220))</f>
        <v/>
      </c>
      <c r="F220" s="51" t="str">
        <f aca="false">IF($A220="","",N($E14)-N($E220))</f>
        <v/>
      </c>
      <c r="G220" s="51" t="str">
        <f aca="false">IF($A220="","",SUMIFS(工数明細!$G$3:$G$302,工数明細!$B$3:$B$302,$A220,工数明細!$I$3:$I$302,G$212))</f>
        <v/>
      </c>
      <c r="H220" s="51" t="str">
        <f aca="false">IF($A220="","",SUMIFS(工数明細!$G$3:$G$302,工数明細!$B$3:$B$302,$A220,工数明細!$I$3:$I$302,H$212))</f>
        <v/>
      </c>
      <c r="I220" s="51" t="str">
        <f aca="false">IF($A220="","",SUMIFS(工数明細!$G$3:$G$302,工数明細!$B$3:$B$302,$A220,工数明細!$I$3:$I$302,I$212))</f>
        <v/>
      </c>
      <c r="J220" s="51" t="str">
        <f aca="false">IF($A220="","",SUMIFS(工数明細!$G$3:$G$302,工数明細!$B$3:$B$302,$A220,工数明細!$I$3:$I$302,J$212))</f>
        <v/>
      </c>
      <c r="K220" s="51" t="str">
        <f aca="false">IF($A220="","",SUMIFS(工数明細!$G$3:$G$302,工数明細!$B$3:$B$302,$A220,工数明細!$I$3:$I$302,K$212))</f>
        <v/>
      </c>
      <c r="L220" s="51" t="str">
        <f aca="false">IF($A220="","",SUMIFS(工数明細!$G$3:$G$302,工数明細!$B$3:$B$302,$A220,工数明細!$I$3:$I$302,L$212))</f>
        <v/>
      </c>
      <c r="M220" s="51" t="str">
        <f aca="false">IF($A220="","",SUMIFS(工数明細!$G$3:$G$302,工数明細!$B$3:$B$302,$A220,工数明細!$I$3:$I$302,M$212))</f>
        <v/>
      </c>
      <c r="N220" s="51" t="str">
        <f aca="false">IF($A220="","",SUMIFS(工数明細!$G$3:$G$302,工数明細!$B$3:$B$302,$A220,工数明細!$I$3:$I$302,N$212))</f>
        <v/>
      </c>
      <c r="O220" s="51" t="str">
        <f aca="false">IF($A220="","",SUMIFS(工数明細!$G$3:$G$302,工数明細!$B$3:$B$302,$A220,工数明細!$I$3:$I$302,O$212))</f>
        <v/>
      </c>
      <c r="P220" s="51" t="str">
        <f aca="false">IF($A220="","",SUMIFS(工数明細!$G$3:$G$302,工数明細!$B$3:$B$302,$A220,工数明細!$I$3:$I$302,P$212))</f>
        <v/>
      </c>
      <c r="Q220" s="51" t="str">
        <f aca="false">IF($A220="","",SUMIFS(工数明細!$G$3:$G$302,工数明細!$B$3:$B$302,$A220,工数明細!$I$3:$I$302,Q$212))</f>
        <v/>
      </c>
      <c r="R220" s="51" t="str">
        <f aca="false">IF($A220="","",SUMIFS(工数明細!$G$3:$G$302,工数明細!$B$3:$B$302,$A220,工数明細!$I$3:$I$302,R$212))</f>
        <v/>
      </c>
      <c r="S220" s="51" t="str">
        <f aca="false">IF($A220="","",SUMIFS(工数明細!$G$3:$G$302,工数明細!$B$3:$B$302,$A220,工数明細!$I$3:$I$302,S$212))</f>
        <v/>
      </c>
      <c r="T220" s="51" t="str">
        <f aca="false">IF($A220="","",SUMIFS(工数明細!$G$3:$G$302,工数明細!$B$3:$B$302,$A220,工数明細!$I$3:$I$302,T$212))</f>
        <v/>
      </c>
      <c r="U220" s="51" t="str">
        <f aca="false">IF($A220="","",SUMIFS(工数明細!$G$3:$G$302,工数明細!$B$3:$B$302,$A220,工数明細!$I$3:$I$302,U$212))</f>
        <v/>
      </c>
      <c r="V220" s="51" t="str">
        <f aca="false">IF($A220="","",SUMIFS(工数明細!$G$3:$G$302,工数明細!$B$3:$B$302,$A220,工数明細!$I$3:$I$302,V$212))</f>
        <v/>
      </c>
      <c r="W220" s="51" t="str">
        <f aca="false">IF($A220="","",SUMIFS(工数明細!$G$3:$G$302,工数明細!$B$3:$B$302,$A220,工数明細!$I$3:$I$302,W$212))</f>
        <v/>
      </c>
      <c r="X220" s="51" t="str">
        <f aca="false">IF($A220="","",SUMIFS(工数明細!$G$3:$G$302,工数明細!$B$3:$B$302,$A220,工数明細!$I$3:$I$302,X$212))</f>
        <v/>
      </c>
      <c r="Y220" s="51" t="str">
        <f aca="false">IF($A220="","",SUMIFS(工数明細!$G$3:$G$302,工数明細!$B$3:$B$302,$A220,工数明細!$I$3:$I$302,Y$212))</f>
        <v/>
      </c>
      <c r="Z220" s="51" t="str">
        <f aca="false">IF($A220="","",SUMIFS(工数明細!$G$3:$G$302,工数明細!$B$3:$B$302,$A220,工数明細!$I$3:$I$302,Z$212))</f>
        <v/>
      </c>
      <c r="AA220" s="51" t="str">
        <f aca="false">IF($A220="","",SUMIFS(工数明細!$G$3:$G$302,工数明細!$B$3:$B$302,$A220,工数明細!$I$3:$I$302,AA$212))</f>
        <v/>
      </c>
      <c r="AB220" s="51" t="str">
        <f aca="false">IF($A220="","",SUMIFS(工数明細!$G$3:$G$302,工数明細!$B$3:$B$302,$A220,工数明細!$I$3:$I$302,AB$212))</f>
        <v/>
      </c>
      <c r="AC220" s="51" t="str">
        <f aca="false">IF($A220="","",SUMIFS(工数明細!$G$3:$G$302,工数明細!$B$3:$B$302,$A220,工数明細!$I$3:$I$302,AC$212))</f>
        <v/>
      </c>
      <c r="AD220" s="51" t="str">
        <f aca="false">IF($A220="","",SUMIFS(工数明細!$G$3:$G$302,工数明細!$B$3:$B$302,$A220,工数明細!$I$3:$I$302,AD$212))</f>
        <v/>
      </c>
    </row>
    <row r="221" customFormat="false" ht="15.75" hidden="false" customHeight="true" outlineLevel="0" collapsed="false">
      <c r="A221" s="28" t="str">
        <f aca="false">IF(案件管理!$A$10:$A$10="","",案件管理!$A$10:$A$10)</f>
        <v/>
      </c>
      <c r="B221" s="10" t="str">
        <f aca="false">IF($A221="","",案件管理!$B$10:$B$10)</f>
        <v/>
      </c>
      <c r="C221" s="10" t="str">
        <f aca="false">IF($A221="","",案件管理!$D$10:$D$10)</f>
        <v/>
      </c>
      <c r="D221" s="30" t="str">
        <f aca="false">IF($A221="","",案件管理!$AE$10:$AE$10)</f>
        <v/>
      </c>
      <c r="E221" s="30" t="str">
        <f aca="false">IF($A221="","",SUM($G221:$AD221))</f>
        <v/>
      </c>
      <c r="F221" s="51" t="str">
        <f aca="false">IF($A221="","",N($E15)-N($E221))</f>
        <v/>
      </c>
      <c r="G221" s="51" t="str">
        <f aca="false">IF($A221="","",SUMIFS(工数明細!$G$3:$G$302,工数明細!$B$3:$B$302,$A221,工数明細!$I$3:$I$302,G$212))</f>
        <v/>
      </c>
      <c r="H221" s="51" t="str">
        <f aca="false">IF($A221="","",SUMIFS(工数明細!$G$3:$G$302,工数明細!$B$3:$B$302,$A221,工数明細!$I$3:$I$302,H$212))</f>
        <v/>
      </c>
      <c r="I221" s="51" t="str">
        <f aca="false">IF($A221="","",SUMIFS(工数明細!$G$3:$G$302,工数明細!$B$3:$B$302,$A221,工数明細!$I$3:$I$302,I$212))</f>
        <v/>
      </c>
      <c r="J221" s="51" t="str">
        <f aca="false">IF($A221="","",SUMIFS(工数明細!$G$3:$G$302,工数明細!$B$3:$B$302,$A221,工数明細!$I$3:$I$302,J$212))</f>
        <v/>
      </c>
      <c r="K221" s="51" t="str">
        <f aca="false">IF($A221="","",SUMIFS(工数明細!$G$3:$G$302,工数明細!$B$3:$B$302,$A221,工数明細!$I$3:$I$302,K$212))</f>
        <v/>
      </c>
      <c r="L221" s="51" t="str">
        <f aca="false">IF($A221="","",SUMIFS(工数明細!$G$3:$G$302,工数明細!$B$3:$B$302,$A221,工数明細!$I$3:$I$302,L$212))</f>
        <v/>
      </c>
      <c r="M221" s="51" t="str">
        <f aca="false">IF($A221="","",SUMIFS(工数明細!$G$3:$G$302,工数明細!$B$3:$B$302,$A221,工数明細!$I$3:$I$302,M$212))</f>
        <v/>
      </c>
      <c r="N221" s="51" t="str">
        <f aca="false">IF($A221="","",SUMIFS(工数明細!$G$3:$G$302,工数明細!$B$3:$B$302,$A221,工数明細!$I$3:$I$302,N$212))</f>
        <v/>
      </c>
      <c r="O221" s="51" t="str">
        <f aca="false">IF($A221="","",SUMIFS(工数明細!$G$3:$G$302,工数明細!$B$3:$B$302,$A221,工数明細!$I$3:$I$302,O$212))</f>
        <v/>
      </c>
      <c r="P221" s="51" t="str">
        <f aca="false">IF($A221="","",SUMIFS(工数明細!$G$3:$G$302,工数明細!$B$3:$B$302,$A221,工数明細!$I$3:$I$302,P$212))</f>
        <v/>
      </c>
      <c r="Q221" s="51" t="str">
        <f aca="false">IF($A221="","",SUMIFS(工数明細!$G$3:$G$302,工数明細!$B$3:$B$302,$A221,工数明細!$I$3:$I$302,Q$212))</f>
        <v/>
      </c>
      <c r="R221" s="51" t="str">
        <f aca="false">IF($A221="","",SUMIFS(工数明細!$G$3:$G$302,工数明細!$B$3:$B$302,$A221,工数明細!$I$3:$I$302,R$212))</f>
        <v/>
      </c>
      <c r="S221" s="51" t="str">
        <f aca="false">IF($A221="","",SUMIFS(工数明細!$G$3:$G$302,工数明細!$B$3:$B$302,$A221,工数明細!$I$3:$I$302,S$212))</f>
        <v/>
      </c>
      <c r="T221" s="51" t="str">
        <f aca="false">IF($A221="","",SUMIFS(工数明細!$G$3:$G$302,工数明細!$B$3:$B$302,$A221,工数明細!$I$3:$I$302,T$212))</f>
        <v/>
      </c>
      <c r="U221" s="51" t="str">
        <f aca="false">IF($A221="","",SUMIFS(工数明細!$G$3:$G$302,工数明細!$B$3:$B$302,$A221,工数明細!$I$3:$I$302,U$212))</f>
        <v/>
      </c>
      <c r="V221" s="51" t="str">
        <f aca="false">IF($A221="","",SUMIFS(工数明細!$G$3:$G$302,工数明細!$B$3:$B$302,$A221,工数明細!$I$3:$I$302,V$212))</f>
        <v/>
      </c>
      <c r="W221" s="51" t="str">
        <f aca="false">IF($A221="","",SUMIFS(工数明細!$G$3:$G$302,工数明細!$B$3:$B$302,$A221,工数明細!$I$3:$I$302,W$212))</f>
        <v/>
      </c>
      <c r="X221" s="51" t="str">
        <f aca="false">IF($A221="","",SUMIFS(工数明細!$G$3:$G$302,工数明細!$B$3:$B$302,$A221,工数明細!$I$3:$I$302,X$212))</f>
        <v/>
      </c>
      <c r="Y221" s="51" t="str">
        <f aca="false">IF($A221="","",SUMIFS(工数明細!$G$3:$G$302,工数明細!$B$3:$B$302,$A221,工数明細!$I$3:$I$302,Y$212))</f>
        <v/>
      </c>
      <c r="Z221" s="51" t="str">
        <f aca="false">IF($A221="","",SUMIFS(工数明細!$G$3:$G$302,工数明細!$B$3:$B$302,$A221,工数明細!$I$3:$I$302,Z$212))</f>
        <v/>
      </c>
      <c r="AA221" s="51" t="str">
        <f aca="false">IF($A221="","",SUMIFS(工数明細!$G$3:$G$302,工数明細!$B$3:$B$302,$A221,工数明細!$I$3:$I$302,AA$212))</f>
        <v/>
      </c>
      <c r="AB221" s="51" t="str">
        <f aca="false">IF($A221="","",SUMIFS(工数明細!$G$3:$G$302,工数明細!$B$3:$B$302,$A221,工数明細!$I$3:$I$302,AB$212))</f>
        <v/>
      </c>
      <c r="AC221" s="51" t="str">
        <f aca="false">IF($A221="","",SUMIFS(工数明細!$G$3:$G$302,工数明細!$B$3:$B$302,$A221,工数明細!$I$3:$I$302,AC$212))</f>
        <v/>
      </c>
      <c r="AD221" s="51" t="str">
        <f aca="false">IF($A221="","",SUMIFS(工数明細!$G$3:$G$302,工数明細!$B$3:$B$302,$A221,工数明細!$I$3:$I$302,AD$212))</f>
        <v/>
      </c>
    </row>
    <row r="222" customFormat="false" ht="15.75" hidden="false" customHeight="true" outlineLevel="0" collapsed="false">
      <c r="A222" s="28" t="str">
        <f aca="false">IF(案件管理!$A$11:$A$11="","",案件管理!$A$11:$A$11)</f>
        <v/>
      </c>
      <c r="B222" s="10" t="str">
        <f aca="false">IF($A222="","",案件管理!$B$11:$B$11)</f>
        <v/>
      </c>
      <c r="C222" s="10" t="str">
        <f aca="false">IF($A222="","",案件管理!$D$11:$D$11)</f>
        <v/>
      </c>
      <c r="D222" s="30" t="str">
        <f aca="false">IF($A222="","",案件管理!$AE$11:$AE$11)</f>
        <v/>
      </c>
      <c r="E222" s="30" t="str">
        <f aca="false">IF($A222="","",SUM($G222:$AD222))</f>
        <v/>
      </c>
      <c r="F222" s="51" t="str">
        <f aca="false">IF($A222="","",N($E16)-N($E222))</f>
        <v/>
      </c>
      <c r="G222" s="51" t="str">
        <f aca="false">IF($A222="","",SUMIFS(工数明細!$G$3:$G$302,工数明細!$B$3:$B$302,$A222,工数明細!$I$3:$I$302,G$212))</f>
        <v/>
      </c>
      <c r="H222" s="51" t="str">
        <f aca="false">IF($A222="","",SUMIFS(工数明細!$G$3:$G$302,工数明細!$B$3:$B$302,$A222,工数明細!$I$3:$I$302,H$212))</f>
        <v/>
      </c>
      <c r="I222" s="51" t="str">
        <f aca="false">IF($A222="","",SUMIFS(工数明細!$G$3:$G$302,工数明細!$B$3:$B$302,$A222,工数明細!$I$3:$I$302,I$212))</f>
        <v/>
      </c>
      <c r="J222" s="51" t="str">
        <f aca="false">IF($A222="","",SUMIFS(工数明細!$G$3:$G$302,工数明細!$B$3:$B$302,$A222,工数明細!$I$3:$I$302,J$212))</f>
        <v/>
      </c>
      <c r="K222" s="51" t="str">
        <f aca="false">IF($A222="","",SUMIFS(工数明細!$G$3:$G$302,工数明細!$B$3:$B$302,$A222,工数明細!$I$3:$I$302,K$212))</f>
        <v/>
      </c>
      <c r="L222" s="51" t="str">
        <f aca="false">IF($A222="","",SUMIFS(工数明細!$G$3:$G$302,工数明細!$B$3:$B$302,$A222,工数明細!$I$3:$I$302,L$212))</f>
        <v/>
      </c>
      <c r="M222" s="51" t="str">
        <f aca="false">IF($A222="","",SUMIFS(工数明細!$G$3:$G$302,工数明細!$B$3:$B$302,$A222,工数明細!$I$3:$I$302,M$212))</f>
        <v/>
      </c>
      <c r="N222" s="51" t="str">
        <f aca="false">IF($A222="","",SUMIFS(工数明細!$G$3:$G$302,工数明細!$B$3:$B$302,$A222,工数明細!$I$3:$I$302,N$212))</f>
        <v/>
      </c>
      <c r="O222" s="51" t="str">
        <f aca="false">IF($A222="","",SUMIFS(工数明細!$G$3:$G$302,工数明細!$B$3:$B$302,$A222,工数明細!$I$3:$I$302,O$212))</f>
        <v/>
      </c>
      <c r="P222" s="51" t="str">
        <f aca="false">IF($A222="","",SUMIFS(工数明細!$G$3:$G$302,工数明細!$B$3:$B$302,$A222,工数明細!$I$3:$I$302,P$212))</f>
        <v/>
      </c>
      <c r="Q222" s="51" t="str">
        <f aca="false">IF($A222="","",SUMIFS(工数明細!$G$3:$G$302,工数明細!$B$3:$B$302,$A222,工数明細!$I$3:$I$302,Q$212))</f>
        <v/>
      </c>
      <c r="R222" s="51" t="str">
        <f aca="false">IF($A222="","",SUMIFS(工数明細!$G$3:$G$302,工数明細!$B$3:$B$302,$A222,工数明細!$I$3:$I$302,R$212))</f>
        <v/>
      </c>
      <c r="S222" s="51" t="str">
        <f aca="false">IF($A222="","",SUMIFS(工数明細!$G$3:$G$302,工数明細!$B$3:$B$302,$A222,工数明細!$I$3:$I$302,S$212))</f>
        <v/>
      </c>
      <c r="T222" s="51" t="str">
        <f aca="false">IF($A222="","",SUMIFS(工数明細!$G$3:$G$302,工数明細!$B$3:$B$302,$A222,工数明細!$I$3:$I$302,T$212))</f>
        <v/>
      </c>
      <c r="U222" s="51" t="str">
        <f aca="false">IF($A222="","",SUMIFS(工数明細!$G$3:$G$302,工数明細!$B$3:$B$302,$A222,工数明細!$I$3:$I$302,U$212))</f>
        <v/>
      </c>
      <c r="V222" s="51" t="str">
        <f aca="false">IF($A222="","",SUMIFS(工数明細!$G$3:$G$302,工数明細!$B$3:$B$302,$A222,工数明細!$I$3:$I$302,V$212))</f>
        <v/>
      </c>
      <c r="W222" s="51" t="str">
        <f aca="false">IF($A222="","",SUMIFS(工数明細!$G$3:$G$302,工数明細!$B$3:$B$302,$A222,工数明細!$I$3:$I$302,W$212))</f>
        <v/>
      </c>
      <c r="X222" s="51" t="str">
        <f aca="false">IF($A222="","",SUMIFS(工数明細!$G$3:$G$302,工数明細!$B$3:$B$302,$A222,工数明細!$I$3:$I$302,X$212))</f>
        <v/>
      </c>
      <c r="Y222" s="51" t="str">
        <f aca="false">IF($A222="","",SUMIFS(工数明細!$G$3:$G$302,工数明細!$B$3:$B$302,$A222,工数明細!$I$3:$I$302,Y$212))</f>
        <v/>
      </c>
      <c r="Z222" s="51" t="str">
        <f aca="false">IF($A222="","",SUMIFS(工数明細!$G$3:$G$302,工数明細!$B$3:$B$302,$A222,工数明細!$I$3:$I$302,Z$212))</f>
        <v/>
      </c>
      <c r="AA222" s="51" t="str">
        <f aca="false">IF($A222="","",SUMIFS(工数明細!$G$3:$G$302,工数明細!$B$3:$B$302,$A222,工数明細!$I$3:$I$302,AA$212))</f>
        <v/>
      </c>
      <c r="AB222" s="51" t="str">
        <f aca="false">IF($A222="","",SUMIFS(工数明細!$G$3:$G$302,工数明細!$B$3:$B$302,$A222,工数明細!$I$3:$I$302,AB$212))</f>
        <v/>
      </c>
      <c r="AC222" s="51" t="str">
        <f aca="false">IF($A222="","",SUMIFS(工数明細!$G$3:$G$302,工数明細!$B$3:$B$302,$A222,工数明細!$I$3:$I$302,AC$212))</f>
        <v/>
      </c>
      <c r="AD222" s="51" t="str">
        <f aca="false">IF($A222="","",SUMIFS(工数明細!$G$3:$G$302,工数明細!$B$3:$B$302,$A222,工数明細!$I$3:$I$302,AD$212))</f>
        <v/>
      </c>
    </row>
    <row r="223" customFormat="false" ht="15.75" hidden="false" customHeight="true" outlineLevel="0" collapsed="false">
      <c r="A223" s="28" t="str">
        <f aca="false">IF(案件管理!$A$12:$A$12="","",案件管理!$A$12:$A$12)</f>
        <v/>
      </c>
      <c r="B223" s="10" t="str">
        <f aca="false">IF($A223="","",案件管理!$B$12:$B$12)</f>
        <v/>
      </c>
      <c r="C223" s="10" t="str">
        <f aca="false">IF($A223="","",案件管理!$D$12:$D$12)</f>
        <v/>
      </c>
      <c r="D223" s="30" t="str">
        <f aca="false">IF($A223="","",案件管理!$AE$12:$AE$12)</f>
        <v/>
      </c>
      <c r="E223" s="30" t="str">
        <f aca="false">IF($A223="","",SUM($G223:$AD223))</f>
        <v/>
      </c>
      <c r="F223" s="51" t="str">
        <f aca="false">IF($A223="","",N($E17)-N($E223))</f>
        <v/>
      </c>
      <c r="G223" s="51" t="str">
        <f aca="false">IF($A223="","",SUMIFS(工数明細!$G$3:$G$302,工数明細!$B$3:$B$302,$A223,工数明細!$I$3:$I$302,G$212))</f>
        <v/>
      </c>
      <c r="H223" s="51" t="str">
        <f aca="false">IF($A223="","",SUMIFS(工数明細!$G$3:$G$302,工数明細!$B$3:$B$302,$A223,工数明細!$I$3:$I$302,H$212))</f>
        <v/>
      </c>
      <c r="I223" s="51" t="str">
        <f aca="false">IF($A223="","",SUMIFS(工数明細!$G$3:$G$302,工数明細!$B$3:$B$302,$A223,工数明細!$I$3:$I$302,I$212))</f>
        <v/>
      </c>
      <c r="J223" s="51" t="str">
        <f aca="false">IF($A223="","",SUMIFS(工数明細!$G$3:$G$302,工数明細!$B$3:$B$302,$A223,工数明細!$I$3:$I$302,J$212))</f>
        <v/>
      </c>
      <c r="K223" s="51" t="str">
        <f aca="false">IF($A223="","",SUMIFS(工数明細!$G$3:$G$302,工数明細!$B$3:$B$302,$A223,工数明細!$I$3:$I$302,K$212))</f>
        <v/>
      </c>
      <c r="L223" s="51" t="str">
        <f aca="false">IF($A223="","",SUMIFS(工数明細!$G$3:$G$302,工数明細!$B$3:$B$302,$A223,工数明細!$I$3:$I$302,L$212))</f>
        <v/>
      </c>
      <c r="M223" s="51" t="str">
        <f aca="false">IF($A223="","",SUMIFS(工数明細!$G$3:$G$302,工数明細!$B$3:$B$302,$A223,工数明細!$I$3:$I$302,M$212))</f>
        <v/>
      </c>
      <c r="N223" s="51" t="str">
        <f aca="false">IF($A223="","",SUMIFS(工数明細!$G$3:$G$302,工数明細!$B$3:$B$302,$A223,工数明細!$I$3:$I$302,N$212))</f>
        <v/>
      </c>
      <c r="O223" s="51" t="str">
        <f aca="false">IF($A223="","",SUMIFS(工数明細!$G$3:$G$302,工数明細!$B$3:$B$302,$A223,工数明細!$I$3:$I$302,O$212))</f>
        <v/>
      </c>
      <c r="P223" s="51" t="str">
        <f aca="false">IF($A223="","",SUMIFS(工数明細!$G$3:$G$302,工数明細!$B$3:$B$302,$A223,工数明細!$I$3:$I$302,P$212))</f>
        <v/>
      </c>
      <c r="Q223" s="51" t="str">
        <f aca="false">IF($A223="","",SUMIFS(工数明細!$G$3:$G$302,工数明細!$B$3:$B$302,$A223,工数明細!$I$3:$I$302,Q$212))</f>
        <v/>
      </c>
      <c r="R223" s="51" t="str">
        <f aca="false">IF($A223="","",SUMIFS(工数明細!$G$3:$G$302,工数明細!$B$3:$B$302,$A223,工数明細!$I$3:$I$302,R$212))</f>
        <v/>
      </c>
      <c r="S223" s="51" t="str">
        <f aca="false">IF($A223="","",SUMIFS(工数明細!$G$3:$G$302,工数明細!$B$3:$B$302,$A223,工数明細!$I$3:$I$302,S$212))</f>
        <v/>
      </c>
      <c r="T223" s="51" t="str">
        <f aca="false">IF($A223="","",SUMIFS(工数明細!$G$3:$G$302,工数明細!$B$3:$B$302,$A223,工数明細!$I$3:$I$302,T$212))</f>
        <v/>
      </c>
      <c r="U223" s="51" t="str">
        <f aca="false">IF($A223="","",SUMIFS(工数明細!$G$3:$G$302,工数明細!$B$3:$B$302,$A223,工数明細!$I$3:$I$302,U$212))</f>
        <v/>
      </c>
      <c r="V223" s="51" t="str">
        <f aca="false">IF($A223="","",SUMIFS(工数明細!$G$3:$G$302,工数明細!$B$3:$B$302,$A223,工数明細!$I$3:$I$302,V$212))</f>
        <v/>
      </c>
      <c r="W223" s="51" t="str">
        <f aca="false">IF($A223="","",SUMIFS(工数明細!$G$3:$G$302,工数明細!$B$3:$B$302,$A223,工数明細!$I$3:$I$302,W$212))</f>
        <v/>
      </c>
      <c r="X223" s="51" t="str">
        <f aca="false">IF($A223="","",SUMIFS(工数明細!$G$3:$G$302,工数明細!$B$3:$B$302,$A223,工数明細!$I$3:$I$302,X$212))</f>
        <v/>
      </c>
      <c r="Y223" s="51" t="str">
        <f aca="false">IF($A223="","",SUMIFS(工数明細!$G$3:$G$302,工数明細!$B$3:$B$302,$A223,工数明細!$I$3:$I$302,Y$212))</f>
        <v/>
      </c>
      <c r="Z223" s="51" t="str">
        <f aca="false">IF($A223="","",SUMIFS(工数明細!$G$3:$G$302,工数明細!$B$3:$B$302,$A223,工数明細!$I$3:$I$302,Z$212))</f>
        <v/>
      </c>
      <c r="AA223" s="51" t="str">
        <f aca="false">IF($A223="","",SUMIFS(工数明細!$G$3:$G$302,工数明細!$B$3:$B$302,$A223,工数明細!$I$3:$I$302,AA$212))</f>
        <v/>
      </c>
      <c r="AB223" s="51" t="str">
        <f aca="false">IF($A223="","",SUMIFS(工数明細!$G$3:$G$302,工数明細!$B$3:$B$302,$A223,工数明細!$I$3:$I$302,AB$212))</f>
        <v/>
      </c>
      <c r="AC223" s="51" t="str">
        <f aca="false">IF($A223="","",SUMIFS(工数明細!$G$3:$G$302,工数明細!$B$3:$B$302,$A223,工数明細!$I$3:$I$302,AC$212))</f>
        <v/>
      </c>
      <c r="AD223" s="51" t="str">
        <f aca="false">IF($A223="","",SUMIFS(工数明細!$G$3:$G$302,工数明細!$B$3:$B$302,$A223,工数明細!$I$3:$I$302,AD$212))</f>
        <v/>
      </c>
    </row>
    <row r="224" customFormat="false" ht="15.75" hidden="false" customHeight="true" outlineLevel="0" collapsed="false">
      <c r="A224" s="28" t="str">
        <f aca="false">IF(案件管理!$A$13:$A$13="","",案件管理!$A$13:$A$13)</f>
        <v/>
      </c>
      <c r="B224" s="10" t="str">
        <f aca="false">IF($A224="","",案件管理!$B$13:$B$13)</f>
        <v/>
      </c>
      <c r="C224" s="10" t="str">
        <f aca="false">IF($A224="","",案件管理!$D$13:$D$13)</f>
        <v/>
      </c>
      <c r="D224" s="30" t="str">
        <f aca="false">IF($A224="","",案件管理!$AE$13:$AE$13)</f>
        <v/>
      </c>
      <c r="E224" s="30" t="str">
        <f aca="false">IF($A224="","",SUM($G224:$AD224))</f>
        <v/>
      </c>
      <c r="F224" s="51" t="str">
        <f aca="false">IF($A224="","",N($E18)-N($E224))</f>
        <v/>
      </c>
      <c r="G224" s="51" t="str">
        <f aca="false">IF($A224="","",SUMIFS(工数明細!$G$3:$G$302,工数明細!$B$3:$B$302,$A224,工数明細!$I$3:$I$302,G$212))</f>
        <v/>
      </c>
      <c r="H224" s="51" t="str">
        <f aca="false">IF($A224="","",SUMIFS(工数明細!$G$3:$G$302,工数明細!$B$3:$B$302,$A224,工数明細!$I$3:$I$302,H$212))</f>
        <v/>
      </c>
      <c r="I224" s="51" t="str">
        <f aca="false">IF($A224="","",SUMIFS(工数明細!$G$3:$G$302,工数明細!$B$3:$B$302,$A224,工数明細!$I$3:$I$302,I$212))</f>
        <v/>
      </c>
      <c r="J224" s="51" t="str">
        <f aca="false">IF($A224="","",SUMIFS(工数明細!$G$3:$G$302,工数明細!$B$3:$B$302,$A224,工数明細!$I$3:$I$302,J$212))</f>
        <v/>
      </c>
      <c r="K224" s="51" t="str">
        <f aca="false">IF($A224="","",SUMIFS(工数明細!$G$3:$G$302,工数明細!$B$3:$B$302,$A224,工数明細!$I$3:$I$302,K$212))</f>
        <v/>
      </c>
      <c r="L224" s="51" t="str">
        <f aca="false">IF($A224="","",SUMIFS(工数明細!$G$3:$G$302,工数明細!$B$3:$B$302,$A224,工数明細!$I$3:$I$302,L$212))</f>
        <v/>
      </c>
      <c r="M224" s="51" t="str">
        <f aca="false">IF($A224="","",SUMIFS(工数明細!$G$3:$G$302,工数明細!$B$3:$B$302,$A224,工数明細!$I$3:$I$302,M$212))</f>
        <v/>
      </c>
      <c r="N224" s="51" t="str">
        <f aca="false">IF($A224="","",SUMIFS(工数明細!$G$3:$G$302,工数明細!$B$3:$B$302,$A224,工数明細!$I$3:$I$302,N$212))</f>
        <v/>
      </c>
      <c r="O224" s="51" t="str">
        <f aca="false">IF($A224="","",SUMIFS(工数明細!$G$3:$G$302,工数明細!$B$3:$B$302,$A224,工数明細!$I$3:$I$302,O$212))</f>
        <v/>
      </c>
      <c r="P224" s="51" t="str">
        <f aca="false">IF($A224="","",SUMIFS(工数明細!$G$3:$G$302,工数明細!$B$3:$B$302,$A224,工数明細!$I$3:$I$302,P$212))</f>
        <v/>
      </c>
      <c r="Q224" s="51" t="str">
        <f aca="false">IF($A224="","",SUMIFS(工数明細!$G$3:$G$302,工数明細!$B$3:$B$302,$A224,工数明細!$I$3:$I$302,Q$212))</f>
        <v/>
      </c>
      <c r="R224" s="51" t="str">
        <f aca="false">IF($A224="","",SUMIFS(工数明細!$G$3:$G$302,工数明細!$B$3:$B$302,$A224,工数明細!$I$3:$I$302,R$212))</f>
        <v/>
      </c>
      <c r="S224" s="51" t="str">
        <f aca="false">IF($A224="","",SUMIFS(工数明細!$G$3:$G$302,工数明細!$B$3:$B$302,$A224,工数明細!$I$3:$I$302,S$212))</f>
        <v/>
      </c>
      <c r="T224" s="51" t="str">
        <f aca="false">IF($A224="","",SUMIFS(工数明細!$G$3:$G$302,工数明細!$B$3:$B$302,$A224,工数明細!$I$3:$I$302,T$212))</f>
        <v/>
      </c>
      <c r="U224" s="51" t="str">
        <f aca="false">IF($A224="","",SUMIFS(工数明細!$G$3:$G$302,工数明細!$B$3:$B$302,$A224,工数明細!$I$3:$I$302,U$212))</f>
        <v/>
      </c>
      <c r="V224" s="51" t="str">
        <f aca="false">IF($A224="","",SUMIFS(工数明細!$G$3:$G$302,工数明細!$B$3:$B$302,$A224,工数明細!$I$3:$I$302,V$212))</f>
        <v/>
      </c>
      <c r="W224" s="51" t="str">
        <f aca="false">IF($A224="","",SUMIFS(工数明細!$G$3:$G$302,工数明細!$B$3:$B$302,$A224,工数明細!$I$3:$I$302,W$212))</f>
        <v/>
      </c>
      <c r="X224" s="51" t="str">
        <f aca="false">IF($A224="","",SUMIFS(工数明細!$G$3:$G$302,工数明細!$B$3:$B$302,$A224,工数明細!$I$3:$I$302,X$212))</f>
        <v/>
      </c>
      <c r="Y224" s="51" t="str">
        <f aca="false">IF($A224="","",SUMIFS(工数明細!$G$3:$G$302,工数明細!$B$3:$B$302,$A224,工数明細!$I$3:$I$302,Y$212))</f>
        <v/>
      </c>
      <c r="Z224" s="51" t="str">
        <f aca="false">IF($A224="","",SUMIFS(工数明細!$G$3:$G$302,工数明細!$B$3:$B$302,$A224,工数明細!$I$3:$I$302,Z$212))</f>
        <v/>
      </c>
      <c r="AA224" s="51" t="str">
        <f aca="false">IF($A224="","",SUMIFS(工数明細!$G$3:$G$302,工数明細!$B$3:$B$302,$A224,工数明細!$I$3:$I$302,AA$212))</f>
        <v/>
      </c>
      <c r="AB224" s="51" t="str">
        <f aca="false">IF($A224="","",SUMIFS(工数明細!$G$3:$G$302,工数明細!$B$3:$B$302,$A224,工数明細!$I$3:$I$302,AB$212))</f>
        <v/>
      </c>
      <c r="AC224" s="51" t="str">
        <f aca="false">IF($A224="","",SUMIFS(工数明細!$G$3:$G$302,工数明細!$B$3:$B$302,$A224,工数明細!$I$3:$I$302,AC$212))</f>
        <v/>
      </c>
      <c r="AD224" s="51" t="str">
        <f aca="false">IF($A224="","",SUMIFS(工数明細!$G$3:$G$302,工数明細!$B$3:$B$302,$A224,工数明細!$I$3:$I$302,AD$212))</f>
        <v/>
      </c>
    </row>
    <row r="225" customFormat="false" ht="15.75" hidden="false" customHeight="true" outlineLevel="0" collapsed="false">
      <c r="A225" s="28" t="str">
        <f aca="false">IF(案件管理!$A$14:$A$14="","",案件管理!$A$14:$A$14)</f>
        <v/>
      </c>
      <c r="B225" s="10" t="str">
        <f aca="false">IF($A225="","",案件管理!$B$14:$B$14)</f>
        <v/>
      </c>
      <c r="C225" s="10" t="str">
        <f aca="false">IF($A225="","",案件管理!$D$14:$D$14)</f>
        <v/>
      </c>
      <c r="D225" s="30" t="str">
        <f aca="false">IF($A225="","",案件管理!$AE$14:$AE$14)</f>
        <v/>
      </c>
      <c r="E225" s="30" t="str">
        <f aca="false">IF($A225="","",SUM($G225:$AD225))</f>
        <v/>
      </c>
      <c r="F225" s="51" t="str">
        <f aca="false">IF($A225="","",N($E19)-N($E225))</f>
        <v/>
      </c>
      <c r="G225" s="51" t="str">
        <f aca="false">IF($A225="","",SUMIFS(工数明細!$G$3:$G$302,工数明細!$B$3:$B$302,$A225,工数明細!$I$3:$I$302,G$212))</f>
        <v/>
      </c>
      <c r="H225" s="51" t="str">
        <f aca="false">IF($A225="","",SUMIFS(工数明細!$G$3:$G$302,工数明細!$B$3:$B$302,$A225,工数明細!$I$3:$I$302,H$212))</f>
        <v/>
      </c>
      <c r="I225" s="51" t="str">
        <f aca="false">IF($A225="","",SUMIFS(工数明細!$G$3:$G$302,工数明細!$B$3:$B$302,$A225,工数明細!$I$3:$I$302,I$212))</f>
        <v/>
      </c>
      <c r="J225" s="51" t="str">
        <f aca="false">IF($A225="","",SUMIFS(工数明細!$G$3:$G$302,工数明細!$B$3:$B$302,$A225,工数明細!$I$3:$I$302,J$212))</f>
        <v/>
      </c>
      <c r="K225" s="51" t="str">
        <f aca="false">IF($A225="","",SUMIFS(工数明細!$G$3:$G$302,工数明細!$B$3:$B$302,$A225,工数明細!$I$3:$I$302,K$212))</f>
        <v/>
      </c>
      <c r="L225" s="51" t="str">
        <f aca="false">IF($A225="","",SUMIFS(工数明細!$G$3:$G$302,工数明細!$B$3:$B$302,$A225,工数明細!$I$3:$I$302,L$212))</f>
        <v/>
      </c>
      <c r="M225" s="51" t="str">
        <f aca="false">IF($A225="","",SUMIFS(工数明細!$G$3:$G$302,工数明細!$B$3:$B$302,$A225,工数明細!$I$3:$I$302,M$212))</f>
        <v/>
      </c>
      <c r="N225" s="51" t="str">
        <f aca="false">IF($A225="","",SUMIFS(工数明細!$G$3:$G$302,工数明細!$B$3:$B$302,$A225,工数明細!$I$3:$I$302,N$212))</f>
        <v/>
      </c>
      <c r="O225" s="51" t="str">
        <f aca="false">IF($A225="","",SUMIFS(工数明細!$G$3:$G$302,工数明細!$B$3:$B$302,$A225,工数明細!$I$3:$I$302,O$212))</f>
        <v/>
      </c>
      <c r="P225" s="51" t="str">
        <f aca="false">IF($A225="","",SUMIFS(工数明細!$G$3:$G$302,工数明細!$B$3:$B$302,$A225,工数明細!$I$3:$I$302,P$212))</f>
        <v/>
      </c>
      <c r="Q225" s="51" t="str">
        <f aca="false">IF($A225="","",SUMIFS(工数明細!$G$3:$G$302,工数明細!$B$3:$B$302,$A225,工数明細!$I$3:$I$302,Q$212))</f>
        <v/>
      </c>
      <c r="R225" s="51" t="str">
        <f aca="false">IF($A225="","",SUMIFS(工数明細!$G$3:$G$302,工数明細!$B$3:$B$302,$A225,工数明細!$I$3:$I$302,R$212))</f>
        <v/>
      </c>
      <c r="S225" s="51" t="str">
        <f aca="false">IF($A225="","",SUMIFS(工数明細!$G$3:$G$302,工数明細!$B$3:$B$302,$A225,工数明細!$I$3:$I$302,S$212))</f>
        <v/>
      </c>
      <c r="T225" s="51" t="str">
        <f aca="false">IF($A225="","",SUMIFS(工数明細!$G$3:$G$302,工数明細!$B$3:$B$302,$A225,工数明細!$I$3:$I$302,T$212))</f>
        <v/>
      </c>
      <c r="U225" s="51" t="str">
        <f aca="false">IF($A225="","",SUMIFS(工数明細!$G$3:$G$302,工数明細!$B$3:$B$302,$A225,工数明細!$I$3:$I$302,U$212))</f>
        <v/>
      </c>
      <c r="V225" s="51" t="str">
        <f aca="false">IF($A225="","",SUMIFS(工数明細!$G$3:$G$302,工数明細!$B$3:$B$302,$A225,工数明細!$I$3:$I$302,V$212))</f>
        <v/>
      </c>
      <c r="W225" s="51" t="str">
        <f aca="false">IF($A225="","",SUMIFS(工数明細!$G$3:$G$302,工数明細!$B$3:$B$302,$A225,工数明細!$I$3:$I$302,W$212))</f>
        <v/>
      </c>
      <c r="X225" s="51" t="str">
        <f aca="false">IF($A225="","",SUMIFS(工数明細!$G$3:$G$302,工数明細!$B$3:$B$302,$A225,工数明細!$I$3:$I$302,X$212))</f>
        <v/>
      </c>
      <c r="Y225" s="51" t="str">
        <f aca="false">IF($A225="","",SUMIFS(工数明細!$G$3:$G$302,工数明細!$B$3:$B$302,$A225,工数明細!$I$3:$I$302,Y$212))</f>
        <v/>
      </c>
      <c r="Z225" s="51" t="str">
        <f aca="false">IF($A225="","",SUMIFS(工数明細!$G$3:$G$302,工数明細!$B$3:$B$302,$A225,工数明細!$I$3:$I$302,Z$212))</f>
        <v/>
      </c>
      <c r="AA225" s="51" t="str">
        <f aca="false">IF($A225="","",SUMIFS(工数明細!$G$3:$G$302,工数明細!$B$3:$B$302,$A225,工数明細!$I$3:$I$302,AA$212))</f>
        <v/>
      </c>
      <c r="AB225" s="51" t="str">
        <f aca="false">IF($A225="","",SUMIFS(工数明細!$G$3:$G$302,工数明細!$B$3:$B$302,$A225,工数明細!$I$3:$I$302,AB$212))</f>
        <v/>
      </c>
      <c r="AC225" s="51" t="str">
        <f aca="false">IF($A225="","",SUMIFS(工数明細!$G$3:$G$302,工数明細!$B$3:$B$302,$A225,工数明細!$I$3:$I$302,AC$212))</f>
        <v/>
      </c>
      <c r="AD225" s="51" t="str">
        <f aca="false">IF($A225="","",SUMIFS(工数明細!$G$3:$G$302,工数明細!$B$3:$B$302,$A225,工数明細!$I$3:$I$302,AD$212))</f>
        <v/>
      </c>
    </row>
    <row r="226" customFormat="false" ht="15.75" hidden="false" customHeight="true" outlineLevel="0" collapsed="false">
      <c r="A226" s="28" t="str">
        <f aca="false">IF(案件管理!$A$15:$A$15="","",案件管理!$A$15:$A$15)</f>
        <v/>
      </c>
      <c r="B226" s="10" t="str">
        <f aca="false">IF($A226="","",案件管理!$B$15:$B$15)</f>
        <v/>
      </c>
      <c r="C226" s="10" t="str">
        <f aca="false">IF($A226="","",案件管理!$D$15:$D$15)</f>
        <v/>
      </c>
      <c r="D226" s="30" t="str">
        <f aca="false">IF($A226="","",案件管理!$AE$15:$AE$15)</f>
        <v/>
      </c>
      <c r="E226" s="30" t="str">
        <f aca="false">IF($A226="","",SUM($G226:$AD226))</f>
        <v/>
      </c>
      <c r="F226" s="51" t="str">
        <f aca="false">IF($A226="","",N($E20)-N($E226))</f>
        <v/>
      </c>
      <c r="G226" s="51" t="str">
        <f aca="false">IF($A226="","",SUMIFS(工数明細!$G$3:$G$302,工数明細!$B$3:$B$302,$A226,工数明細!$I$3:$I$302,G$212))</f>
        <v/>
      </c>
      <c r="H226" s="51" t="str">
        <f aca="false">IF($A226="","",SUMIFS(工数明細!$G$3:$G$302,工数明細!$B$3:$B$302,$A226,工数明細!$I$3:$I$302,H$212))</f>
        <v/>
      </c>
      <c r="I226" s="51" t="str">
        <f aca="false">IF($A226="","",SUMIFS(工数明細!$G$3:$G$302,工数明細!$B$3:$B$302,$A226,工数明細!$I$3:$I$302,I$212))</f>
        <v/>
      </c>
      <c r="J226" s="51" t="str">
        <f aca="false">IF($A226="","",SUMIFS(工数明細!$G$3:$G$302,工数明細!$B$3:$B$302,$A226,工数明細!$I$3:$I$302,J$212))</f>
        <v/>
      </c>
      <c r="K226" s="51" t="str">
        <f aca="false">IF($A226="","",SUMIFS(工数明細!$G$3:$G$302,工数明細!$B$3:$B$302,$A226,工数明細!$I$3:$I$302,K$212))</f>
        <v/>
      </c>
      <c r="L226" s="51" t="str">
        <f aca="false">IF($A226="","",SUMIFS(工数明細!$G$3:$G$302,工数明細!$B$3:$B$302,$A226,工数明細!$I$3:$I$302,L$212))</f>
        <v/>
      </c>
      <c r="M226" s="51" t="str">
        <f aca="false">IF($A226="","",SUMIFS(工数明細!$G$3:$G$302,工数明細!$B$3:$B$302,$A226,工数明細!$I$3:$I$302,M$212))</f>
        <v/>
      </c>
      <c r="N226" s="51" t="str">
        <f aca="false">IF($A226="","",SUMIFS(工数明細!$G$3:$G$302,工数明細!$B$3:$B$302,$A226,工数明細!$I$3:$I$302,N$212))</f>
        <v/>
      </c>
      <c r="O226" s="51" t="str">
        <f aca="false">IF($A226="","",SUMIFS(工数明細!$G$3:$G$302,工数明細!$B$3:$B$302,$A226,工数明細!$I$3:$I$302,O$212))</f>
        <v/>
      </c>
      <c r="P226" s="51" t="str">
        <f aca="false">IF($A226="","",SUMIFS(工数明細!$G$3:$G$302,工数明細!$B$3:$B$302,$A226,工数明細!$I$3:$I$302,P$212))</f>
        <v/>
      </c>
      <c r="Q226" s="51" t="str">
        <f aca="false">IF($A226="","",SUMIFS(工数明細!$G$3:$G$302,工数明細!$B$3:$B$302,$A226,工数明細!$I$3:$I$302,Q$212))</f>
        <v/>
      </c>
      <c r="R226" s="51" t="str">
        <f aca="false">IF($A226="","",SUMIFS(工数明細!$G$3:$G$302,工数明細!$B$3:$B$302,$A226,工数明細!$I$3:$I$302,R$212))</f>
        <v/>
      </c>
      <c r="S226" s="51" t="str">
        <f aca="false">IF($A226="","",SUMIFS(工数明細!$G$3:$G$302,工数明細!$B$3:$B$302,$A226,工数明細!$I$3:$I$302,S$212))</f>
        <v/>
      </c>
      <c r="T226" s="51" t="str">
        <f aca="false">IF($A226="","",SUMIFS(工数明細!$G$3:$G$302,工数明細!$B$3:$B$302,$A226,工数明細!$I$3:$I$302,T$212))</f>
        <v/>
      </c>
      <c r="U226" s="51" t="str">
        <f aca="false">IF($A226="","",SUMIFS(工数明細!$G$3:$G$302,工数明細!$B$3:$B$302,$A226,工数明細!$I$3:$I$302,U$212))</f>
        <v/>
      </c>
      <c r="V226" s="51" t="str">
        <f aca="false">IF($A226="","",SUMIFS(工数明細!$G$3:$G$302,工数明細!$B$3:$B$302,$A226,工数明細!$I$3:$I$302,V$212))</f>
        <v/>
      </c>
      <c r="W226" s="51" t="str">
        <f aca="false">IF($A226="","",SUMIFS(工数明細!$G$3:$G$302,工数明細!$B$3:$B$302,$A226,工数明細!$I$3:$I$302,W$212))</f>
        <v/>
      </c>
      <c r="X226" s="51" t="str">
        <f aca="false">IF($A226="","",SUMIFS(工数明細!$G$3:$G$302,工数明細!$B$3:$B$302,$A226,工数明細!$I$3:$I$302,X$212))</f>
        <v/>
      </c>
      <c r="Y226" s="51" t="str">
        <f aca="false">IF($A226="","",SUMIFS(工数明細!$G$3:$G$302,工数明細!$B$3:$B$302,$A226,工数明細!$I$3:$I$302,Y$212))</f>
        <v/>
      </c>
      <c r="Z226" s="51" t="str">
        <f aca="false">IF($A226="","",SUMIFS(工数明細!$G$3:$G$302,工数明細!$B$3:$B$302,$A226,工数明細!$I$3:$I$302,Z$212))</f>
        <v/>
      </c>
      <c r="AA226" s="51" t="str">
        <f aca="false">IF($A226="","",SUMIFS(工数明細!$G$3:$G$302,工数明細!$B$3:$B$302,$A226,工数明細!$I$3:$I$302,AA$212))</f>
        <v/>
      </c>
      <c r="AB226" s="51" t="str">
        <f aca="false">IF($A226="","",SUMIFS(工数明細!$G$3:$G$302,工数明細!$B$3:$B$302,$A226,工数明細!$I$3:$I$302,AB$212))</f>
        <v/>
      </c>
      <c r="AC226" s="51" t="str">
        <f aca="false">IF($A226="","",SUMIFS(工数明細!$G$3:$G$302,工数明細!$B$3:$B$302,$A226,工数明細!$I$3:$I$302,AC$212))</f>
        <v/>
      </c>
      <c r="AD226" s="51" t="str">
        <f aca="false">IF($A226="","",SUMIFS(工数明細!$G$3:$G$302,工数明細!$B$3:$B$302,$A226,工数明細!$I$3:$I$302,AD$212))</f>
        <v/>
      </c>
    </row>
    <row r="227" customFormat="false" ht="15.75" hidden="false" customHeight="true" outlineLevel="0" collapsed="false">
      <c r="A227" s="28" t="str">
        <f aca="false">IF(案件管理!$A$16:$A$16="","",案件管理!$A$16:$A$16)</f>
        <v/>
      </c>
      <c r="B227" s="10" t="str">
        <f aca="false">IF($A227="","",案件管理!$B$16:$B$16)</f>
        <v/>
      </c>
      <c r="C227" s="10" t="str">
        <f aca="false">IF($A227="","",案件管理!$D$16:$D$16)</f>
        <v/>
      </c>
      <c r="D227" s="30" t="str">
        <f aca="false">IF($A227="","",案件管理!$AE$16:$AE$16)</f>
        <v/>
      </c>
      <c r="E227" s="30" t="str">
        <f aca="false">IF($A227="","",SUM($G227:$AD227))</f>
        <v/>
      </c>
      <c r="F227" s="51" t="str">
        <f aca="false">IF($A227="","",N($E21)-N($E227))</f>
        <v/>
      </c>
      <c r="G227" s="51" t="str">
        <f aca="false">IF($A227="","",SUMIFS(工数明細!$G$3:$G$302,工数明細!$B$3:$B$302,$A227,工数明細!$I$3:$I$302,G$212))</f>
        <v/>
      </c>
      <c r="H227" s="51" t="str">
        <f aca="false">IF($A227="","",SUMIFS(工数明細!$G$3:$G$302,工数明細!$B$3:$B$302,$A227,工数明細!$I$3:$I$302,H$212))</f>
        <v/>
      </c>
      <c r="I227" s="51" t="str">
        <f aca="false">IF($A227="","",SUMIFS(工数明細!$G$3:$G$302,工数明細!$B$3:$B$302,$A227,工数明細!$I$3:$I$302,I$212))</f>
        <v/>
      </c>
      <c r="J227" s="51" t="str">
        <f aca="false">IF($A227="","",SUMIFS(工数明細!$G$3:$G$302,工数明細!$B$3:$B$302,$A227,工数明細!$I$3:$I$302,J$212))</f>
        <v/>
      </c>
      <c r="K227" s="51" t="str">
        <f aca="false">IF($A227="","",SUMIFS(工数明細!$G$3:$G$302,工数明細!$B$3:$B$302,$A227,工数明細!$I$3:$I$302,K$212))</f>
        <v/>
      </c>
      <c r="L227" s="51" t="str">
        <f aca="false">IF($A227="","",SUMIFS(工数明細!$G$3:$G$302,工数明細!$B$3:$B$302,$A227,工数明細!$I$3:$I$302,L$212))</f>
        <v/>
      </c>
      <c r="M227" s="51" t="str">
        <f aca="false">IF($A227="","",SUMIFS(工数明細!$G$3:$G$302,工数明細!$B$3:$B$302,$A227,工数明細!$I$3:$I$302,M$212))</f>
        <v/>
      </c>
      <c r="N227" s="51" t="str">
        <f aca="false">IF($A227="","",SUMIFS(工数明細!$G$3:$G$302,工数明細!$B$3:$B$302,$A227,工数明細!$I$3:$I$302,N$212))</f>
        <v/>
      </c>
      <c r="O227" s="51" t="str">
        <f aca="false">IF($A227="","",SUMIFS(工数明細!$G$3:$G$302,工数明細!$B$3:$B$302,$A227,工数明細!$I$3:$I$302,O$212))</f>
        <v/>
      </c>
      <c r="P227" s="51" t="str">
        <f aca="false">IF($A227="","",SUMIFS(工数明細!$G$3:$G$302,工数明細!$B$3:$B$302,$A227,工数明細!$I$3:$I$302,P$212))</f>
        <v/>
      </c>
      <c r="Q227" s="51" t="str">
        <f aca="false">IF($A227="","",SUMIFS(工数明細!$G$3:$G$302,工数明細!$B$3:$B$302,$A227,工数明細!$I$3:$I$302,Q$212))</f>
        <v/>
      </c>
      <c r="R227" s="51" t="str">
        <f aca="false">IF($A227="","",SUMIFS(工数明細!$G$3:$G$302,工数明細!$B$3:$B$302,$A227,工数明細!$I$3:$I$302,R$212))</f>
        <v/>
      </c>
      <c r="S227" s="51" t="str">
        <f aca="false">IF($A227="","",SUMIFS(工数明細!$G$3:$G$302,工数明細!$B$3:$B$302,$A227,工数明細!$I$3:$I$302,S$212))</f>
        <v/>
      </c>
      <c r="T227" s="51" t="str">
        <f aca="false">IF($A227="","",SUMIFS(工数明細!$G$3:$G$302,工数明細!$B$3:$B$302,$A227,工数明細!$I$3:$I$302,T$212))</f>
        <v/>
      </c>
      <c r="U227" s="51" t="str">
        <f aca="false">IF($A227="","",SUMIFS(工数明細!$G$3:$G$302,工数明細!$B$3:$B$302,$A227,工数明細!$I$3:$I$302,U$212))</f>
        <v/>
      </c>
      <c r="V227" s="51" t="str">
        <f aca="false">IF($A227="","",SUMIFS(工数明細!$G$3:$G$302,工数明細!$B$3:$B$302,$A227,工数明細!$I$3:$I$302,V$212))</f>
        <v/>
      </c>
      <c r="W227" s="51" t="str">
        <f aca="false">IF($A227="","",SUMIFS(工数明細!$G$3:$G$302,工数明細!$B$3:$B$302,$A227,工数明細!$I$3:$I$302,W$212))</f>
        <v/>
      </c>
      <c r="X227" s="51" t="str">
        <f aca="false">IF($A227="","",SUMIFS(工数明細!$G$3:$G$302,工数明細!$B$3:$B$302,$A227,工数明細!$I$3:$I$302,X$212))</f>
        <v/>
      </c>
      <c r="Y227" s="51" t="str">
        <f aca="false">IF($A227="","",SUMIFS(工数明細!$G$3:$G$302,工数明細!$B$3:$B$302,$A227,工数明細!$I$3:$I$302,Y$212))</f>
        <v/>
      </c>
      <c r="Z227" s="51" t="str">
        <f aca="false">IF($A227="","",SUMIFS(工数明細!$G$3:$G$302,工数明細!$B$3:$B$302,$A227,工数明細!$I$3:$I$302,Z$212))</f>
        <v/>
      </c>
      <c r="AA227" s="51" t="str">
        <f aca="false">IF($A227="","",SUMIFS(工数明細!$G$3:$G$302,工数明細!$B$3:$B$302,$A227,工数明細!$I$3:$I$302,AA$212))</f>
        <v/>
      </c>
      <c r="AB227" s="51" t="str">
        <f aca="false">IF($A227="","",SUMIFS(工数明細!$G$3:$G$302,工数明細!$B$3:$B$302,$A227,工数明細!$I$3:$I$302,AB$212))</f>
        <v/>
      </c>
      <c r="AC227" s="51" t="str">
        <f aca="false">IF($A227="","",SUMIFS(工数明細!$G$3:$G$302,工数明細!$B$3:$B$302,$A227,工数明細!$I$3:$I$302,AC$212))</f>
        <v/>
      </c>
      <c r="AD227" s="51" t="str">
        <f aca="false">IF($A227="","",SUMIFS(工数明細!$G$3:$G$302,工数明細!$B$3:$B$302,$A227,工数明細!$I$3:$I$302,AD$212))</f>
        <v/>
      </c>
    </row>
    <row r="228" customFormat="false" ht="15.75" hidden="false" customHeight="true" outlineLevel="0" collapsed="false">
      <c r="A228" s="28" t="str">
        <f aca="false">IF(案件管理!$A$17:$A$17="","",案件管理!$A$17:$A$17)</f>
        <v/>
      </c>
      <c r="B228" s="10" t="str">
        <f aca="false">IF($A228="","",案件管理!$B$17:$B$17)</f>
        <v/>
      </c>
      <c r="C228" s="10" t="str">
        <f aca="false">IF($A228="","",案件管理!$D$17:$D$17)</f>
        <v/>
      </c>
      <c r="D228" s="30" t="str">
        <f aca="false">IF($A228="","",案件管理!$AE$17:$AE$17)</f>
        <v/>
      </c>
      <c r="E228" s="30" t="str">
        <f aca="false">IF($A228="","",SUM($G228:$AD228))</f>
        <v/>
      </c>
      <c r="F228" s="51" t="str">
        <f aca="false">IF($A228="","",N($E22)-N($E228))</f>
        <v/>
      </c>
      <c r="G228" s="51" t="str">
        <f aca="false">IF($A228="","",SUMIFS(工数明細!$G$3:$G$302,工数明細!$B$3:$B$302,$A228,工数明細!$I$3:$I$302,G$212))</f>
        <v/>
      </c>
      <c r="H228" s="51" t="str">
        <f aca="false">IF($A228="","",SUMIFS(工数明細!$G$3:$G$302,工数明細!$B$3:$B$302,$A228,工数明細!$I$3:$I$302,H$212))</f>
        <v/>
      </c>
      <c r="I228" s="51" t="str">
        <f aca="false">IF($A228="","",SUMIFS(工数明細!$G$3:$G$302,工数明細!$B$3:$B$302,$A228,工数明細!$I$3:$I$302,I$212))</f>
        <v/>
      </c>
      <c r="J228" s="51" t="str">
        <f aca="false">IF($A228="","",SUMIFS(工数明細!$G$3:$G$302,工数明細!$B$3:$B$302,$A228,工数明細!$I$3:$I$302,J$212))</f>
        <v/>
      </c>
      <c r="K228" s="51" t="str">
        <f aca="false">IF($A228="","",SUMIFS(工数明細!$G$3:$G$302,工数明細!$B$3:$B$302,$A228,工数明細!$I$3:$I$302,K$212))</f>
        <v/>
      </c>
      <c r="L228" s="51" t="str">
        <f aca="false">IF($A228="","",SUMIFS(工数明細!$G$3:$G$302,工数明細!$B$3:$B$302,$A228,工数明細!$I$3:$I$302,L$212))</f>
        <v/>
      </c>
      <c r="M228" s="51" t="str">
        <f aca="false">IF($A228="","",SUMIFS(工数明細!$G$3:$G$302,工数明細!$B$3:$B$302,$A228,工数明細!$I$3:$I$302,M$212))</f>
        <v/>
      </c>
      <c r="N228" s="51" t="str">
        <f aca="false">IF($A228="","",SUMIFS(工数明細!$G$3:$G$302,工数明細!$B$3:$B$302,$A228,工数明細!$I$3:$I$302,N$212))</f>
        <v/>
      </c>
      <c r="O228" s="51" t="str">
        <f aca="false">IF($A228="","",SUMIFS(工数明細!$G$3:$G$302,工数明細!$B$3:$B$302,$A228,工数明細!$I$3:$I$302,O$212))</f>
        <v/>
      </c>
      <c r="P228" s="51" t="str">
        <f aca="false">IF($A228="","",SUMIFS(工数明細!$G$3:$G$302,工数明細!$B$3:$B$302,$A228,工数明細!$I$3:$I$302,P$212))</f>
        <v/>
      </c>
      <c r="Q228" s="51" t="str">
        <f aca="false">IF($A228="","",SUMIFS(工数明細!$G$3:$G$302,工数明細!$B$3:$B$302,$A228,工数明細!$I$3:$I$302,Q$212))</f>
        <v/>
      </c>
      <c r="R228" s="51" t="str">
        <f aca="false">IF($A228="","",SUMIFS(工数明細!$G$3:$G$302,工数明細!$B$3:$B$302,$A228,工数明細!$I$3:$I$302,R$212))</f>
        <v/>
      </c>
      <c r="S228" s="51" t="str">
        <f aca="false">IF($A228="","",SUMIFS(工数明細!$G$3:$G$302,工数明細!$B$3:$B$302,$A228,工数明細!$I$3:$I$302,S$212))</f>
        <v/>
      </c>
      <c r="T228" s="51" t="str">
        <f aca="false">IF($A228="","",SUMIFS(工数明細!$G$3:$G$302,工数明細!$B$3:$B$302,$A228,工数明細!$I$3:$I$302,T$212))</f>
        <v/>
      </c>
      <c r="U228" s="51" t="str">
        <f aca="false">IF($A228="","",SUMIFS(工数明細!$G$3:$G$302,工数明細!$B$3:$B$302,$A228,工数明細!$I$3:$I$302,U$212))</f>
        <v/>
      </c>
      <c r="V228" s="51" t="str">
        <f aca="false">IF($A228="","",SUMIFS(工数明細!$G$3:$G$302,工数明細!$B$3:$B$302,$A228,工数明細!$I$3:$I$302,V$212))</f>
        <v/>
      </c>
      <c r="W228" s="51" t="str">
        <f aca="false">IF($A228="","",SUMIFS(工数明細!$G$3:$G$302,工数明細!$B$3:$B$302,$A228,工数明細!$I$3:$I$302,W$212))</f>
        <v/>
      </c>
      <c r="X228" s="51" t="str">
        <f aca="false">IF($A228="","",SUMIFS(工数明細!$G$3:$G$302,工数明細!$B$3:$B$302,$A228,工数明細!$I$3:$I$302,X$212))</f>
        <v/>
      </c>
      <c r="Y228" s="51" t="str">
        <f aca="false">IF($A228="","",SUMIFS(工数明細!$G$3:$G$302,工数明細!$B$3:$B$302,$A228,工数明細!$I$3:$I$302,Y$212))</f>
        <v/>
      </c>
      <c r="Z228" s="51" t="str">
        <f aca="false">IF($A228="","",SUMIFS(工数明細!$G$3:$G$302,工数明細!$B$3:$B$302,$A228,工数明細!$I$3:$I$302,Z$212))</f>
        <v/>
      </c>
      <c r="AA228" s="51" t="str">
        <f aca="false">IF($A228="","",SUMIFS(工数明細!$G$3:$G$302,工数明細!$B$3:$B$302,$A228,工数明細!$I$3:$I$302,AA$212))</f>
        <v/>
      </c>
      <c r="AB228" s="51" t="str">
        <f aca="false">IF($A228="","",SUMIFS(工数明細!$G$3:$G$302,工数明細!$B$3:$B$302,$A228,工数明細!$I$3:$I$302,AB$212))</f>
        <v/>
      </c>
      <c r="AC228" s="51" t="str">
        <f aca="false">IF($A228="","",SUMIFS(工数明細!$G$3:$G$302,工数明細!$B$3:$B$302,$A228,工数明細!$I$3:$I$302,AC$212))</f>
        <v/>
      </c>
      <c r="AD228" s="51" t="str">
        <f aca="false">IF($A228="","",SUMIFS(工数明細!$G$3:$G$302,工数明細!$B$3:$B$302,$A228,工数明細!$I$3:$I$302,AD$212))</f>
        <v/>
      </c>
    </row>
    <row r="229" customFormat="false" ht="15.75" hidden="false" customHeight="true" outlineLevel="0" collapsed="false">
      <c r="A229" s="28" t="str">
        <f aca="false">IF(案件管理!$A$18:$A$18="","",案件管理!$A$18:$A$18)</f>
        <v/>
      </c>
      <c r="B229" s="10" t="str">
        <f aca="false">IF($A229="","",案件管理!$B$18:$B$18)</f>
        <v/>
      </c>
      <c r="C229" s="10" t="str">
        <f aca="false">IF($A229="","",案件管理!$D$18:$D$18)</f>
        <v/>
      </c>
      <c r="D229" s="30" t="str">
        <f aca="false">IF($A229="","",案件管理!$AE$18:$AE$18)</f>
        <v/>
      </c>
      <c r="E229" s="30" t="str">
        <f aca="false">IF($A229="","",SUM($G229:$AD229))</f>
        <v/>
      </c>
      <c r="F229" s="51" t="str">
        <f aca="false">IF($A229="","",N($E23)-N($E229))</f>
        <v/>
      </c>
      <c r="G229" s="51" t="str">
        <f aca="false">IF($A229="","",SUMIFS(工数明細!$G$3:$G$302,工数明細!$B$3:$B$302,$A229,工数明細!$I$3:$I$302,G$212))</f>
        <v/>
      </c>
      <c r="H229" s="51" t="str">
        <f aca="false">IF($A229="","",SUMIFS(工数明細!$G$3:$G$302,工数明細!$B$3:$B$302,$A229,工数明細!$I$3:$I$302,H$212))</f>
        <v/>
      </c>
      <c r="I229" s="51" t="str">
        <f aca="false">IF($A229="","",SUMIFS(工数明細!$G$3:$G$302,工数明細!$B$3:$B$302,$A229,工数明細!$I$3:$I$302,I$212))</f>
        <v/>
      </c>
      <c r="J229" s="51" t="str">
        <f aca="false">IF($A229="","",SUMIFS(工数明細!$G$3:$G$302,工数明細!$B$3:$B$302,$A229,工数明細!$I$3:$I$302,J$212))</f>
        <v/>
      </c>
      <c r="K229" s="51" t="str">
        <f aca="false">IF($A229="","",SUMIFS(工数明細!$G$3:$G$302,工数明細!$B$3:$B$302,$A229,工数明細!$I$3:$I$302,K$212))</f>
        <v/>
      </c>
      <c r="L229" s="51" t="str">
        <f aca="false">IF($A229="","",SUMIFS(工数明細!$G$3:$G$302,工数明細!$B$3:$B$302,$A229,工数明細!$I$3:$I$302,L$212))</f>
        <v/>
      </c>
      <c r="M229" s="51" t="str">
        <f aca="false">IF($A229="","",SUMIFS(工数明細!$G$3:$G$302,工数明細!$B$3:$B$302,$A229,工数明細!$I$3:$I$302,M$212))</f>
        <v/>
      </c>
      <c r="N229" s="51" t="str">
        <f aca="false">IF($A229="","",SUMIFS(工数明細!$G$3:$G$302,工数明細!$B$3:$B$302,$A229,工数明細!$I$3:$I$302,N$212))</f>
        <v/>
      </c>
      <c r="O229" s="51" t="str">
        <f aca="false">IF($A229="","",SUMIFS(工数明細!$G$3:$G$302,工数明細!$B$3:$B$302,$A229,工数明細!$I$3:$I$302,O$212))</f>
        <v/>
      </c>
      <c r="P229" s="51" t="str">
        <f aca="false">IF($A229="","",SUMIFS(工数明細!$G$3:$G$302,工数明細!$B$3:$B$302,$A229,工数明細!$I$3:$I$302,P$212))</f>
        <v/>
      </c>
      <c r="Q229" s="51" t="str">
        <f aca="false">IF($A229="","",SUMIFS(工数明細!$G$3:$G$302,工数明細!$B$3:$B$302,$A229,工数明細!$I$3:$I$302,Q$212))</f>
        <v/>
      </c>
      <c r="R229" s="51" t="str">
        <f aca="false">IF($A229="","",SUMIFS(工数明細!$G$3:$G$302,工数明細!$B$3:$B$302,$A229,工数明細!$I$3:$I$302,R$212))</f>
        <v/>
      </c>
      <c r="S229" s="51" t="str">
        <f aca="false">IF($A229="","",SUMIFS(工数明細!$G$3:$G$302,工数明細!$B$3:$B$302,$A229,工数明細!$I$3:$I$302,S$212))</f>
        <v/>
      </c>
      <c r="T229" s="51" t="str">
        <f aca="false">IF($A229="","",SUMIFS(工数明細!$G$3:$G$302,工数明細!$B$3:$B$302,$A229,工数明細!$I$3:$I$302,T$212))</f>
        <v/>
      </c>
      <c r="U229" s="51" t="str">
        <f aca="false">IF($A229="","",SUMIFS(工数明細!$G$3:$G$302,工数明細!$B$3:$B$302,$A229,工数明細!$I$3:$I$302,U$212))</f>
        <v/>
      </c>
      <c r="V229" s="51" t="str">
        <f aca="false">IF($A229="","",SUMIFS(工数明細!$G$3:$G$302,工数明細!$B$3:$B$302,$A229,工数明細!$I$3:$I$302,V$212))</f>
        <v/>
      </c>
      <c r="W229" s="51" t="str">
        <f aca="false">IF($A229="","",SUMIFS(工数明細!$G$3:$G$302,工数明細!$B$3:$B$302,$A229,工数明細!$I$3:$I$302,W$212))</f>
        <v/>
      </c>
      <c r="X229" s="51" t="str">
        <f aca="false">IF($A229="","",SUMIFS(工数明細!$G$3:$G$302,工数明細!$B$3:$B$302,$A229,工数明細!$I$3:$I$302,X$212))</f>
        <v/>
      </c>
      <c r="Y229" s="51" t="str">
        <f aca="false">IF($A229="","",SUMIFS(工数明細!$G$3:$G$302,工数明細!$B$3:$B$302,$A229,工数明細!$I$3:$I$302,Y$212))</f>
        <v/>
      </c>
      <c r="Z229" s="51" t="str">
        <f aca="false">IF($A229="","",SUMIFS(工数明細!$G$3:$G$302,工数明細!$B$3:$B$302,$A229,工数明細!$I$3:$I$302,Z$212))</f>
        <v/>
      </c>
      <c r="AA229" s="51" t="str">
        <f aca="false">IF($A229="","",SUMIFS(工数明細!$G$3:$G$302,工数明細!$B$3:$B$302,$A229,工数明細!$I$3:$I$302,AA$212))</f>
        <v/>
      </c>
      <c r="AB229" s="51" t="str">
        <f aca="false">IF($A229="","",SUMIFS(工数明細!$G$3:$G$302,工数明細!$B$3:$B$302,$A229,工数明細!$I$3:$I$302,AB$212))</f>
        <v/>
      </c>
      <c r="AC229" s="51" t="str">
        <f aca="false">IF($A229="","",SUMIFS(工数明細!$G$3:$G$302,工数明細!$B$3:$B$302,$A229,工数明細!$I$3:$I$302,AC$212))</f>
        <v/>
      </c>
      <c r="AD229" s="51" t="str">
        <f aca="false">IF($A229="","",SUMIFS(工数明細!$G$3:$G$302,工数明細!$B$3:$B$302,$A229,工数明細!$I$3:$I$302,AD$212))</f>
        <v/>
      </c>
    </row>
    <row r="230" customFormat="false" ht="15.75" hidden="false" customHeight="true" outlineLevel="0" collapsed="false">
      <c r="A230" s="28" t="str">
        <f aca="false">IF(案件管理!$A$19:$A$19="","",案件管理!$A$19:$A$19)</f>
        <v/>
      </c>
      <c r="B230" s="10" t="str">
        <f aca="false">IF($A230="","",案件管理!$B$19:$B$19)</f>
        <v/>
      </c>
      <c r="C230" s="10" t="str">
        <f aca="false">IF($A230="","",案件管理!$D$19:$D$19)</f>
        <v/>
      </c>
      <c r="D230" s="30" t="str">
        <f aca="false">IF($A230="","",案件管理!$AE$19:$AE$19)</f>
        <v/>
      </c>
      <c r="E230" s="30" t="str">
        <f aca="false">IF($A230="","",SUM($G230:$AD230))</f>
        <v/>
      </c>
      <c r="F230" s="51" t="str">
        <f aca="false">IF($A230="","",N($E24)-N($E230))</f>
        <v/>
      </c>
      <c r="G230" s="51" t="str">
        <f aca="false">IF($A230="","",SUMIFS(工数明細!$G$3:$G$302,工数明細!$B$3:$B$302,$A230,工数明細!$I$3:$I$302,G$212))</f>
        <v/>
      </c>
      <c r="H230" s="51" t="str">
        <f aca="false">IF($A230="","",SUMIFS(工数明細!$G$3:$G$302,工数明細!$B$3:$B$302,$A230,工数明細!$I$3:$I$302,H$212))</f>
        <v/>
      </c>
      <c r="I230" s="51" t="str">
        <f aca="false">IF($A230="","",SUMIFS(工数明細!$G$3:$G$302,工数明細!$B$3:$B$302,$A230,工数明細!$I$3:$I$302,I$212))</f>
        <v/>
      </c>
      <c r="J230" s="51" t="str">
        <f aca="false">IF($A230="","",SUMIFS(工数明細!$G$3:$G$302,工数明細!$B$3:$B$302,$A230,工数明細!$I$3:$I$302,J$212))</f>
        <v/>
      </c>
      <c r="K230" s="51" t="str">
        <f aca="false">IF($A230="","",SUMIFS(工数明細!$G$3:$G$302,工数明細!$B$3:$B$302,$A230,工数明細!$I$3:$I$302,K$212))</f>
        <v/>
      </c>
      <c r="L230" s="51" t="str">
        <f aca="false">IF($A230="","",SUMIFS(工数明細!$G$3:$G$302,工数明細!$B$3:$B$302,$A230,工数明細!$I$3:$I$302,L$212))</f>
        <v/>
      </c>
      <c r="M230" s="51" t="str">
        <f aca="false">IF($A230="","",SUMIFS(工数明細!$G$3:$G$302,工数明細!$B$3:$B$302,$A230,工数明細!$I$3:$I$302,M$212))</f>
        <v/>
      </c>
      <c r="N230" s="51" t="str">
        <f aca="false">IF($A230="","",SUMIFS(工数明細!$G$3:$G$302,工数明細!$B$3:$B$302,$A230,工数明細!$I$3:$I$302,N$212))</f>
        <v/>
      </c>
      <c r="O230" s="51" t="str">
        <f aca="false">IF($A230="","",SUMIFS(工数明細!$G$3:$G$302,工数明細!$B$3:$B$302,$A230,工数明細!$I$3:$I$302,O$212))</f>
        <v/>
      </c>
      <c r="P230" s="51" t="str">
        <f aca="false">IF($A230="","",SUMIFS(工数明細!$G$3:$G$302,工数明細!$B$3:$B$302,$A230,工数明細!$I$3:$I$302,P$212))</f>
        <v/>
      </c>
      <c r="Q230" s="51" t="str">
        <f aca="false">IF($A230="","",SUMIFS(工数明細!$G$3:$G$302,工数明細!$B$3:$B$302,$A230,工数明細!$I$3:$I$302,Q$212))</f>
        <v/>
      </c>
      <c r="R230" s="51" t="str">
        <f aca="false">IF($A230="","",SUMIFS(工数明細!$G$3:$G$302,工数明細!$B$3:$B$302,$A230,工数明細!$I$3:$I$302,R$212))</f>
        <v/>
      </c>
      <c r="S230" s="51" t="str">
        <f aca="false">IF($A230="","",SUMIFS(工数明細!$G$3:$G$302,工数明細!$B$3:$B$302,$A230,工数明細!$I$3:$I$302,S$212))</f>
        <v/>
      </c>
      <c r="T230" s="51" t="str">
        <f aca="false">IF($A230="","",SUMIFS(工数明細!$G$3:$G$302,工数明細!$B$3:$B$302,$A230,工数明細!$I$3:$I$302,T$212))</f>
        <v/>
      </c>
      <c r="U230" s="51" t="str">
        <f aca="false">IF($A230="","",SUMIFS(工数明細!$G$3:$G$302,工数明細!$B$3:$B$302,$A230,工数明細!$I$3:$I$302,U$212))</f>
        <v/>
      </c>
      <c r="V230" s="51" t="str">
        <f aca="false">IF($A230="","",SUMIFS(工数明細!$G$3:$G$302,工数明細!$B$3:$B$302,$A230,工数明細!$I$3:$I$302,V$212))</f>
        <v/>
      </c>
      <c r="W230" s="51" t="str">
        <f aca="false">IF($A230="","",SUMIFS(工数明細!$G$3:$G$302,工数明細!$B$3:$B$302,$A230,工数明細!$I$3:$I$302,W$212))</f>
        <v/>
      </c>
      <c r="X230" s="51" t="str">
        <f aca="false">IF($A230="","",SUMIFS(工数明細!$G$3:$G$302,工数明細!$B$3:$B$302,$A230,工数明細!$I$3:$I$302,X$212))</f>
        <v/>
      </c>
      <c r="Y230" s="51" t="str">
        <f aca="false">IF($A230="","",SUMIFS(工数明細!$G$3:$G$302,工数明細!$B$3:$B$302,$A230,工数明細!$I$3:$I$302,Y$212))</f>
        <v/>
      </c>
      <c r="Z230" s="51" t="str">
        <f aca="false">IF($A230="","",SUMIFS(工数明細!$G$3:$G$302,工数明細!$B$3:$B$302,$A230,工数明細!$I$3:$I$302,Z$212))</f>
        <v/>
      </c>
      <c r="AA230" s="51" t="str">
        <f aca="false">IF($A230="","",SUMIFS(工数明細!$G$3:$G$302,工数明細!$B$3:$B$302,$A230,工数明細!$I$3:$I$302,AA$212))</f>
        <v/>
      </c>
      <c r="AB230" s="51" t="str">
        <f aca="false">IF($A230="","",SUMIFS(工数明細!$G$3:$G$302,工数明細!$B$3:$B$302,$A230,工数明細!$I$3:$I$302,AB$212))</f>
        <v/>
      </c>
      <c r="AC230" s="51" t="str">
        <f aca="false">IF($A230="","",SUMIFS(工数明細!$G$3:$G$302,工数明細!$B$3:$B$302,$A230,工数明細!$I$3:$I$302,AC$212))</f>
        <v/>
      </c>
      <c r="AD230" s="51" t="str">
        <f aca="false">IF($A230="","",SUMIFS(工数明細!$G$3:$G$302,工数明細!$B$3:$B$302,$A230,工数明細!$I$3:$I$302,AD$212))</f>
        <v/>
      </c>
    </row>
    <row r="231" customFormat="false" ht="15.75" hidden="false" customHeight="true" outlineLevel="0" collapsed="false">
      <c r="A231" s="28" t="str">
        <f aca="false">IF(案件管理!$A$20:$A$20="","",案件管理!$A$20:$A$20)</f>
        <v/>
      </c>
      <c r="B231" s="10" t="str">
        <f aca="false">IF($A231="","",案件管理!$B$20:$B$20)</f>
        <v/>
      </c>
      <c r="C231" s="10" t="str">
        <f aca="false">IF($A231="","",案件管理!$D$20:$D$20)</f>
        <v/>
      </c>
      <c r="D231" s="30" t="str">
        <f aca="false">IF($A231="","",案件管理!$AE$20:$AE$20)</f>
        <v/>
      </c>
      <c r="E231" s="30" t="str">
        <f aca="false">IF($A231="","",SUM($G231:$AD231))</f>
        <v/>
      </c>
      <c r="F231" s="51" t="str">
        <f aca="false">IF($A231="","",N($E25)-N($E231))</f>
        <v/>
      </c>
      <c r="G231" s="51" t="str">
        <f aca="false">IF($A231="","",SUMIFS(工数明細!$G$3:$G$302,工数明細!$B$3:$B$302,$A231,工数明細!$I$3:$I$302,G$212))</f>
        <v/>
      </c>
      <c r="H231" s="51" t="str">
        <f aca="false">IF($A231="","",SUMIFS(工数明細!$G$3:$G$302,工数明細!$B$3:$B$302,$A231,工数明細!$I$3:$I$302,H$212))</f>
        <v/>
      </c>
      <c r="I231" s="51" t="str">
        <f aca="false">IF($A231="","",SUMIFS(工数明細!$G$3:$G$302,工数明細!$B$3:$B$302,$A231,工数明細!$I$3:$I$302,I$212))</f>
        <v/>
      </c>
      <c r="J231" s="51" t="str">
        <f aca="false">IF($A231="","",SUMIFS(工数明細!$G$3:$G$302,工数明細!$B$3:$B$302,$A231,工数明細!$I$3:$I$302,J$212))</f>
        <v/>
      </c>
      <c r="K231" s="51" t="str">
        <f aca="false">IF($A231="","",SUMIFS(工数明細!$G$3:$G$302,工数明細!$B$3:$B$302,$A231,工数明細!$I$3:$I$302,K$212))</f>
        <v/>
      </c>
      <c r="L231" s="51" t="str">
        <f aca="false">IF($A231="","",SUMIFS(工数明細!$G$3:$G$302,工数明細!$B$3:$B$302,$A231,工数明細!$I$3:$I$302,L$212))</f>
        <v/>
      </c>
      <c r="M231" s="51" t="str">
        <f aca="false">IF($A231="","",SUMIFS(工数明細!$G$3:$G$302,工数明細!$B$3:$B$302,$A231,工数明細!$I$3:$I$302,M$212))</f>
        <v/>
      </c>
      <c r="N231" s="51" t="str">
        <f aca="false">IF($A231="","",SUMIFS(工数明細!$G$3:$G$302,工数明細!$B$3:$B$302,$A231,工数明細!$I$3:$I$302,N$212))</f>
        <v/>
      </c>
      <c r="O231" s="51" t="str">
        <f aca="false">IF($A231="","",SUMIFS(工数明細!$G$3:$G$302,工数明細!$B$3:$B$302,$A231,工数明細!$I$3:$I$302,O$212))</f>
        <v/>
      </c>
      <c r="P231" s="51" t="str">
        <f aca="false">IF($A231="","",SUMIFS(工数明細!$G$3:$G$302,工数明細!$B$3:$B$302,$A231,工数明細!$I$3:$I$302,P$212))</f>
        <v/>
      </c>
      <c r="Q231" s="51" t="str">
        <f aca="false">IF($A231="","",SUMIFS(工数明細!$G$3:$G$302,工数明細!$B$3:$B$302,$A231,工数明細!$I$3:$I$302,Q$212))</f>
        <v/>
      </c>
      <c r="R231" s="51" t="str">
        <f aca="false">IF($A231="","",SUMIFS(工数明細!$G$3:$G$302,工数明細!$B$3:$B$302,$A231,工数明細!$I$3:$I$302,R$212))</f>
        <v/>
      </c>
      <c r="S231" s="51" t="str">
        <f aca="false">IF($A231="","",SUMIFS(工数明細!$G$3:$G$302,工数明細!$B$3:$B$302,$A231,工数明細!$I$3:$I$302,S$212))</f>
        <v/>
      </c>
      <c r="T231" s="51" t="str">
        <f aca="false">IF($A231="","",SUMIFS(工数明細!$G$3:$G$302,工数明細!$B$3:$B$302,$A231,工数明細!$I$3:$I$302,T$212))</f>
        <v/>
      </c>
      <c r="U231" s="51" t="str">
        <f aca="false">IF($A231="","",SUMIFS(工数明細!$G$3:$G$302,工数明細!$B$3:$B$302,$A231,工数明細!$I$3:$I$302,U$212))</f>
        <v/>
      </c>
      <c r="V231" s="51" t="str">
        <f aca="false">IF($A231="","",SUMIFS(工数明細!$G$3:$G$302,工数明細!$B$3:$B$302,$A231,工数明細!$I$3:$I$302,V$212))</f>
        <v/>
      </c>
      <c r="W231" s="51" t="str">
        <f aca="false">IF($A231="","",SUMIFS(工数明細!$G$3:$G$302,工数明細!$B$3:$B$302,$A231,工数明細!$I$3:$I$302,W$212))</f>
        <v/>
      </c>
      <c r="X231" s="51" t="str">
        <f aca="false">IF($A231="","",SUMIFS(工数明細!$G$3:$G$302,工数明細!$B$3:$B$302,$A231,工数明細!$I$3:$I$302,X$212))</f>
        <v/>
      </c>
      <c r="Y231" s="51" t="str">
        <f aca="false">IF($A231="","",SUMIFS(工数明細!$G$3:$G$302,工数明細!$B$3:$B$302,$A231,工数明細!$I$3:$I$302,Y$212))</f>
        <v/>
      </c>
      <c r="Z231" s="51" t="str">
        <f aca="false">IF($A231="","",SUMIFS(工数明細!$G$3:$G$302,工数明細!$B$3:$B$302,$A231,工数明細!$I$3:$I$302,Z$212))</f>
        <v/>
      </c>
      <c r="AA231" s="51" t="str">
        <f aca="false">IF($A231="","",SUMIFS(工数明細!$G$3:$G$302,工数明細!$B$3:$B$302,$A231,工数明細!$I$3:$I$302,AA$212))</f>
        <v/>
      </c>
      <c r="AB231" s="51" t="str">
        <f aca="false">IF($A231="","",SUMIFS(工数明細!$G$3:$G$302,工数明細!$B$3:$B$302,$A231,工数明細!$I$3:$I$302,AB$212))</f>
        <v/>
      </c>
      <c r="AC231" s="51" t="str">
        <f aca="false">IF($A231="","",SUMIFS(工数明細!$G$3:$G$302,工数明細!$B$3:$B$302,$A231,工数明細!$I$3:$I$302,AC$212))</f>
        <v/>
      </c>
      <c r="AD231" s="51" t="str">
        <f aca="false">IF($A231="","",SUMIFS(工数明細!$G$3:$G$302,工数明細!$B$3:$B$302,$A231,工数明細!$I$3:$I$302,AD$212))</f>
        <v/>
      </c>
    </row>
    <row r="232" customFormat="false" ht="15.75" hidden="false" customHeight="true" outlineLevel="0" collapsed="false">
      <c r="A232" s="28" t="str">
        <f aca="false">IF(案件管理!$A$21:$A$21="","",案件管理!$A$21:$A$21)</f>
        <v/>
      </c>
      <c r="B232" s="10" t="str">
        <f aca="false">IF($A232="","",案件管理!$B$21:$B$21)</f>
        <v/>
      </c>
      <c r="C232" s="10" t="str">
        <f aca="false">IF($A232="","",案件管理!$D$21:$D$21)</f>
        <v/>
      </c>
      <c r="D232" s="30" t="str">
        <f aca="false">IF($A232="","",案件管理!$AE$21:$AE$21)</f>
        <v/>
      </c>
      <c r="E232" s="30" t="str">
        <f aca="false">IF($A232="","",SUM($G232:$AD232))</f>
        <v/>
      </c>
      <c r="F232" s="51" t="str">
        <f aca="false">IF($A232="","",N($E26)-N($E232))</f>
        <v/>
      </c>
      <c r="G232" s="51" t="str">
        <f aca="false">IF($A232="","",SUMIFS(工数明細!$G$3:$G$302,工数明細!$B$3:$B$302,$A232,工数明細!$I$3:$I$302,G$212))</f>
        <v/>
      </c>
      <c r="H232" s="51" t="str">
        <f aca="false">IF($A232="","",SUMIFS(工数明細!$G$3:$G$302,工数明細!$B$3:$B$302,$A232,工数明細!$I$3:$I$302,H$212))</f>
        <v/>
      </c>
      <c r="I232" s="51" t="str">
        <f aca="false">IF($A232="","",SUMIFS(工数明細!$G$3:$G$302,工数明細!$B$3:$B$302,$A232,工数明細!$I$3:$I$302,I$212))</f>
        <v/>
      </c>
      <c r="J232" s="51" t="str">
        <f aca="false">IF($A232="","",SUMIFS(工数明細!$G$3:$G$302,工数明細!$B$3:$B$302,$A232,工数明細!$I$3:$I$302,J$212))</f>
        <v/>
      </c>
      <c r="K232" s="51" t="str">
        <f aca="false">IF($A232="","",SUMIFS(工数明細!$G$3:$G$302,工数明細!$B$3:$B$302,$A232,工数明細!$I$3:$I$302,K$212))</f>
        <v/>
      </c>
      <c r="L232" s="51" t="str">
        <f aca="false">IF($A232="","",SUMIFS(工数明細!$G$3:$G$302,工数明細!$B$3:$B$302,$A232,工数明細!$I$3:$I$302,L$212))</f>
        <v/>
      </c>
      <c r="M232" s="51" t="str">
        <f aca="false">IF($A232="","",SUMIFS(工数明細!$G$3:$G$302,工数明細!$B$3:$B$302,$A232,工数明細!$I$3:$I$302,M$212))</f>
        <v/>
      </c>
      <c r="N232" s="51" t="str">
        <f aca="false">IF($A232="","",SUMIFS(工数明細!$G$3:$G$302,工数明細!$B$3:$B$302,$A232,工数明細!$I$3:$I$302,N$212))</f>
        <v/>
      </c>
      <c r="O232" s="51" t="str">
        <f aca="false">IF($A232="","",SUMIFS(工数明細!$G$3:$G$302,工数明細!$B$3:$B$302,$A232,工数明細!$I$3:$I$302,O$212))</f>
        <v/>
      </c>
      <c r="P232" s="51" t="str">
        <f aca="false">IF($A232="","",SUMIFS(工数明細!$G$3:$G$302,工数明細!$B$3:$B$302,$A232,工数明細!$I$3:$I$302,P$212))</f>
        <v/>
      </c>
      <c r="Q232" s="51" t="str">
        <f aca="false">IF($A232="","",SUMIFS(工数明細!$G$3:$G$302,工数明細!$B$3:$B$302,$A232,工数明細!$I$3:$I$302,Q$212))</f>
        <v/>
      </c>
      <c r="R232" s="51" t="str">
        <f aca="false">IF($A232="","",SUMIFS(工数明細!$G$3:$G$302,工数明細!$B$3:$B$302,$A232,工数明細!$I$3:$I$302,R$212))</f>
        <v/>
      </c>
      <c r="S232" s="51" t="str">
        <f aca="false">IF($A232="","",SUMIFS(工数明細!$G$3:$G$302,工数明細!$B$3:$B$302,$A232,工数明細!$I$3:$I$302,S$212))</f>
        <v/>
      </c>
      <c r="T232" s="51" t="str">
        <f aca="false">IF($A232="","",SUMIFS(工数明細!$G$3:$G$302,工数明細!$B$3:$B$302,$A232,工数明細!$I$3:$I$302,T$212))</f>
        <v/>
      </c>
      <c r="U232" s="51" t="str">
        <f aca="false">IF($A232="","",SUMIFS(工数明細!$G$3:$G$302,工数明細!$B$3:$B$302,$A232,工数明細!$I$3:$I$302,U$212))</f>
        <v/>
      </c>
      <c r="V232" s="51" t="str">
        <f aca="false">IF($A232="","",SUMIFS(工数明細!$G$3:$G$302,工数明細!$B$3:$B$302,$A232,工数明細!$I$3:$I$302,V$212))</f>
        <v/>
      </c>
      <c r="W232" s="51" t="str">
        <f aca="false">IF($A232="","",SUMIFS(工数明細!$G$3:$G$302,工数明細!$B$3:$B$302,$A232,工数明細!$I$3:$I$302,W$212))</f>
        <v/>
      </c>
      <c r="X232" s="51" t="str">
        <f aca="false">IF($A232="","",SUMIFS(工数明細!$G$3:$G$302,工数明細!$B$3:$B$302,$A232,工数明細!$I$3:$I$302,X$212))</f>
        <v/>
      </c>
      <c r="Y232" s="51" t="str">
        <f aca="false">IF($A232="","",SUMIFS(工数明細!$G$3:$G$302,工数明細!$B$3:$B$302,$A232,工数明細!$I$3:$I$302,Y$212))</f>
        <v/>
      </c>
      <c r="Z232" s="51" t="str">
        <f aca="false">IF($A232="","",SUMIFS(工数明細!$G$3:$G$302,工数明細!$B$3:$B$302,$A232,工数明細!$I$3:$I$302,Z$212))</f>
        <v/>
      </c>
      <c r="AA232" s="51" t="str">
        <f aca="false">IF($A232="","",SUMIFS(工数明細!$G$3:$G$302,工数明細!$B$3:$B$302,$A232,工数明細!$I$3:$I$302,AA$212))</f>
        <v/>
      </c>
      <c r="AB232" s="51" t="str">
        <f aca="false">IF($A232="","",SUMIFS(工数明細!$G$3:$G$302,工数明細!$B$3:$B$302,$A232,工数明細!$I$3:$I$302,AB$212))</f>
        <v/>
      </c>
      <c r="AC232" s="51" t="str">
        <f aca="false">IF($A232="","",SUMIFS(工数明細!$G$3:$G$302,工数明細!$B$3:$B$302,$A232,工数明細!$I$3:$I$302,AC$212))</f>
        <v/>
      </c>
      <c r="AD232" s="51" t="str">
        <f aca="false">IF($A232="","",SUMIFS(工数明細!$G$3:$G$302,工数明細!$B$3:$B$302,$A232,工数明細!$I$3:$I$302,AD$212))</f>
        <v/>
      </c>
    </row>
    <row r="233" customFormat="false" ht="15.75" hidden="false" customHeight="true" outlineLevel="0" collapsed="false">
      <c r="A233" s="28" t="str">
        <f aca="false">IF(案件管理!$A$22:$A$22="","",案件管理!$A$22:$A$22)</f>
        <v/>
      </c>
      <c r="B233" s="10" t="str">
        <f aca="false">IF($A233="","",案件管理!$B$22:$B$22)</f>
        <v/>
      </c>
      <c r="C233" s="10" t="str">
        <f aca="false">IF($A233="","",案件管理!$D$22:$D$22)</f>
        <v/>
      </c>
      <c r="D233" s="30" t="str">
        <f aca="false">IF($A233="","",案件管理!$AE$22:$AE$22)</f>
        <v/>
      </c>
      <c r="E233" s="30" t="str">
        <f aca="false">IF($A233="","",SUM($G233:$AD233))</f>
        <v/>
      </c>
      <c r="F233" s="51" t="str">
        <f aca="false">IF($A233="","",N($E27)-N($E233))</f>
        <v/>
      </c>
      <c r="G233" s="51" t="str">
        <f aca="false">IF($A233="","",SUMIFS(工数明細!$G$3:$G$302,工数明細!$B$3:$B$302,$A233,工数明細!$I$3:$I$302,G$212))</f>
        <v/>
      </c>
      <c r="H233" s="51" t="str">
        <f aca="false">IF($A233="","",SUMIFS(工数明細!$G$3:$G$302,工数明細!$B$3:$B$302,$A233,工数明細!$I$3:$I$302,H$212))</f>
        <v/>
      </c>
      <c r="I233" s="51" t="str">
        <f aca="false">IF($A233="","",SUMIFS(工数明細!$G$3:$G$302,工数明細!$B$3:$B$302,$A233,工数明細!$I$3:$I$302,I$212))</f>
        <v/>
      </c>
      <c r="J233" s="51" t="str">
        <f aca="false">IF($A233="","",SUMIFS(工数明細!$G$3:$G$302,工数明細!$B$3:$B$302,$A233,工数明細!$I$3:$I$302,J$212))</f>
        <v/>
      </c>
      <c r="K233" s="51" t="str">
        <f aca="false">IF($A233="","",SUMIFS(工数明細!$G$3:$G$302,工数明細!$B$3:$B$302,$A233,工数明細!$I$3:$I$302,K$212))</f>
        <v/>
      </c>
      <c r="L233" s="51" t="str">
        <f aca="false">IF($A233="","",SUMIFS(工数明細!$G$3:$G$302,工数明細!$B$3:$B$302,$A233,工数明細!$I$3:$I$302,L$212))</f>
        <v/>
      </c>
      <c r="M233" s="51" t="str">
        <f aca="false">IF($A233="","",SUMIFS(工数明細!$G$3:$G$302,工数明細!$B$3:$B$302,$A233,工数明細!$I$3:$I$302,M$212))</f>
        <v/>
      </c>
      <c r="N233" s="51" t="str">
        <f aca="false">IF($A233="","",SUMIFS(工数明細!$G$3:$G$302,工数明細!$B$3:$B$302,$A233,工数明細!$I$3:$I$302,N$212))</f>
        <v/>
      </c>
      <c r="O233" s="51" t="str">
        <f aca="false">IF($A233="","",SUMIFS(工数明細!$G$3:$G$302,工数明細!$B$3:$B$302,$A233,工数明細!$I$3:$I$302,O$212))</f>
        <v/>
      </c>
      <c r="P233" s="51" t="str">
        <f aca="false">IF($A233="","",SUMIFS(工数明細!$G$3:$G$302,工数明細!$B$3:$B$302,$A233,工数明細!$I$3:$I$302,P$212))</f>
        <v/>
      </c>
      <c r="Q233" s="51" t="str">
        <f aca="false">IF($A233="","",SUMIFS(工数明細!$G$3:$G$302,工数明細!$B$3:$B$302,$A233,工数明細!$I$3:$I$302,Q$212))</f>
        <v/>
      </c>
      <c r="R233" s="51" t="str">
        <f aca="false">IF($A233="","",SUMIFS(工数明細!$G$3:$G$302,工数明細!$B$3:$B$302,$A233,工数明細!$I$3:$I$302,R$212))</f>
        <v/>
      </c>
      <c r="S233" s="51" t="str">
        <f aca="false">IF($A233="","",SUMIFS(工数明細!$G$3:$G$302,工数明細!$B$3:$B$302,$A233,工数明細!$I$3:$I$302,S$212))</f>
        <v/>
      </c>
      <c r="T233" s="51" t="str">
        <f aca="false">IF($A233="","",SUMIFS(工数明細!$G$3:$G$302,工数明細!$B$3:$B$302,$A233,工数明細!$I$3:$I$302,T$212))</f>
        <v/>
      </c>
      <c r="U233" s="51" t="str">
        <f aca="false">IF($A233="","",SUMIFS(工数明細!$G$3:$G$302,工数明細!$B$3:$B$302,$A233,工数明細!$I$3:$I$302,U$212))</f>
        <v/>
      </c>
      <c r="V233" s="51" t="str">
        <f aca="false">IF($A233="","",SUMIFS(工数明細!$G$3:$G$302,工数明細!$B$3:$B$302,$A233,工数明細!$I$3:$I$302,V$212))</f>
        <v/>
      </c>
      <c r="W233" s="51" t="str">
        <f aca="false">IF($A233="","",SUMIFS(工数明細!$G$3:$G$302,工数明細!$B$3:$B$302,$A233,工数明細!$I$3:$I$302,W$212))</f>
        <v/>
      </c>
      <c r="X233" s="51" t="str">
        <f aca="false">IF($A233="","",SUMIFS(工数明細!$G$3:$G$302,工数明細!$B$3:$B$302,$A233,工数明細!$I$3:$I$302,X$212))</f>
        <v/>
      </c>
      <c r="Y233" s="51" t="str">
        <f aca="false">IF($A233="","",SUMIFS(工数明細!$G$3:$G$302,工数明細!$B$3:$B$302,$A233,工数明細!$I$3:$I$302,Y$212))</f>
        <v/>
      </c>
      <c r="Z233" s="51" t="str">
        <f aca="false">IF($A233="","",SUMIFS(工数明細!$G$3:$G$302,工数明細!$B$3:$B$302,$A233,工数明細!$I$3:$I$302,Z$212))</f>
        <v/>
      </c>
      <c r="AA233" s="51" t="str">
        <f aca="false">IF($A233="","",SUMIFS(工数明細!$G$3:$G$302,工数明細!$B$3:$B$302,$A233,工数明細!$I$3:$I$302,AA$212))</f>
        <v/>
      </c>
      <c r="AB233" s="51" t="str">
        <f aca="false">IF($A233="","",SUMIFS(工数明細!$G$3:$G$302,工数明細!$B$3:$B$302,$A233,工数明細!$I$3:$I$302,AB$212))</f>
        <v/>
      </c>
      <c r="AC233" s="51" t="str">
        <f aca="false">IF($A233="","",SUMIFS(工数明細!$G$3:$G$302,工数明細!$B$3:$B$302,$A233,工数明細!$I$3:$I$302,AC$212))</f>
        <v/>
      </c>
      <c r="AD233" s="51" t="str">
        <f aca="false">IF($A233="","",SUMIFS(工数明細!$G$3:$G$302,工数明細!$B$3:$B$302,$A233,工数明細!$I$3:$I$302,AD$212))</f>
        <v/>
      </c>
    </row>
    <row r="234" customFormat="false" ht="15.75" hidden="false" customHeight="true" outlineLevel="0" collapsed="false">
      <c r="A234" s="28" t="str">
        <f aca="false">IF(案件管理!$A$23:$A$23="","",案件管理!$A$23:$A$23)</f>
        <v/>
      </c>
      <c r="B234" s="10" t="str">
        <f aca="false">IF($A234="","",案件管理!$B$23:$B$23)</f>
        <v/>
      </c>
      <c r="C234" s="10" t="str">
        <f aca="false">IF($A234="","",案件管理!$D$23:$D$23)</f>
        <v/>
      </c>
      <c r="D234" s="30" t="str">
        <f aca="false">IF($A234="","",案件管理!$AE$23:$AE$23)</f>
        <v/>
      </c>
      <c r="E234" s="30" t="str">
        <f aca="false">IF($A234="","",SUM($G234:$AD234))</f>
        <v/>
      </c>
      <c r="F234" s="51" t="str">
        <f aca="false">IF($A234="","",N($E28)-N($E234))</f>
        <v/>
      </c>
      <c r="G234" s="51" t="str">
        <f aca="false">IF($A234="","",SUMIFS(工数明細!$G$3:$G$302,工数明細!$B$3:$B$302,$A234,工数明細!$I$3:$I$302,G$212))</f>
        <v/>
      </c>
      <c r="H234" s="51" t="str">
        <f aca="false">IF($A234="","",SUMIFS(工数明細!$G$3:$G$302,工数明細!$B$3:$B$302,$A234,工数明細!$I$3:$I$302,H$212))</f>
        <v/>
      </c>
      <c r="I234" s="51" t="str">
        <f aca="false">IF($A234="","",SUMIFS(工数明細!$G$3:$G$302,工数明細!$B$3:$B$302,$A234,工数明細!$I$3:$I$302,I$212))</f>
        <v/>
      </c>
      <c r="J234" s="51" t="str">
        <f aca="false">IF($A234="","",SUMIFS(工数明細!$G$3:$G$302,工数明細!$B$3:$B$302,$A234,工数明細!$I$3:$I$302,J$212))</f>
        <v/>
      </c>
      <c r="K234" s="51" t="str">
        <f aca="false">IF($A234="","",SUMIFS(工数明細!$G$3:$G$302,工数明細!$B$3:$B$302,$A234,工数明細!$I$3:$I$302,K$212))</f>
        <v/>
      </c>
      <c r="L234" s="51" t="str">
        <f aca="false">IF($A234="","",SUMIFS(工数明細!$G$3:$G$302,工数明細!$B$3:$B$302,$A234,工数明細!$I$3:$I$302,L$212))</f>
        <v/>
      </c>
      <c r="M234" s="51" t="str">
        <f aca="false">IF($A234="","",SUMIFS(工数明細!$G$3:$G$302,工数明細!$B$3:$B$302,$A234,工数明細!$I$3:$I$302,M$212))</f>
        <v/>
      </c>
      <c r="N234" s="51" t="str">
        <f aca="false">IF($A234="","",SUMIFS(工数明細!$G$3:$G$302,工数明細!$B$3:$B$302,$A234,工数明細!$I$3:$I$302,N$212))</f>
        <v/>
      </c>
      <c r="O234" s="51" t="str">
        <f aca="false">IF($A234="","",SUMIFS(工数明細!$G$3:$G$302,工数明細!$B$3:$B$302,$A234,工数明細!$I$3:$I$302,O$212))</f>
        <v/>
      </c>
      <c r="P234" s="51" t="str">
        <f aca="false">IF($A234="","",SUMIFS(工数明細!$G$3:$G$302,工数明細!$B$3:$B$302,$A234,工数明細!$I$3:$I$302,P$212))</f>
        <v/>
      </c>
      <c r="Q234" s="51" t="str">
        <f aca="false">IF($A234="","",SUMIFS(工数明細!$G$3:$G$302,工数明細!$B$3:$B$302,$A234,工数明細!$I$3:$I$302,Q$212))</f>
        <v/>
      </c>
      <c r="R234" s="51" t="str">
        <f aca="false">IF($A234="","",SUMIFS(工数明細!$G$3:$G$302,工数明細!$B$3:$B$302,$A234,工数明細!$I$3:$I$302,R$212))</f>
        <v/>
      </c>
      <c r="S234" s="51" t="str">
        <f aca="false">IF($A234="","",SUMIFS(工数明細!$G$3:$G$302,工数明細!$B$3:$B$302,$A234,工数明細!$I$3:$I$302,S$212))</f>
        <v/>
      </c>
      <c r="T234" s="51" t="str">
        <f aca="false">IF($A234="","",SUMIFS(工数明細!$G$3:$G$302,工数明細!$B$3:$B$302,$A234,工数明細!$I$3:$I$302,T$212))</f>
        <v/>
      </c>
      <c r="U234" s="51" t="str">
        <f aca="false">IF($A234="","",SUMIFS(工数明細!$G$3:$G$302,工数明細!$B$3:$B$302,$A234,工数明細!$I$3:$I$302,U$212))</f>
        <v/>
      </c>
      <c r="V234" s="51" t="str">
        <f aca="false">IF($A234="","",SUMIFS(工数明細!$G$3:$G$302,工数明細!$B$3:$B$302,$A234,工数明細!$I$3:$I$302,V$212))</f>
        <v/>
      </c>
      <c r="W234" s="51" t="str">
        <f aca="false">IF($A234="","",SUMIFS(工数明細!$G$3:$G$302,工数明細!$B$3:$B$302,$A234,工数明細!$I$3:$I$302,W$212))</f>
        <v/>
      </c>
      <c r="X234" s="51" t="str">
        <f aca="false">IF($A234="","",SUMIFS(工数明細!$G$3:$G$302,工数明細!$B$3:$B$302,$A234,工数明細!$I$3:$I$302,X$212))</f>
        <v/>
      </c>
      <c r="Y234" s="51" t="str">
        <f aca="false">IF($A234="","",SUMIFS(工数明細!$G$3:$G$302,工数明細!$B$3:$B$302,$A234,工数明細!$I$3:$I$302,Y$212))</f>
        <v/>
      </c>
      <c r="Z234" s="51" t="str">
        <f aca="false">IF($A234="","",SUMIFS(工数明細!$G$3:$G$302,工数明細!$B$3:$B$302,$A234,工数明細!$I$3:$I$302,Z$212))</f>
        <v/>
      </c>
      <c r="AA234" s="51" t="str">
        <f aca="false">IF($A234="","",SUMIFS(工数明細!$G$3:$G$302,工数明細!$B$3:$B$302,$A234,工数明細!$I$3:$I$302,AA$212))</f>
        <v/>
      </c>
      <c r="AB234" s="51" t="str">
        <f aca="false">IF($A234="","",SUMIFS(工数明細!$G$3:$G$302,工数明細!$B$3:$B$302,$A234,工数明細!$I$3:$I$302,AB$212))</f>
        <v/>
      </c>
      <c r="AC234" s="51" t="str">
        <f aca="false">IF($A234="","",SUMIFS(工数明細!$G$3:$G$302,工数明細!$B$3:$B$302,$A234,工数明細!$I$3:$I$302,AC$212))</f>
        <v/>
      </c>
      <c r="AD234" s="51" t="str">
        <f aca="false">IF($A234="","",SUMIFS(工数明細!$G$3:$G$302,工数明細!$B$3:$B$302,$A234,工数明細!$I$3:$I$302,AD$212))</f>
        <v/>
      </c>
    </row>
    <row r="235" customFormat="false" ht="15.75" hidden="false" customHeight="true" outlineLevel="0" collapsed="false">
      <c r="A235" s="28" t="str">
        <f aca="false">IF(案件管理!$A$24:$A$24="","",案件管理!$A$24:$A$24)</f>
        <v/>
      </c>
      <c r="B235" s="10" t="str">
        <f aca="false">IF($A235="","",案件管理!$B$24:$B$24)</f>
        <v/>
      </c>
      <c r="C235" s="10" t="str">
        <f aca="false">IF($A235="","",案件管理!$D$24:$D$24)</f>
        <v/>
      </c>
      <c r="D235" s="30" t="str">
        <f aca="false">IF($A235="","",案件管理!$AE$24:$AE$24)</f>
        <v/>
      </c>
      <c r="E235" s="30" t="str">
        <f aca="false">IF($A235="","",SUM($G235:$AD235))</f>
        <v/>
      </c>
      <c r="F235" s="51" t="str">
        <f aca="false">IF($A235="","",N($E29)-N($E235))</f>
        <v/>
      </c>
      <c r="G235" s="51" t="str">
        <f aca="false">IF($A235="","",SUMIFS(工数明細!$G$3:$G$302,工数明細!$B$3:$B$302,$A235,工数明細!$I$3:$I$302,G$212))</f>
        <v/>
      </c>
      <c r="H235" s="51" t="str">
        <f aca="false">IF($A235="","",SUMIFS(工数明細!$G$3:$G$302,工数明細!$B$3:$B$302,$A235,工数明細!$I$3:$I$302,H$212))</f>
        <v/>
      </c>
      <c r="I235" s="51" t="str">
        <f aca="false">IF($A235="","",SUMIFS(工数明細!$G$3:$G$302,工数明細!$B$3:$B$302,$A235,工数明細!$I$3:$I$302,I$212))</f>
        <v/>
      </c>
      <c r="J235" s="51" t="str">
        <f aca="false">IF($A235="","",SUMIFS(工数明細!$G$3:$G$302,工数明細!$B$3:$B$302,$A235,工数明細!$I$3:$I$302,J$212))</f>
        <v/>
      </c>
      <c r="K235" s="51" t="str">
        <f aca="false">IF($A235="","",SUMIFS(工数明細!$G$3:$G$302,工数明細!$B$3:$B$302,$A235,工数明細!$I$3:$I$302,K$212))</f>
        <v/>
      </c>
      <c r="L235" s="51" t="str">
        <f aca="false">IF($A235="","",SUMIFS(工数明細!$G$3:$G$302,工数明細!$B$3:$B$302,$A235,工数明細!$I$3:$I$302,L$212))</f>
        <v/>
      </c>
      <c r="M235" s="51" t="str">
        <f aca="false">IF($A235="","",SUMIFS(工数明細!$G$3:$G$302,工数明細!$B$3:$B$302,$A235,工数明細!$I$3:$I$302,M$212))</f>
        <v/>
      </c>
      <c r="N235" s="51" t="str">
        <f aca="false">IF($A235="","",SUMIFS(工数明細!$G$3:$G$302,工数明細!$B$3:$B$302,$A235,工数明細!$I$3:$I$302,N$212))</f>
        <v/>
      </c>
      <c r="O235" s="51" t="str">
        <f aca="false">IF($A235="","",SUMIFS(工数明細!$G$3:$G$302,工数明細!$B$3:$B$302,$A235,工数明細!$I$3:$I$302,O$212))</f>
        <v/>
      </c>
      <c r="P235" s="51" t="str">
        <f aca="false">IF($A235="","",SUMIFS(工数明細!$G$3:$G$302,工数明細!$B$3:$B$302,$A235,工数明細!$I$3:$I$302,P$212))</f>
        <v/>
      </c>
      <c r="Q235" s="51" t="str">
        <f aca="false">IF($A235="","",SUMIFS(工数明細!$G$3:$G$302,工数明細!$B$3:$B$302,$A235,工数明細!$I$3:$I$302,Q$212))</f>
        <v/>
      </c>
      <c r="R235" s="51" t="str">
        <f aca="false">IF($A235="","",SUMIFS(工数明細!$G$3:$G$302,工数明細!$B$3:$B$302,$A235,工数明細!$I$3:$I$302,R$212))</f>
        <v/>
      </c>
      <c r="S235" s="51" t="str">
        <f aca="false">IF($A235="","",SUMIFS(工数明細!$G$3:$G$302,工数明細!$B$3:$B$302,$A235,工数明細!$I$3:$I$302,S$212))</f>
        <v/>
      </c>
      <c r="T235" s="51" t="str">
        <f aca="false">IF($A235="","",SUMIFS(工数明細!$G$3:$G$302,工数明細!$B$3:$B$302,$A235,工数明細!$I$3:$I$302,T$212))</f>
        <v/>
      </c>
      <c r="U235" s="51" t="str">
        <f aca="false">IF($A235="","",SUMIFS(工数明細!$G$3:$G$302,工数明細!$B$3:$B$302,$A235,工数明細!$I$3:$I$302,U$212))</f>
        <v/>
      </c>
      <c r="V235" s="51" t="str">
        <f aca="false">IF($A235="","",SUMIFS(工数明細!$G$3:$G$302,工数明細!$B$3:$B$302,$A235,工数明細!$I$3:$I$302,V$212))</f>
        <v/>
      </c>
      <c r="W235" s="51" t="str">
        <f aca="false">IF($A235="","",SUMIFS(工数明細!$G$3:$G$302,工数明細!$B$3:$B$302,$A235,工数明細!$I$3:$I$302,W$212))</f>
        <v/>
      </c>
      <c r="X235" s="51" t="str">
        <f aca="false">IF($A235="","",SUMIFS(工数明細!$G$3:$G$302,工数明細!$B$3:$B$302,$A235,工数明細!$I$3:$I$302,X$212))</f>
        <v/>
      </c>
      <c r="Y235" s="51" t="str">
        <f aca="false">IF($A235="","",SUMIFS(工数明細!$G$3:$G$302,工数明細!$B$3:$B$302,$A235,工数明細!$I$3:$I$302,Y$212))</f>
        <v/>
      </c>
      <c r="Z235" s="51" t="str">
        <f aca="false">IF($A235="","",SUMIFS(工数明細!$G$3:$G$302,工数明細!$B$3:$B$302,$A235,工数明細!$I$3:$I$302,Z$212))</f>
        <v/>
      </c>
      <c r="AA235" s="51" t="str">
        <f aca="false">IF($A235="","",SUMIFS(工数明細!$G$3:$G$302,工数明細!$B$3:$B$302,$A235,工数明細!$I$3:$I$302,AA$212))</f>
        <v/>
      </c>
      <c r="AB235" s="51" t="str">
        <f aca="false">IF($A235="","",SUMIFS(工数明細!$G$3:$G$302,工数明細!$B$3:$B$302,$A235,工数明細!$I$3:$I$302,AB$212))</f>
        <v/>
      </c>
      <c r="AC235" s="51" t="str">
        <f aca="false">IF($A235="","",SUMIFS(工数明細!$G$3:$G$302,工数明細!$B$3:$B$302,$A235,工数明細!$I$3:$I$302,AC$212))</f>
        <v/>
      </c>
      <c r="AD235" s="51" t="str">
        <f aca="false">IF($A235="","",SUMIFS(工数明細!$G$3:$G$302,工数明細!$B$3:$B$302,$A235,工数明細!$I$3:$I$302,AD$212))</f>
        <v/>
      </c>
    </row>
    <row r="236" customFormat="false" ht="15.75" hidden="false" customHeight="true" outlineLevel="0" collapsed="false">
      <c r="A236" s="28" t="str">
        <f aca="false">IF(案件管理!$A$25:$A$25="","",案件管理!$A$25:$A$25)</f>
        <v/>
      </c>
      <c r="B236" s="10" t="str">
        <f aca="false">IF($A236="","",案件管理!$B$25:$B$25)</f>
        <v/>
      </c>
      <c r="C236" s="10" t="str">
        <f aca="false">IF($A236="","",案件管理!$D$25:$D$25)</f>
        <v/>
      </c>
      <c r="D236" s="30" t="str">
        <f aca="false">IF($A236="","",案件管理!$AE$25:$AE$25)</f>
        <v/>
      </c>
      <c r="E236" s="30" t="str">
        <f aca="false">IF($A236="","",SUM($G236:$AD236))</f>
        <v/>
      </c>
      <c r="F236" s="51" t="str">
        <f aca="false">IF($A236="","",N($E30)-N($E236))</f>
        <v/>
      </c>
      <c r="G236" s="51" t="str">
        <f aca="false">IF($A236="","",SUMIFS(工数明細!$G$3:$G$302,工数明細!$B$3:$B$302,$A236,工数明細!$I$3:$I$302,G$212))</f>
        <v/>
      </c>
      <c r="H236" s="51" t="str">
        <f aca="false">IF($A236="","",SUMIFS(工数明細!$G$3:$G$302,工数明細!$B$3:$B$302,$A236,工数明細!$I$3:$I$302,H$212))</f>
        <v/>
      </c>
      <c r="I236" s="51" t="str">
        <f aca="false">IF($A236="","",SUMIFS(工数明細!$G$3:$G$302,工数明細!$B$3:$B$302,$A236,工数明細!$I$3:$I$302,I$212))</f>
        <v/>
      </c>
      <c r="J236" s="51" t="str">
        <f aca="false">IF($A236="","",SUMIFS(工数明細!$G$3:$G$302,工数明細!$B$3:$B$302,$A236,工数明細!$I$3:$I$302,J$212))</f>
        <v/>
      </c>
      <c r="K236" s="51" t="str">
        <f aca="false">IF($A236="","",SUMIFS(工数明細!$G$3:$G$302,工数明細!$B$3:$B$302,$A236,工数明細!$I$3:$I$302,K$212))</f>
        <v/>
      </c>
      <c r="L236" s="51" t="str">
        <f aca="false">IF($A236="","",SUMIFS(工数明細!$G$3:$G$302,工数明細!$B$3:$B$302,$A236,工数明細!$I$3:$I$302,L$212))</f>
        <v/>
      </c>
      <c r="M236" s="51" t="str">
        <f aca="false">IF($A236="","",SUMIFS(工数明細!$G$3:$G$302,工数明細!$B$3:$B$302,$A236,工数明細!$I$3:$I$302,M$212))</f>
        <v/>
      </c>
      <c r="N236" s="51" t="str">
        <f aca="false">IF($A236="","",SUMIFS(工数明細!$G$3:$G$302,工数明細!$B$3:$B$302,$A236,工数明細!$I$3:$I$302,N$212))</f>
        <v/>
      </c>
      <c r="O236" s="51" t="str">
        <f aca="false">IF($A236="","",SUMIFS(工数明細!$G$3:$G$302,工数明細!$B$3:$B$302,$A236,工数明細!$I$3:$I$302,O$212))</f>
        <v/>
      </c>
      <c r="P236" s="51" t="str">
        <f aca="false">IF($A236="","",SUMIFS(工数明細!$G$3:$G$302,工数明細!$B$3:$B$302,$A236,工数明細!$I$3:$I$302,P$212))</f>
        <v/>
      </c>
      <c r="Q236" s="51" t="str">
        <f aca="false">IF($A236="","",SUMIFS(工数明細!$G$3:$G$302,工数明細!$B$3:$B$302,$A236,工数明細!$I$3:$I$302,Q$212))</f>
        <v/>
      </c>
      <c r="R236" s="51" t="str">
        <f aca="false">IF($A236="","",SUMIFS(工数明細!$G$3:$G$302,工数明細!$B$3:$B$302,$A236,工数明細!$I$3:$I$302,R$212))</f>
        <v/>
      </c>
      <c r="S236" s="51" t="str">
        <f aca="false">IF($A236="","",SUMIFS(工数明細!$G$3:$G$302,工数明細!$B$3:$B$302,$A236,工数明細!$I$3:$I$302,S$212))</f>
        <v/>
      </c>
      <c r="T236" s="51" t="str">
        <f aca="false">IF($A236="","",SUMIFS(工数明細!$G$3:$G$302,工数明細!$B$3:$B$302,$A236,工数明細!$I$3:$I$302,T$212))</f>
        <v/>
      </c>
      <c r="U236" s="51" t="str">
        <f aca="false">IF($A236="","",SUMIFS(工数明細!$G$3:$G$302,工数明細!$B$3:$B$302,$A236,工数明細!$I$3:$I$302,U$212))</f>
        <v/>
      </c>
      <c r="V236" s="51" t="str">
        <f aca="false">IF($A236="","",SUMIFS(工数明細!$G$3:$G$302,工数明細!$B$3:$B$302,$A236,工数明細!$I$3:$I$302,V$212))</f>
        <v/>
      </c>
      <c r="W236" s="51" t="str">
        <f aca="false">IF($A236="","",SUMIFS(工数明細!$G$3:$G$302,工数明細!$B$3:$B$302,$A236,工数明細!$I$3:$I$302,W$212))</f>
        <v/>
      </c>
      <c r="X236" s="51" t="str">
        <f aca="false">IF($A236="","",SUMIFS(工数明細!$G$3:$G$302,工数明細!$B$3:$B$302,$A236,工数明細!$I$3:$I$302,X$212))</f>
        <v/>
      </c>
      <c r="Y236" s="51" t="str">
        <f aca="false">IF($A236="","",SUMIFS(工数明細!$G$3:$G$302,工数明細!$B$3:$B$302,$A236,工数明細!$I$3:$I$302,Y$212))</f>
        <v/>
      </c>
      <c r="Z236" s="51" t="str">
        <f aca="false">IF($A236="","",SUMIFS(工数明細!$G$3:$G$302,工数明細!$B$3:$B$302,$A236,工数明細!$I$3:$I$302,Z$212))</f>
        <v/>
      </c>
      <c r="AA236" s="51" t="str">
        <f aca="false">IF($A236="","",SUMIFS(工数明細!$G$3:$G$302,工数明細!$B$3:$B$302,$A236,工数明細!$I$3:$I$302,AA$212))</f>
        <v/>
      </c>
      <c r="AB236" s="51" t="str">
        <f aca="false">IF($A236="","",SUMIFS(工数明細!$G$3:$G$302,工数明細!$B$3:$B$302,$A236,工数明細!$I$3:$I$302,AB$212))</f>
        <v/>
      </c>
      <c r="AC236" s="51" t="str">
        <f aca="false">IF($A236="","",SUMIFS(工数明細!$G$3:$G$302,工数明細!$B$3:$B$302,$A236,工数明細!$I$3:$I$302,AC$212))</f>
        <v/>
      </c>
      <c r="AD236" s="51" t="str">
        <f aca="false">IF($A236="","",SUMIFS(工数明細!$G$3:$G$302,工数明細!$B$3:$B$302,$A236,工数明細!$I$3:$I$302,AD$212))</f>
        <v/>
      </c>
    </row>
    <row r="237" customFormat="false" ht="15.75" hidden="false" customHeight="true" outlineLevel="0" collapsed="false">
      <c r="A237" s="28" t="str">
        <f aca="false">IF(案件管理!$A$26:$A$26="","",案件管理!$A$26:$A$26)</f>
        <v/>
      </c>
      <c r="B237" s="10" t="str">
        <f aca="false">IF($A237="","",案件管理!$B$26:$B$26)</f>
        <v/>
      </c>
      <c r="C237" s="10" t="str">
        <f aca="false">IF($A237="","",案件管理!$D$26:$D$26)</f>
        <v/>
      </c>
      <c r="D237" s="30" t="str">
        <f aca="false">IF($A237="","",案件管理!$AE$26:$AE$26)</f>
        <v/>
      </c>
      <c r="E237" s="30" t="str">
        <f aca="false">IF($A237="","",SUM($G237:$AD237))</f>
        <v/>
      </c>
      <c r="F237" s="51" t="str">
        <f aca="false">IF($A237="","",N($E31)-N($E237))</f>
        <v/>
      </c>
      <c r="G237" s="51" t="str">
        <f aca="false">IF($A237="","",SUMIFS(工数明細!$G$3:$G$302,工数明細!$B$3:$B$302,$A237,工数明細!$I$3:$I$302,G$212))</f>
        <v/>
      </c>
      <c r="H237" s="51" t="str">
        <f aca="false">IF($A237="","",SUMIFS(工数明細!$G$3:$G$302,工数明細!$B$3:$B$302,$A237,工数明細!$I$3:$I$302,H$212))</f>
        <v/>
      </c>
      <c r="I237" s="51" t="str">
        <f aca="false">IF($A237="","",SUMIFS(工数明細!$G$3:$G$302,工数明細!$B$3:$B$302,$A237,工数明細!$I$3:$I$302,I$212))</f>
        <v/>
      </c>
      <c r="J237" s="51" t="str">
        <f aca="false">IF($A237="","",SUMIFS(工数明細!$G$3:$G$302,工数明細!$B$3:$B$302,$A237,工数明細!$I$3:$I$302,J$212))</f>
        <v/>
      </c>
      <c r="K237" s="51" t="str">
        <f aca="false">IF($A237="","",SUMIFS(工数明細!$G$3:$G$302,工数明細!$B$3:$B$302,$A237,工数明細!$I$3:$I$302,K$212))</f>
        <v/>
      </c>
      <c r="L237" s="51" t="str">
        <f aca="false">IF($A237="","",SUMIFS(工数明細!$G$3:$G$302,工数明細!$B$3:$B$302,$A237,工数明細!$I$3:$I$302,L$212))</f>
        <v/>
      </c>
      <c r="M237" s="51" t="str">
        <f aca="false">IF($A237="","",SUMIFS(工数明細!$G$3:$G$302,工数明細!$B$3:$B$302,$A237,工数明細!$I$3:$I$302,M$212))</f>
        <v/>
      </c>
      <c r="N237" s="51" t="str">
        <f aca="false">IF($A237="","",SUMIFS(工数明細!$G$3:$G$302,工数明細!$B$3:$B$302,$A237,工数明細!$I$3:$I$302,N$212))</f>
        <v/>
      </c>
      <c r="O237" s="51" t="str">
        <f aca="false">IF($A237="","",SUMIFS(工数明細!$G$3:$G$302,工数明細!$B$3:$B$302,$A237,工数明細!$I$3:$I$302,O$212))</f>
        <v/>
      </c>
      <c r="P237" s="51" t="str">
        <f aca="false">IF($A237="","",SUMIFS(工数明細!$G$3:$G$302,工数明細!$B$3:$B$302,$A237,工数明細!$I$3:$I$302,P$212))</f>
        <v/>
      </c>
      <c r="Q237" s="51" t="str">
        <f aca="false">IF($A237="","",SUMIFS(工数明細!$G$3:$G$302,工数明細!$B$3:$B$302,$A237,工数明細!$I$3:$I$302,Q$212))</f>
        <v/>
      </c>
      <c r="R237" s="51" t="str">
        <f aca="false">IF($A237="","",SUMIFS(工数明細!$G$3:$G$302,工数明細!$B$3:$B$302,$A237,工数明細!$I$3:$I$302,R$212))</f>
        <v/>
      </c>
      <c r="S237" s="51" t="str">
        <f aca="false">IF($A237="","",SUMIFS(工数明細!$G$3:$G$302,工数明細!$B$3:$B$302,$A237,工数明細!$I$3:$I$302,S$212))</f>
        <v/>
      </c>
      <c r="T237" s="51" t="str">
        <f aca="false">IF($A237="","",SUMIFS(工数明細!$G$3:$G$302,工数明細!$B$3:$B$302,$A237,工数明細!$I$3:$I$302,T$212))</f>
        <v/>
      </c>
      <c r="U237" s="51" t="str">
        <f aca="false">IF($A237="","",SUMIFS(工数明細!$G$3:$G$302,工数明細!$B$3:$B$302,$A237,工数明細!$I$3:$I$302,U$212))</f>
        <v/>
      </c>
      <c r="V237" s="51" t="str">
        <f aca="false">IF($A237="","",SUMIFS(工数明細!$G$3:$G$302,工数明細!$B$3:$B$302,$A237,工数明細!$I$3:$I$302,V$212))</f>
        <v/>
      </c>
      <c r="W237" s="51" t="str">
        <f aca="false">IF($A237="","",SUMIFS(工数明細!$G$3:$G$302,工数明細!$B$3:$B$302,$A237,工数明細!$I$3:$I$302,W$212))</f>
        <v/>
      </c>
      <c r="X237" s="51" t="str">
        <f aca="false">IF($A237="","",SUMIFS(工数明細!$G$3:$G$302,工数明細!$B$3:$B$302,$A237,工数明細!$I$3:$I$302,X$212))</f>
        <v/>
      </c>
      <c r="Y237" s="51" t="str">
        <f aca="false">IF($A237="","",SUMIFS(工数明細!$G$3:$G$302,工数明細!$B$3:$B$302,$A237,工数明細!$I$3:$I$302,Y$212))</f>
        <v/>
      </c>
      <c r="Z237" s="51" t="str">
        <f aca="false">IF($A237="","",SUMIFS(工数明細!$G$3:$G$302,工数明細!$B$3:$B$302,$A237,工数明細!$I$3:$I$302,Z$212))</f>
        <v/>
      </c>
      <c r="AA237" s="51" t="str">
        <f aca="false">IF($A237="","",SUMIFS(工数明細!$G$3:$G$302,工数明細!$B$3:$B$302,$A237,工数明細!$I$3:$I$302,AA$212))</f>
        <v/>
      </c>
      <c r="AB237" s="51" t="str">
        <f aca="false">IF($A237="","",SUMIFS(工数明細!$G$3:$G$302,工数明細!$B$3:$B$302,$A237,工数明細!$I$3:$I$302,AB$212))</f>
        <v/>
      </c>
      <c r="AC237" s="51" t="str">
        <f aca="false">IF($A237="","",SUMIFS(工数明細!$G$3:$G$302,工数明細!$B$3:$B$302,$A237,工数明細!$I$3:$I$302,AC$212))</f>
        <v/>
      </c>
      <c r="AD237" s="51" t="str">
        <f aca="false">IF($A237="","",SUMIFS(工数明細!$G$3:$G$302,工数明細!$B$3:$B$302,$A237,工数明細!$I$3:$I$302,AD$212))</f>
        <v/>
      </c>
    </row>
    <row r="238" customFormat="false" ht="15.75" hidden="false" customHeight="true" outlineLevel="0" collapsed="false">
      <c r="A238" s="28" t="str">
        <f aca="false">IF(案件管理!$A$27:$A$27="","",案件管理!$A$27:$A$27)</f>
        <v/>
      </c>
      <c r="B238" s="10" t="str">
        <f aca="false">IF($A238="","",案件管理!$B$27:$B$27)</f>
        <v/>
      </c>
      <c r="C238" s="10" t="str">
        <f aca="false">IF($A238="","",案件管理!$D$27:$D$27)</f>
        <v/>
      </c>
      <c r="D238" s="30" t="str">
        <f aca="false">IF($A238="","",案件管理!$AE$27:$AE$27)</f>
        <v/>
      </c>
      <c r="E238" s="30" t="str">
        <f aca="false">IF($A238="","",SUM($G238:$AD238))</f>
        <v/>
      </c>
      <c r="F238" s="51" t="str">
        <f aca="false">IF($A238="","",N($E32)-N($E238))</f>
        <v/>
      </c>
      <c r="G238" s="51" t="str">
        <f aca="false">IF($A238="","",SUMIFS(工数明細!$G$3:$G$302,工数明細!$B$3:$B$302,$A238,工数明細!$I$3:$I$302,G$212))</f>
        <v/>
      </c>
      <c r="H238" s="51" t="str">
        <f aca="false">IF($A238="","",SUMIFS(工数明細!$G$3:$G$302,工数明細!$B$3:$B$302,$A238,工数明細!$I$3:$I$302,H$212))</f>
        <v/>
      </c>
      <c r="I238" s="51" t="str">
        <f aca="false">IF($A238="","",SUMIFS(工数明細!$G$3:$G$302,工数明細!$B$3:$B$302,$A238,工数明細!$I$3:$I$302,I$212))</f>
        <v/>
      </c>
      <c r="J238" s="51" t="str">
        <f aca="false">IF($A238="","",SUMIFS(工数明細!$G$3:$G$302,工数明細!$B$3:$B$302,$A238,工数明細!$I$3:$I$302,J$212))</f>
        <v/>
      </c>
      <c r="K238" s="51" t="str">
        <f aca="false">IF($A238="","",SUMIFS(工数明細!$G$3:$G$302,工数明細!$B$3:$B$302,$A238,工数明細!$I$3:$I$302,K$212))</f>
        <v/>
      </c>
      <c r="L238" s="51" t="str">
        <f aca="false">IF($A238="","",SUMIFS(工数明細!$G$3:$G$302,工数明細!$B$3:$B$302,$A238,工数明細!$I$3:$I$302,L$212))</f>
        <v/>
      </c>
      <c r="M238" s="51" t="str">
        <f aca="false">IF($A238="","",SUMIFS(工数明細!$G$3:$G$302,工数明細!$B$3:$B$302,$A238,工数明細!$I$3:$I$302,M$212))</f>
        <v/>
      </c>
      <c r="N238" s="51" t="str">
        <f aca="false">IF($A238="","",SUMIFS(工数明細!$G$3:$G$302,工数明細!$B$3:$B$302,$A238,工数明細!$I$3:$I$302,N$212))</f>
        <v/>
      </c>
      <c r="O238" s="51" t="str">
        <f aca="false">IF($A238="","",SUMIFS(工数明細!$G$3:$G$302,工数明細!$B$3:$B$302,$A238,工数明細!$I$3:$I$302,O$212))</f>
        <v/>
      </c>
      <c r="P238" s="51" t="str">
        <f aca="false">IF($A238="","",SUMIFS(工数明細!$G$3:$G$302,工数明細!$B$3:$B$302,$A238,工数明細!$I$3:$I$302,P$212))</f>
        <v/>
      </c>
      <c r="Q238" s="51" t="str">
        <f aca="false">IF($A238="","",SUMIFS(工数明細!$G$3:$G$302,工数明細!$B$3:$B$302,$A238,工数明細!$I$3:$I$302,Q$212))</f>
        <v/>
      </c>
      <c r="R238" s="51" t="str">
        <f aca="false">IF($A238="","",SUMIFS(工数明細!$G$3:$G$302,工数明細!$B$3:$B$302,$A238,工数明細!$I$3:$I$302,R$212))</f>
        <v/>
      </c>
      <c r="S238" s="51" t="str">
        <f aca="false">IF($A238="","",SUMIFS(工数明細!$G$3:$G$302,工数明細!$B$3:$B$302,$A238,工数明細!$I$3:$I$302,S$212))</f>
        <v/>
      </c>
      <c r="T238" s="51" t="str">
        <f aca="false">IF($A238="","",SUMIFS(工数明細!$G$3:$G$302,工数明細!$B$3:$B$302,$A238,工数明細!$I$3:$I$302,T$212))</f>
        <v/>
      </c>
      <c r="U238" s="51" t="str">
        <f aca="false">IF($A238="","",SUMIFS(工数明細!$G$3:$G$302,工数明細!$B$3:$B$302,$A238,工数明細!$I$3:$I$302,U$212))</f>
        <v/>
      </c>
      <c r="V238" s="51" t="str">
        <f aca="false">IF($A238="","",SUMIFS(工数明細!$G$3:$G$302,工数明細!$B$3:$B$302,$A238,工数明細!$I$3:$I$302,V$212))</f>
        <v/>
      </c>
      <c r="W238" s="51" t="str">
        <f aca="false">IF($A238="","",SUMIFS(工数明細!$G$3:$G$302,工数明細!$B$3:$B$302,$A238,工数明細!$I$3:$I$302,W$212))</f>
        <v/>
      </c>
      <c r="X238" s="51" t="str">
        <f aca="false">IF($A238="","",SUMIFS(工数明細!$G$3:$G$302,工数明細!$B$3:$B$302,$A238,工数明細!$I$3:$I$302,X$212))</f>
        <v/>
      </c>
      <c r="Y238" s="51" t="str">
        <f aca="false">IF($A238="","",SUMIFS(工数明細!$G$3:$G$302,工数明細!$B$3:$B$302,$A238,工数明細!$I$3:$I$302,Y$212))</f>
        <v/>
      </c>
      <c r="Z238" s="51" t="str">
        <f aca="false">IF($A238="","",SUMIFS(工数明細!$G$3:$G$302,工数明細!$B$3:$B$302,$A238,工数明細!$I$3:$I$302,Z$212))</f>
        <v/>
      </c>
      <c r="AA238" s="51" t="str">
        <f aca="false">IF($A238="","",SUMIFS(工数明細!$G$3:$G$302,工数明細!$B$3:$B$302,$A238,工数明細!$I$3:$I$302,AA$212))</f>
        <v/>
      </c>
      <c r="AB238" s="51" t="str">
        <f aca="false">IF($A238="","",SUMIFS(工数明細!$G$3:$G$302,工数明細!$B$3:$B$302,$A238,工数明細!$I$3:$I$302,AB$212))</f>
        <v/>
      </c>
      <c r="AC238" s="51" t="str">
        <f aca="false">IF($A238="","",SUMIFS(工数明細!$G$3:$G$302,工数明細!$B$3:$B$302,$A238,工数明細!$I$3:$I$302,AC$212))</f>
        <v/>
      </c>
      <c r="AD238" s="51" t="str">
        <f aca="false">IF($A238="","",SUMIFS(工数明細!$G$3:$G$302,工数明細!$B$3:$B$302,$A238,工数明細!$I$3:$I$302,AD$212))</f>
        <v/>
      </c>
    </row>
    <row r="239" customFormat="false" ht="15.75" hidden="false" customHeight="true" outlineLevel="0" collapsed="false">
      <c r="A239" s="28" t="str">
        <f aca="false">IF(案件管理!$A$28:$A$28="","",案件管理!$A$28:$A$28)</f>
        <v/>
      </c>
      <c r="B239" s="10" t="str">
        <f aca="false">IF($A239="","",案件管理!$B$28:$B$28)</f>
        <v/>
      </c>
      <c r="C239" s="10" t="str">
        <f aca="false">IF($A239="","",案件管理!$D$28:$D$28)</f>
        <v/>
      </c>
      <c r="D239" s="30" t="str">
        <f aca="false">IF($A239="","",案件管理!$AE$28:$AE$28)</f>
        <v/>
      </c>
      <c r="E239" s="30" t="str">
        <f aca="false">IF($A239="","",SUM($G239:$AD239))</f>
        <v/>
      </c>
      <c r="F239" s="51" t="str">
        <f aca="false">IF($A239="","",N($E33)-N($E239))</f>
        <v/>
      </c>
      <c r="G239" s="51" t="str">
        <f aca="false">IF($A239="","",SUMIFS(工数明細!$G$3:$G$302,工数明細!$B$3:$B$302,$A239,工数明細!$I$3:$I$302,G$212))</f>
        <v/>
      </c>
      <c r="H239" s="51" t="str">
        <f aca="false">IF($A239="","",SUMIFS(工数明細!$G$3:$G$302,工数明細!$B$3:$B$302,$A239,工数明細!$I$3:$I$302,H$212))</f>
        <v/>
      </c>
      <c r="I239" s="51" t="str">
        <f aca="false">IF($A239="","",SUMIFS(工数明細!$G$3:$G$302,工数明細!$B$3:$B$302,$A239,工数明細!$I$3:$I$302,I$212))</f>
        <v/>
      </c>
      <c r="J239" s="51" t="str">
        <f aca="false">IF($A239="","",SUMIFS(工数明細!$G$3:$G$302,工数明細!$B$3:$B$302,$A239,工数明細!$I$3:$I$302,J$212))</f>
        <v/>
      </c>
      <c r="K239" s="51" t="str">
        <f aca="false">IF($A239="","",SUMIFS(工数明細!$G$3:$G$302,工数明細!$B$3:$B$302,$A239,工数明細!$I$3:$I$302,K$212))</f>
        <v/>
      </c>
      <c r="L239" s="51" t="str">
        <f aca="false">IF($A239="","",SUMIFS(工数明細!$G$3:$G$302,工数明細!$B$3:$B$302,$A239,工数明細!$I$3:$I$302,L$212))</f>
        <v/>
      </c>
      <c r="M239" s="51" t="str">
        <f aca="false">IF($A239="","",SUMIFS(工数明細!$G$3:$G$302,工数明細!$B$3:$B$302,$A239,工数明細!$I$3:$I$302,M$212))</f>
        <v/>
      </c>
      <c r="N239" s="51" t="str">
        <f aca="false">IF($A239="","",SUMIFS(工数明細!$G$3:$G$302,工数明細!$B$3:$B$302,$A239,工数明細!$I$3:$I$302,N$212))</f>
        <v/>
      </c>
      <c r="O239" s="51" t="str">
        <f aca="false">IF($A239="","",SUMIFS(工数明細!$G$3:$G$302,工数明細!$B$3:$B$302,$A239,工数明細!$I$3:$I$302,O$212))</f>
        <v/>
      </c>
      <c r="P239" s="51" t="str">
        <f aca="false">IF($A239="","",SUMIFS(工数明細!$G$3:$G$302,工数明細!$B$3:$B$302,$A239,工数明細!$I$3:$I$302,P$212))</f>
        <v/>
      </c>
      <c r="Q239" s="51" t="str">
        <f aca="false">IF($A239="","",SUMIFS(工数明細!$G$3:$G$302,工数明細!$B$3:$B$302,$A239,工数明細!$I$3:$I$302,Q$212))</f>
        <v/>
      </c>
      <c r="R239" s="51" t="str">
        <f aca="false">IF($A239="","",SUMIFS(工数明細!$G$3:$G$302,工数明細!$B$3:$B$302,$A239,工数明細!$I$3:$I$302,R$212))</f>
        <v/>
      </c>
      <c r="S239" s="51" t="str">
        <f aca="false">IF($A239="","",SUMIFS(工数明細!$G$3:$G$302,工数明細!$B$3:$B$302,$A239,工数明細!$I$3:$I$302,S$212))</f>
        <v/>
      </c>
      <c r="T239" s="51" t="str">
        <f aca="false">IF($A239="","",SUMIFS(工数明細!$G$3:$G$302,工数明細!$B$3:$B$302,$A239,工数明細!$I$3:$I$302,T$212))</f>
        <v/>
      </c>
      <c r="U239" s="51" t="str">
        <f aca="false">IF($A239="","",SUMIFS(工数明細!$G$3:$G$302,工数明細!$B$3:$B$302,$A239,工数明細!$I$3:$I$302,U$212))</f>
        <v/>
      </c>
      <c r="V239" s="51" t="str">
        <f aca="false">IF($A239="","",SUMIFS(工数明細!$G$3:$G$302,工数明細!$B$3:$B$302,$A239,工数明細!$I$3:$I$302,V$212))</f>
        <v/>
      </c>
      <c r="W239" s="51" t="str">
        <f aca="false">IF($A239="","",SUMIFS(工数明細!$G$3:$G$302,工数明細!$B$3:$B$302,$A239,工数明細!$I$3:$I$302,W$212))</f>
        <v/>
      </c>
      <c r="X239" s="51" t="str">
        <f aca="false">IF($A239="","",SUMIFS(工数明細!$G$3:$G$302,工数明細!$B$3:$B$302,$A239,工数明細!$I$3:$I$302,X$212))</f>
        <v/>
      </c>
      <c r="Y239" s="51" t="str">
        <f aca="false">IF($A239="","",SUMIFS(工数明細!$G$3:$G$302,工数明細!$B$3:$B$302,$A239,工数明細!$I$3:$I$302,Y$212))</f>
        <v/>
      </c>
      <c r="Z239" s="51" t="str">
        <f aca="false">IF($A239="","",SUMIFS(工数明細!$G$3:$G$302,工数明細!$B$3:$B$302,$A239,工数明細!$I$3:$I$302,Z$212))</f>
        <v/>
      </c>
      <c r="AA239" s="51" t="str">
        <f aca="false">IF($A239="","",SUMIFS(工数明細!$G$3:$G$302,工数明細!$B$3:$B$302,$A239,工数明細!$I$3:$I$302,AA$212))</f>
        <v/>
      </c>
      <c r="AB239" s="51" t="str">
        <f aca="false">IF($A239="","",SUMIFS(工数明細!$G$3:$G$302,工数明細!$B$3:$B$302,$A239,工数明細!$I$3:$I$302,AB$212))</f>
        <v/>
      </c>
      <c r="AC239" s="51" t="str">
        <f aca="false">IF($A239="","",SUMIFS(工数明細!$G$3:$G$302,工数明細!$B$3:$B$302,$A239,工数明細!$I$3:$I$302,AC$212))</f>
        <v/>
      </c>
      <c r="AD239" s="51" t="str">
        <f aca="false">IF($A239="","",SUMIFS(工数明細!$G$3:$G$302,工数明細!$B$3:$B$302,$A239,工数明細!$I$3:$I$302,AD$212))</f>
        <v/>
      </c>
    </row>
    <row r="240" customFormat="false" ht="15.75" hidden="false" customHeight="true" outlineLevel="0" collapsed="false">
      <c r="A240" s="28" t="str">
        <f aca="false">IF(案件管理!$A$29:$A$29="","",案件管理!$A$29:$A$29)</f>
        <v/>
      </c>
      <c r="B240" s="10" t="str">
        <f aca="false">IF($A240="","",案件管理!$B$29:$B$29)</f>
        <v/>
      </c>
      <c r="C240" s="10" t="str">
        <f aca="false">IF($A240="","",案件管理!$D$29:$D$29)</f>
        <v/>
      </c>
      <c r="D240" s="30" t="str">
        <f aca="false">IF($A240="","",案件管理!$AE$29:$AE$29)</f>
        <v/>
      </c>
      <c r="E240" s="30" t="str">
        <f aca="false">IF($A240="","",SUM($G240:$AD240))</f>
        <v/>
      </c>
      <c r="F240" s="51" t="str">
        <f aca="false">IF($A240="","",N($E34)-N($E240))</f>
        <v/>
      </c>
      <c r="G240" s="51" t="str">
        <f aca="false">IF($A240="","",SUMIFS(工数明細!$G$3:$G$302,工数明細!$B$3:$B$302,$A240,工数明細!$I$3:$I$302,G$212))</f>
        <v/>
      </c>
      <c r="H240" s="51" t="str">
        <f aca="false">IF($A240="","",SUMIFS(工数明細!$G$3:$G$302,工数明細!$B$3:$B$302,$A240,工数明細!$I$3:$I$302,H$212))</f>
        <v/>
      </c>
      <c r="I240" s="51" t="str">
        <f aca="false">IF($A240="","",SUMIFS(工数明細!$G$3:$G$302,工数明細!$B$3:$B$302,$A240,工数明細!$I$3:$I$302,I$212))</f>
        <v/>
      </c>
      <c r="J240" s="51" t="str">
        <f aca="false">IF($A240="","",SUMIFS(工数明細!$G$3:$G$302,工数明細!$B$3:$B$302,$A240,工数明細!$I$3:$I$302,J$212))</f>
        <v/>
      </c>
      <c r="K240" s="51" t="str">
        <f aca="false">IF($A240="","",SUMIFS(工数明細!$G$3:$G$302,工数明細!$B$3:$B$302,$A240,工数明細!$I$3:$I$302,K$212))</f>
        <v/>
      </c>
      <c r="L240" s="51" t="str">
        <f aca="false">IF($A240="","",SUMIFS(工数明細!$G$3:$G$302,工数明細!$B$3:$B$302,$A240,工数明細!$I$3:$I$302,L$212))</f>
        <v/>
      </c>
      <c r="M240" s="51" t="str">
        <f aca="false">IF($A240="","",SUMIFS(工数明細!$G$3:$G$302,工数明細!$B$3:$B$302,$A240,工数明細!$I$3:$I$302,M$212))</f>
        <v/>
      </c>
      <c r="N240" s="51" t="str">
        <f aca="false">IF($A240="","",SUMIFS(工数明細!$G$3:$G$302,工数明細!$B$3:$B$302,$A240,工数明細!$I$3:$I$302,N$212))</f>
        <v/>
      </c>
      <c r="O240" s="51" t="str">
        <f aca="false">IF($A240="","",SUMIFS(工数明細!$G$3:$G$302,工数明細!$B$3:$B$302,$A240,工数明細!$I$3:$I$302,O$212))</f>
        <v/>
      </c>
      <c r="P240" s="51" t="str">
        <f aca="false">IF($A240="","",SUMIFS(工数明細!$G$3:$G$302,工数明細!$B$3:$B$302,$A240,工数明細!$I$3:$I$302,P$212))</f>
        <v/>
      </c>
      <c r="Q240" s="51" t="str">
        <f aca="false">IF($A240="","",SUMIFS(工数明細!$G$3:$G$302,工数明細!$B$3:$B$302,$A240,工数明細!$I$3:$I$302,Q$212))</f>
        <v/>
      </c>
      <c r="R240" s="51" t="str">
        <f aca="false">IF($A240="","",SUMIFS(工数明細!$G$3:$G$302,工数明細!$B$3:$B$302,$A240,工数明細!$I$3:$I$302,R$212))</f>
        <v/>
      </c>
      <c r="S240" s="51" t="str">
        <f aca="false">IF($A240="","",SUMIFS(工数明細!$G$3:$G$302,工数明細!$B$3:$B$302,$A240,工数明細!$I$3:$I$302,S$212))</f>
        <v/>
      </c>
      <c r="T240" s="51" t="str">
        <f aca="false">IF($A240="","",SUMIFS(工数明細!$G$3:$G$302,工数明細!$B$3:$B$302,$A240,工数明細!$I$3:$I$302,T$212))</f>
        <v/>
      </c>
      <c r="U240" s="51" t="str">
        <f aca="false">IF($A240="","",SUMIFS(工数明細!$G$3:$G$302,工数明細!$B$3:$B$302,$A240,工数明細!$I$3:$I$302,U$212))</f>
        <v/>
      </c>
      <c r="V240" s="51" t="str">
        <f aca="false">IF($A240="","",SUMIFS(工数明細!$G$3:$G$302,工数明細!$B$3:$B$302,$A240,工数明細!$I$3:$I$302,V$212))</f>
        <v/>
      </c>
      <c r="W240" s="51" t="str">
        <f aca="false">IF($A240="","",SUMIFS(工数明細!$G$3:$G$302,工数明細!$B$3:$B$302,$A240,工数明細!$I$3:$I$302,W$212))</f>
        <v/>
      </c>
      <c r="X240" s="51" t="str">
        <f aca="false">IF($A240="","",SUMIFS(工数明細!$G$3:$G$302,工数明細!$B$3:$B$302,$A240,工数明細!$I$3:$I$302,X$212))</f>
        <v/>
      </c>
      <c r="Y240" s="51" t="str">
        <f aca="false">IF($A240="","",SUMIFS(工数明細!$G$3:$G$302,工数明細!$B$3:$B$302,$A240,工数明細!$I$3:$I$302,Y$212))</f>
        <v/>
      </c>
      <c r="Z240" s="51" t="str">
        <f aca="false">IF($A240="","",SUMIFS(工数明細!$G$3:$G$302,工数明細!$B$3:$B$302,$A240,工数明細!$I$3:$I$302,Z$212))</f>
        <v/>
      </c>
      <c r="AA240" s="51" t="str">
        <f aca="false">IF($A240="","",SUMIFS(工数明細!$G$3:$G$302,工数明細!$B$3:$B$302,$A240,工数明細!$I$3:$I$302,AA$212))</f>
        <v/>
      </c>
      <c r="AB240" s="51" t="str">
        <f aca="false">IF($A240="","",SUMIFS(工数明細!$G$3:$G$302,工数明細!$B$3:$B$302,$A240,工数明細!$I$3:$I$302,AB$212))</f>
        <v/>
      </c>
      <c r="AC240" s="51" t="str">
        <f aca="false">IF($A240="","",SUMIFS(工数明細!$G$3:$G$302,工数明細!$B$3:$B$302,$A240,工数明細!$I$3:$I$302,AC$212))</f>
        <v/>
      </c>
      <c r="AD240" s="51" t="str">
        <f aca="false">IF($A240="","",SUMIFS(工数明細!$G$3:$G$302,工数明細!$B$3:$B$302,$A240,工数明細!$I$3:$I$302,AD$212))</f>
        <v/>
      </c>
    </row>
    <row r="241" customFormat="false" ht="15.75" hidden="false" customHeight="true" outlineLevel="0" collapsed="false">
      <c r="A241" s="28" t="str">
        <f aca="false">IF(案件管理!$A$30:$A$30="","",案件管理!$A$30:$A$30)</f>
        <v/>
      </c>
      <c r="B241" s="10" t="str">
        <f aca="false">IF($A241="","",案件管理!$B$30:$B$30)</f>
        <v/>
      </c>
      <c r="C241" s="10" t="str">
        <f aca="false">IF($A241="","",案件管理!$D$30:$D$30)</f>
        <v/>
      </c>
      <c r="D241" s="30" t="str">
        <f aca="false">IF($A241="","",案件管理!$AE$30:$AE$30)</f>
        <v/>
      </c>
      <c r="E241" s="30" t="str">
        <f aca="false">IF($A241="","",SUM($G241:$AD241))</f>
        <v/>
      </c>
      <c r="F241" s="51" t="str">
        <f aca="false">IF($A241="","",N($E35)-N($E241))</f>
        <v/>
      </c>
      <c r="G241" s="51" t="str">
        <f aca="false">IF($A241="","",SUMIFS(工数明細!$G$3:$G$302,工数明細!$B$3:$B$302,$A241,工数明細!$I$3:$I$302,G$212))</f>
        <v/>
      </c>
      <c r="H241" s="51" t="str">
        <f aca="false">IF($A241="","",SUMIFS(工数明細!$G$3:$G$302,工数明細!$B$3:$B$302,$A241,工数明細!$I$3:$I$302,H$212))</f>
        <v/>
      </c>
      <c r="I241" s="51" t="str">
        <f aca="false">IF($A241="","",SUMIFS(工数明細!$G$3:$G$302,工数明細!$B$3:$B$302,$A241,工数明細!$I$3:$I$302,I$212))</f>
        <v/>
      </c>
      <c r="J241" s="51" t="str">
        <f aca="false">IF($A241="","",SUMIFS(工数明細!$G$3:$G$302,工数明細!$B$3:$B$302,$A241,工数明細!$I$3:$I$302,J$212))</f>
        <v/>
      </c>
      <c r="K241" s="51" t="str">
        <f aca="false">IF($A241="","",SUMIFS(工数明細!$G$3:$G$302,工数明細!$B$3:$B$302,$A241,工数明細!$I$3:$I$302,K$212))</f>
        <v/>
      </c>
      <c r="L241" s="51" t="str">
        <f aca="false">IF($A241="","",SUMIFS(工数明細!$G$3:$G$302,工数明細!$B$3:$B$302,$A241,工数明細!$I$3:$I$302,L$212))</f>
        <v/>
      </c>
      <c r="M241" s="51" t="str">
        <f aca="false">IF($A241="","",SUMIFS(工数明細!$G$3:$G$302,工数明細!$B$3:$B$302,$A241,工数明細!$I$3:$I$302,M$212))</f>
        <v/>
      </c>
      <c r="N241" s="51" t="str">
        <f aca="false">IF($A241="","",SUMIFS(工数明細!$G$3:$G$302,工数明細!$B$3:$B$302,$A241,工数明細!$I$3:$I$302,N$212))</f>
        <v/>
      </c>
      <c r="O241" s="51" t="str">
        <f aca="false">IF($A241="","",SUMIFS(工数明細!$G$3:$G$302,工数明細!$B$3:$B$302,$A241,工数明細!$I$3:$I$302,O$212))</f>
        <v/>
      </c>
      <c r="P241" s="51" t="str">
        <f aca="false">IF($A241="","",SUMIFS(工数明細!$G$3:$G$302,工数明細!$B$3:$B$302,$A241,工数明細!$I$3:$I$302,P$212))</f>
        <v/>
      </c>
      <c r="Q241" s="51" t="str">
        <f aca="false">IF($A241="","",SUMIFS(工数明細!$G$3:$G$302,工数明細!$B$3:$B$302,$A241,工数明細!$I$3:$I$302,Q$212))</f>
        <v/>
      </c>
      <c r="R241" s="51" t="str">
        <f aca="false">IF($A241="","",SUMIFS(工数明細!$G$3:$G$302,工数明細!$B$3:$B$302,$A241,工数明細!$I$3:$I$302,R$212))</f>
        <v/>
      </c>
      <c r="S241" s="51" t="str">
        <f aca="false">IF($A241="","",SUMIFS(工数明細!$G$3:$G$302,工数明細!$B$3:$B$302,$A241,工数明細!$I$3:$I$302,S$212))</f>
        <v/>
      </c>
      <c r="T241" s="51" t="str">
        <f aca="false">IF($A241="","",SUMIFS(工数明細!$G$3:$G$302,工数明細!$B$3:$B$302,$A241,工数明細!$I$3:$I$302,T$212))</f>
        <v/>
      </c>
      <c r="U241" s="51" t="str">
        <f aca="false">IF($A241="","",SUMIFS(工数明細!$G$3:$G$302,工数明細!$B$3:$B$302,$A241,工数明細!$I$3:$I$302,U$212))</f>
        <v/>
      </c>
      <c r="V241" s="51" t="str">
        <f aca="false">IF($A241="","",SUMIFS(工数明細!$G$3:$G$302,工数明細!$B$3:$B$302,$A241,工数明細!$I$3:$I$302,V$212))</f>
        <v/>
      </c>
      <c r="W241" s="51" t="str">
        <f aca="false">IF($A241="","",SUMIFS(工数明細!$G$3:$G$302,工数明細!$B$3:$B$302,$A241,工数明細!$I$3:$I$302,W$212))</f>
        <v/>
      </c>
      <c r="X241" s="51" t="str">
        <f aca="false">IF($A241="","",SUMIFS(工数明細!$G$3:$G$302,工数明細!$B$3:$B$302,$A241,工数明細!$I$3:$I$302,X$212))</f>
        <v/>
      </c>
      <c r="Y241" s="51" t="str">
        <f aca="false">IF($A241="","",SUMIFS(工数明細!$G$3:$G$302,工数明細!$B$3:$B$302,$A241,工数明細!$I$3:$I$302,Y$212))</f>
        <v/>
      </c>
      <c r="Z241" s="51" t="str">
        <f aca="false">IF($A241="","",SUMIFS(工数明細!$G$3:$G$302,工数明細!$B$3:$B$302,$A241,工数明細!$I$3:$I$302,Z$212))</f>
        <v/>
      </c>
      <c r="AA241" s="51" t="str">
        <f aca="false">IF($A241="","",SUMIFS(工数明細!$G$3:$G$302,工数明細!$B$3:$B$302,$A241,工数明細!$I$3:$I$302,AA$212))</f>
        <v/>
      </c>
      <c r="AB241" s="51" t="str">
        <f aca="false">IF($A241="","",SUMIFS(工数明細!$G$3:$G$302,工数明細!$B$3:$B$302,$A241,工数明細!$I$3:$I$302,AB$212))</f>
        <v/>
      </c>
      <c r="AC241" s="51" t="str">
        <f aca="false">IF($A241="","",SUMIFS(工数明細!$G$3:$G$302,工数明細!$B$3:$B$302,$A241,工数明細!$I$3:$I$302,AC$212))</f>
        <v/>
      </c>
      <c r="AD241" s="51" t="str">
        <f aca="false">IF($A241="","",SUMIFS(工数明細!$G$3:$G$302,工数明細!$B$3:$B$302,$A241,工数明細!$I$3:$I$302,AD$212))</f>
        <v/>
      </c>
    </row>
    <row r="242" customFormat="false" ht="15.75" hidden="false" customHeight="true" outlineLevel="0" collapsed="false">
      <c r="A242" s="28" t="str">
        <f aca="false">IF(案件管理!$A$31:$A$31="","",案件管理!$A$31:$A$31)</f>
        <v/>
      </c>
      <c r="B242" s="10" t="str">
        <f aca="false">IF($A242="","",案件管理!$B$31:$B$31)</f>
        <v/>
      </c>
      <c r="C242" s="10" t="str">
        <f aca="false">IF($A242="","",案件管理!$D$31:$D$31)</f>
        <v/>
      </c>
      <c r="D242" s="30" t="str">
        <f aca="false">IF($A242="","",案件管理!$AE$31:$AE$31)</f>
        <v/>
      </c>
      <c r="E242" s="30" t="str">
        <f aca="false">IF($A242="","",SUM($G242:$AD242))</f>
        <v/>
      </c>
      <c r="F242" s="51" t="str">
        <f aca="false">IF($A242="","",N($E36)-N($E242))</f>
        <v/>
      </c>
      <c r="G242" s="51" t="str">
        <f aca="false">IF($A242="","",SUMIFS(工数明細!$G$3:$G$302,工数明細!$B$3:$B$302,$A242,工数明細!$I$3:$I$302,G$212))</f>
        <v/>
      </c>
      <c r="H242" s="51" t="str">
        <f aca="false">IF($A242="","",SUMIFS(工数明細!$G$3:$G$302,工数明細!$B$3:$B$302,$A242,工数明細!$I$3:$I$302,H$212))</f>
        <v/>
      </c>
      <c r="I242" s="51" t="str">
        <f aca="false">IF($A242="","",SUMIFS(工数明細!$G$3:$G$302,工数明細!$B$3:$B$302,$A242,工数明細!$I$3:$I$302,I$212))</f>
        <v/>
      </c>
      <c r="J242" s="51" t="str">
        <f aca="false">IF($A242="","",SUMIFS(工数明細!$G$3:$G$302,工数明細!$B$3:$B$302,$A242,工数明細!$I$3:$I$302,J$212))</f>
        <v/>
      </c>
      <c r="K242" s="51" t="str">
        <f aca="false">IF($A242="","",SUMIFS(工数明細!$G$3:$G$302,工数明細!$B$3:$B$302,$A242,工数明細!$I$3:$I$302,K$212))</f>
        <v/>
      </c>
      <c r="L242" s="51" t="str">
        <f aca="false">IF($A242="","",SUMIFS(工数明細!$G$3:$G$302,工数明細!$B$3:$B$302,$A242,工数明細!$I$3:$I$302,L$212))</f>
        <v/>
      </c>
      <c r="M242" s="51" t="str">
        <f aca="false">IF($A242="","",SUMIFS(工数明細!$G$3:$G$302,工数明細!$B$3:$B$302,$A242,工数明細!$I$3:$I$302,M$212))</f>
        <v/>
      </c>
      <c r="N242" s="51" t="str">
        <f aca="false">IF($A242="","",SUMIFS(工数明細!$G$3:$G$302,工数明細!$B$3:$B$302,$A242,工数明細!$I$3:$I$302,N$212))</f>
        <v/>
      </c>
      <c r="O242" s="51" t="str">
        <f aca="false">IF($A242="","",SUMIFS(工数明細!$G$3:$G$302,工数明細!$B$3:$B$302,$A242,工数明細!$I$3:$I$302,O$212))</f>
        <v/>
      </c>
      <c r="P242" s="51" t="str">
        <f aca="false">IF($A242="","",SUMIFS(工数明細!$G$3:$G$302,工数明細!$B$3:$B$302,$A242,工数明細!$I$3:$I$302,P$212))</f>
        <v/>
      </c>
      <c r="Q242" s="51" t="str">
        <f aca="false">IF($A242="","",SUMIFS(工数明細!$G$3:$G$302,工数明細!$B$3:$B$302,$A242,工数明細!$I$3:$I$302,Q$212))</f>
        <v/>
      </c>
      <c r="R242" s="51" t="str">
        <f aca="false">IF($A242="","",SUMIFS(工数明細!$G$3:$G$302,工数明細!$B$3:$B$302,$A242,工数明細!$I$3:$I$302,R$212))</f>
        <v/>
      </c>
      <c r="S242" s="51" t="str">
        <f aca="false">IF($A242="","",SUMIFS(工数明細!$G$3:$G$302,工数明細!$B$3:$B$302,$A242,工数明細!$I$3:$I$302,S$212))</f>
        <v/>
      </c>
      <c r="T242" s="51" t="str">
        <f aca="false">IF($A242="","",SUMIFS(工数明細!$G$3:$G$302,工数明細!$B$3:$B$302,$A242,工数明細!$I$3:$I$302,T$212))</f>
        <v/>
      </c>
      <c r="U242" s="51" t="str">
        <f aca="false">IF($A242="","",SUMIFS(工数明細!$G$3:$G$302,工数明細!$B$3:$B$302,$A242,工数明細!$I$3:$I$302,U$212))</f>
        <v/>
      </c>
      <c r="V242" s="51" t="str">
        <f aca="false">IF($A242="","",SUMIFS(工数明細!$G$3:$G$302,工数明細!$B$3:$B$302,$A242,工数明細!$I$3:$I$302,V$212))</f>
        <v/>
      </c>
      <c r="W242" s="51" t="str">
        <f aca="false">IF($A242="","",SUMIFS(工数明細!$G$3:$G$302,工数明細!$B$3:$B$302,$A242,工数明細!$I$3:$I$302,W$212))</f>
        <v/>
      </c>
      <c r="X242" s="51" t="str">
        <f aca="false">IF($A242="","",SUMIFS(工数明細!$G$3:$G$302,工数明細!$B$3:$B$302,$A242,工数明細!$I$3:$I$302,X$212))</f>
        <v/>
      </c>
      <c r="Y242" s="51" t="str">
        <f aca="false">IF($A242="","",SUMIFS(工数明細!$G$3:$G$302,工数明細!$B$3:$B$302,$A242,工数明細!$I$3:$I$302,Y$212))</f>
        <v/>
      </c>
      <c r="Z242" s="51" t="str">
        <f aca="false">IF($A242="","",SUMIFS(工数明細!$G$3:$G$302,工数明細!$B$3:$B$302,$A242,工数明細!$I$3:$I$302,Z$212))</f>
        <v/>
      </c>
      <c r="AA242" s="51" t="str">
        <f aca="false">IF($A242="","",SUMIFS(工数明細!$G$3:$G$302,工数明細!$B$3:$B$302,$A242,工数明細!$I$3:$I$302,AA$212))</f>
        <v/>
      </c>
      <c r="AB242" s="51" t="str">
        <f aca="false">IF($A242="","",SUMIFS(工数明細!$G$3:$G$302,工数明細!$B$3:$B$302,$A242,工数明細!$I$3:$I$302,AB$212))</f>
        <v/>
      </c>
      <c r="AC242" s="51" t="str">
        <f aca="false">IF($A242="","",SUMIFS(工数明細!$G$3:$G$302,工数明細!$B$3:$B$302,$A242,工数明細!$I$3:$I$302,AC$212))</f>
        <v/>
      </c>
      <c r="AD242" s="51" t="str">
        <f aca="false">IF($A242="","",SUMIFS(工数明細!$G$3:$G$302,工数明細!$B$3:$B$302,$A242,工数明細!$I$3:$I$302,AD$212))</f>
        <v/>
      </c>
    </row>
    <row r="243" customFormat="false" ht="15.75" hidden="false" customHeight="true" outlineLevel="0" collapsed="false">
      <c r="A243" s="28" t="str">
        <f aca="false">IF(案件管理!$A$32:$A$32="","",案件管理!$A$32:$A$32)</f>
        <v/>
      </c>
      <c r="B243" s="10" t="str">
        <f aca="false">IF($A243="","",案件管理!$B$32:$B$32)</f>
        <v/>
      </c>
      <c r="C243" s="10" t="str">
        <f aca="false">IF($A243="","",案件管理!$D$32:$D$32)</f>
        <v/>
      </c>
      <c r="D243" s="30" t="str">
        <f aca="false">IF($A243="","",案件管理!$AE$32:$AE$32)</f>
        <v/>
      </c>
      <c r="E243" s="30" t="str">
        <f aca="false">IF($A243="","",SUM($G243:$AD243))</f>
        <v/>
      </c>
      <c r="F243" s="51" t="str">
        <f aca="false">IF($A243="","",N($E37)-N($E243))</f>
        <v/>
      </c>
      <c r="G243" s="51" t="str">
        <f aca="false">IF($A243="","",SUMIFS(工数明細!$G$3:$G$302,工数明細!$B$3:$B$302,$A243,工数明細!$I$3:$I$302,G$212))</f>
        <v/>
      </c>
      <c r="H243" s="51" t="str">
        <f aca="false">IF($A243="","",SUMIFS(工数明細!$G$3:$G$302,工数明細!$B$3:$B$302,$A243,工数明細!$I$3:$I$302,H$212))</f>
        <v/>
      </c>
      <c r="I243" s="51" t="str">
        <f aca="false">IF($A243="","",SUMIFS(工数明細!$G$3:$G$302,工数明細!$B$3:$B$302,$A243,工数明細!$I$3:$I$302,I$212))</f>
        <v/>
      </c>
      <c r="J243" s="51" t="str">
        <f aca="false">IF($A243="","",SUMIFS(工数明細!$G$3:$G$302,工数明細!$B$3:$B$302,$A243,工数明細!$I$3:$I$302,J$212))</f>
        <v/>
      </c>
      <c r="K243" s="51" t="str">
        <f aca="false">IF($A243="","",SUMIFS(工数明細!$G$3:$G$302,工数明細!$B$3:$B$302,$A243,工数明細!$I$3:$I$302,K$212))</f>
        <v/>
      </c>
      <c r="L243" s="51" t="str">
        <f aca="false">IF($A243="","",SUMIFS(工数明細!$G$3:$G$302,工数明細!$B$3:$B$302,$A243,工数明細!$I$3:$I$302,L$212))</f>
        <v/>
      </c>
      <c r="M243" s="51" t="str">
        <f aca="false">IF($A243="","",SUMIFS(工数明細!$G$3:$G$302,工数明細!$B$3:$B$302,$A243,工数明細!$I$3:$I$302,M$212))</f>
        <v/>
      </c>
      <c r="N243" s="51" t="str">
        <f aca="false">IF($A243="","",SUMIFS(工数明細!$G$3:$G$302,工数明細!$B$3:$B$302,$A243,工数明細!$I$3:$I$302,N$212))</f>
        <v/>
      </c>
      <c r="O243" s="51" t="str">
        <f aca="false">IF($A243="","",SUMIFS(工数明細!$G$3:$G$302,工数明細!$B$3:$B$302,$A243,工数明細!$I$3:$I$302,O$212))</f>
        <v/>
      </c>
      <c r="P243" s="51" t="str">
        <f aca="false">IF($A243="","",SUMIFS(工数明細!$G$3:$G$302,工数明細!$B$3:$B$302,$A243,工数明細!$I$3:$I$302,P$212))</f>
        <v/>
      </c>
      <c r="Q243" s="51" t="str">
        <f aca="false">IF($A243="","",SUMIFS(工数明細!$G$3:$G$302,工数明細!$B$3:$B$302,$A243,工数明細!$I$3:$I$302,Q$212))</f>
        <v/>
      </c>
      <c r="R243" s="51" t="str">
        <f aca="false">IF($A243="","",SUMIFS(工数明細!$G$3:$G$302,工数明細!$B$3:$B$302,$A243,工数明細!$I$3:$I$302,R$212))</f>
        <v/>
      </c>
      <c r="S243" s="51" t="str">
        <f aca="false">IF($A243="","",SUMIFS(工数明細!$G$3:$G$302,工数明細!$B$3:$B$302,$A243,工数明細!$I$3:$I$302,S$212))</f>
        <v/>
      </c>
      <c r="T243" s="51" t="str">
        <f aca="false">IF($A243="","",SUMIFS(工数明細!$G$3:$G$302,工数明細!$B$3:$B$302,$A243,工数明細!$I$3:$I$302,T$212))</f>
        <v/>
      </c>
      <c r="U243" s="51" t="str">
        <f aca="false">IF($A243="","",SUMIFS(工数明細!$G$3:$G$302,工数明細!$B$3:$B$302,$A243,工数明細!$I$3:$I$302,U$212))</f>
        <v/>
      </c>
      <c r="V243" s="51" t="str">
        <f aca="false">IF($A243="","",SUMIFS(工数明細!$G$3:$G$302,工数明細!$B$3:$B$302,$A243,工数明細!$I$3:$I$302,V$212))</f>
        <v/>
      </c>
      <c r="W243" s="51" t="str">
        <f aca="false">IF($A243="","",SUMIFS(工数明細!$G$3:$G$302,工数明細!$B$3:$B$302,$A243,工数明細!$I$3:$I$302,W$212))</f>
        <v/>
      </c>
      <c r="X243" s="51" t="str">
        <f aca="false">IF($A243="","",SUMIFS(工数明細!$G$3:$G$302,工数明細!$B$3:$B$302,$A243,工数明細!$I$3:$I$302,X$212))</f>
        <v/>
      </c>
      <c r="Y243" s="51" t="str">
        <f aca="false">IF($A243="","",SUMIFS(工数明細!$G$3:$G$302,工数明細!$B$3:$B$302,$A243,工数明細!$I$3:$I$302,Y$212))</f>
        <v/>
      </c>
      <c r="Z243" s="51" t="str">
        <f aca="false">IF($A243="","",SUMIFS(工数明細!$G$3:$G$302,工数明細!$B$3:$B$302,$A243,工数明細!$I$3:$I$302,Z$212))</f>
        <v/>
      </c>
      <c r="AA243" s="51" t="str">
        <f aca="false">IF($A243="","",SUMIFS(工数明細!$G$3:$G$302,工数明細!$B$3:$B$302,$A243,工数明細!$I$3:$I$302,AA$212))</f>
        <v/>
      </c>
      <c r="AB243" s="51" t="str">
        <f aca="false">IF($A243="","",SUMIFS(工数明細!$G$3:$G$302,工数明細!$B$3:$B$302,$A243,工数明細!$I$3:$I$302,AB$212))</f>
        <v/>
      </c>
      <c r="AC243" s="51" t="str">
        <f aca="false">IF($A243="","",SUMIFS(工数明細!$G$3:$G$302,工数明細!$B$3:$B$302,$A243,工数明細!$I$3:$I$302,AC$212))</f>
        <v/>
      </c>
      <c r="AD243" s="51" t="str">
        <f aca="false">IF($A243="","",SUMIFS(工数明細!$G$3:$G$302,工数明細!$B$3:$B$302,$A243,工数明細!$I$3:$I$302,AD$212))</f>
        <v/>
      </c>
    </row>
    <row r="244" customFormat="false" ht="15.75" hidden="false" customHeight="true" outlineLevel="0" collapsed="false">
      <c r="A244" s="28" t="str">
        <f aca="false">IF(案件管理!$A$33:$A$33="","",案件管理!$A$33:$A$33)</f>
        <v/>
      </c>
      <c r="B244" s="10" t="str">
        <f aca="false">IF($A244="","",案件管理!$B$33:$B$33)</f>
        <v/>
      </c>
      <c r="C244" s="10" t="str">
        <f aca="false">IF($A244="","",案件管理!$D$33:$D$33)</f>
        <v/>
      </c>
      <c r="D244" s="30" t="str">
        <f aca="false">IF($A244="","",案件管理!$AE$33:$AE$33)</f>
        <v/>
      </c>
      <c r="E244" s="30" t="str">
        <f aca="false">IF($A244="","",SUM($G244:$AD244))</f>
        <v/>
      </c>
      <c r="F244" s="51" t="str">
        <f aca="false">IF($A244="","",N($E38)-N($E244))</f>
        <v/>
      </c>
      <c r="G244" s="51" t="str">
        <f aca="false">IF($A244="","",SUMIFS(工数明細!$G$3:$G$302,工数明細!$B$3:$B$302,$A244,工数明細!$I$3:$I$302,G$212))</f>
        <v/>
      </c>
      <c r="H244" s="51" t="str">
        <f aca="false">IF($A244="","",SUMIFS(工数明細!$G$3:$G$302,工数明細!$B$3:$B$302,$A244,工数明細!$I$3:$I$302,H$212))</f>
        <v/>
      </c>
      <c r="I244" s="51" t="str">
        <f aca="false">IF($A244="","",SUMIFS(工数明細!$G$3:$G$302,工数明細!$B$3:$B$302,$A244,工数明細!$I$3:$I$302,I$212))</f>
        <v/>
      </c>
      <c r="J244" s="51" t="str">
        <f aca="false">IF($A244="","",SUMIFS(工数明細!$G$3:$G$302,工数明細!$B$3:$B$302,$A244,工数明細!$I$3:$I$302,J$212))</f>
        <v/>
      </c>
      <c r="K244" s="51" t="str">
        <f aca="false">IF($A244="","",SUMIFS(工数明細!$G$3:$G$302,工数明細!$B$3:$B$302,$A244,工数明細!$I$3:$I$302,K$212))</f>
        <v/>
      </c>
      <c r="L244" s="51" t="str">
        <f aca="false">IF($A244="","",SUMIFS(工数明細!$G$3:$G$302,工数明細!$B$3:$B$302,$A244,工数明細!$I$3:$I$302,L$212))</f>
        <v/>
      </c>
      <c r="M244" s="51" t="str">
        <f aca="false">IF($A244="","",SUMIFS(工数明細!$G$3:$G$302,工数明細!$B$3:$B$302,$A244,工数明細!$I$3:$I$302,M$212))</f>
        <v/>
      </c>
      <c r="N244" s="51" t="str">
        <f aca="false">IF($A244="","",SUMIFS(工数明細!$G$3:$G$302,工数明細!$B$3:$B$302,$A244,工数明細!$I$3:$I$302,N$212))</f>
        <v/>
      </c>
      <c r="O244" s="51" t="str">
        <f aca="false">IF($A244="","",SUMIFS(工数明細!$G$3:$G$302,工数明細!$B$3:$B$302,$A244,工数明細!$I$3:$I$302,O$212))</f>
        <v/>
      </c>
      <c r="P244" s="51" t="str">
        <f aca="false">IF($A244="","",SUMIFS(工数明細!$G$3:$G$302,工数明細!$B$3:$B$302,$A244,工数明細!$I$3:$I$302,P$212))</f>
        <v/>
      </c>
      <c r="Q244" s="51" t="str">
        <f aca="false">IF($A244="","",SUMIFS(工数明細!$G$3:$G$302,工数明細!$B$3:$B$302,$A244,工数明細!$I$3:$I$302,Q$212))</f>
        <v/>
      </c>
      <c r="R244" s="51" t="str">
        <f aca="false">IF($A244="","",SUMIFS(工数明細!$G$3:$G$302,工数明細!$B$3:$B$302,$A244,工数明細!$I$3:$I$302,R$212))</f>
        <v/>
      </c>
      <c r="S244" s="51" t="str">
        <f aca="false">IF($A244="","",SUMIFS(工数明細!$G$3:$G$302,工数明細!$B$3:$B$302,$A244,工数明細!$I$3:$I$302,S$212))</f>
        <v/>
      </c>
      <c r="T244" s="51" t="str">
        <f aca="false">IF($A244="","",SUMIFS(工数明細!$G$3:$G$302,工数明細!$B$3:$B$302,$A244,工数明細!$I$3:$I$302,T$212))</f>
        <v/>
      </c>
      <c r="U244" s="51" t="str">
        <f aca="false">IF($A244="","",SUMIFS(工数明細!$G$3:$G$302,工数明細!$B$3:$B$302,$A244,工数明細!$I$3:$I$302,U$212))</f>
        <v/>
      </c>
      <c r="V244" s="51" t="str">
        <f aca="false">IF($A244="","",SUMIFS(工数明細!$G$3:$G$302,工数明細!$B$3:$B$302,$A244,工数明細!$I$3:$I$302,V$212))</f>
        <v/>
      </c>
      <c r="W244" s="51" t="str">
        <f aca="false">IF($A244="","",SUMIFS(工数明細!$G$3:$G$302,工数明細!$B$3:$B$302,$A244,工数明細!$I$3:$I$302,W$212))</f>
        <v/>
      </c>
      <c r="X244" s="51" t="str">
        <f aca="false">IF($A244="","",SUMIFS(工数明細!$G$3:$G$302,工数明細!$B$3:$B$302,$A244,工数明細!$I$3:$I$302,X$212))</f>
        <v/>
      </c>
      <c r="Y244" s="51" t="str">
        <f aca="false">IF($A244="","",SUMIFS(工数明細!$G$3:$G$302,工数明細!$B$3:$B$302,$A244,工数明細!$I$3:$I$302,Y$212))</f>
        <v/>
      </c>
      <c r="Z244" s="51" t="str">
        <f aca="false">IF($A244="","",SUMIFS(工数明細!$G$3:$G$302,工数明細!$B$3:$B$302,$A244,工数明細!$I$3:$I$302,Z$212))</f>
        <v/>
      </c>
      <c r="AA244" s="51" t="str">
        <f aca="false">IF($A244="","",SUMIFS(工数明細!$G$3:$G$302,工数明細!$B$3:$B$302,$A244,工数明細!$I$3:$I$302,AA$212))</f>
        <v/>
      </c>
      <c r="AB244" s="51" t="str">
        <f aca="false">IF($A244="","",SUMIFS(工数明細!$G$3:$G$302,工数明細!$B$3:$B$302,$A244,工数明細!$I$3:$I$302,AB$212))</f>
        <v/>
      </c>
      <c r="AC244" s="51" t="str">
        <f aca="false">IF($A244="","",SUMIFS(工数明細!$G$3:$G$302,工数明細!$B$3:$B$302,$A244,工数明細!$I$3:$I$302,AC$212))</f>
        <v/>
      </c>
      <c r="AD244" s="51" t="str">
        <f aca="false">IF($A244="","",SUMIFS(工数明細!$G$3:$G$302,工数明細!$B$3:$B$302,$A244,工数明細!$I$3:$I$302,AD$212))</f>
        <v/>
      </c>
    </row>
    <row r="245" customFormat="false" ht="15.75" hidden="false" customHeight="true" outlineLevel="0" collapsed="false">
      <c r="A245" s="28" t="str">
        <f aca="false">IF(案件管理!$A$34:$A$34="","",案件管理!$A$34:$A$34)</f>
        <v/>
      </c>
      <c r="B245" s="10" t="str">
        <f aca="false">IF($A245="","",案件管理!$B$34:$B$34)</f>
        <v/>
      </c>
      <c r="C245" s="10" t="str">
        <f aca="false">IF($A245="","",案件管理!$D$34:$D$34)</f>
        <v/>
      </c>
      <c r="D245" s="30" t="str">
        <f aca="false">IF($A245="","",案件管理!$AE$34:$AE$34)</f>
        <v/>
      </c>
      <c r="E245" s="30" t="str">
        <f aca="false">IF($A245="","",SUM($G245:$AD245))</f>
        <v/>
      </c>
      <c r="F245" s="51" t="str">
        <f aca="false">IF($A245="","",N($E39)-N($E245))</f>
        <v/>
      </c>
      <c r="G245" s="51" t="str">
        <f aca="false">IF($A245="","",SUMIFS(工数明細!$G$3:$G$302,工数明細!$B$3:$B$302,$A245,工数明細!$I$3:$I$302,G$212))</f>
        <v/>
      </c>
      <c r="H245" s="51" t="str">
        <f aca="false">IF($A245="","",SUMIFS(工数明細!$G$3:$G$302,工数明細!$B$3:$B$302,$A245,工数明細!$I$3:$I$302,H$212))</f>
        <v/>
      </c>
      <c r="I245" s="51" t="str">
        <f aca="false">IF($A245="","",SUMIFS(工数明細!$G$3:$G$302,工数明細!$B$3:$B$302,$A245,工数明細!$I$3:$I$302,I$212))</f>
        <v/>
      </c>
      <c r="J245" s="51" t="str">
        <f aca="false">IF($A245="","",SUMIFS(工数明細!$G$3:$G$302,工数明細!$B$3:$B$302,$A245,工数明細!$I$3:$I$302,J$212))</f>
        <v/>
      </c>
      <c r="K245" s="51" t="str">
        <f aca="false">IF($A245="","",SUMIFS(工数明細!$G$3:$G$302,工数明細!$B$3:$B$302,$A245,工数明細!$I$3:$I$302,K$212))</f>
        <v/>
      </c>
      <c r="L245" s="51" t="str">
        <f aca="false">IF($A245="","",SUMIFS(工数明細!$G$3:$G$302,工数明細!$B$3:$B$302,$A245,工数明細!$I$3:$I$302,L$212))</f>
        <v/>
      </c>
      <c r="M245" s="51" t="str">
        <f aca="false">IF($A245="","",SUMIFS(工数明細!$G$3:$G$302,工数明細!$B$3:$B$302,$A245,工数明細!$I$3:$I$302,M$212))</f>
        <v/>
      </c>
      <c r="N245" s="51" t="str">
        <f aca="false">IF($A245="","",SUMIFS(工数明細!$G$3:$G$302,工数明細!$B$3:$B$302,$A245,工数明細!$I$3:$I$302,N$212))</f>
        <v/>
      </c>
      <c r="O245" s="51" t="str">
        <f aca="false">IF($A245="","",SUMIFS(工数明細!$G$3:$G$302,工数明細!$B$3:$B$302,$A245,工数明細!$I$3:$I$302,O$212))</f>
        <v/>
      </c>
      <c r="P245" s="51" t="str">
        <f aca="false">IF($A245="","",SUMIFS(工数明細!$G$3:$G$302,工数明細!$B$3:$B$302,$A245,工数明細!$I$3:$I$302,P$212))</f>
        <v/>
      </c>
      <c r="Q245" s="51" t="str">
        <f aca="false">IF($A245="","",SUMIFS(工数明細!$G$3:$G$302,工数明細!$B$3:$B$302,$A245,工数明細!$I$3:$I$302,Q$212))</f>
        <v/>
      </c>
      <c r="R245" s="51" t="str">
        <f aca="false">IF($A245="","",SUMIFS(工数明細!$G$3:$G$302,工数明細!$B$3:$B$302,$A245,工数明細!$I$3:$I$302,R$212))</f>
        <v/>
      </c>
      <c r="S245" s="51" t="str">
        <f aca="false">IF($A245="","",SUMIFS(工数明細!$G$3:$G$302,工数明細!$B$3:$B$302,$A245,工数明細!$I$3:$I$302,S$212))</f>
        <v/>
      </c>
      <c r="T245" s="51" t="str">
        <f aca="false">IF($A245="","",SUMIFS(工数明細!$G$3:$G$302,工数明細!$B$3:$B$302,$A245,工数明細!$I$3:$I$302,T$212))</f>
        <v/>
      </c>
      <c r="U245" s="51" t="str">
        <f aca="false">IF($A245="","",SUMIFS(工数明細!$G$3:$G$302,工数明細!$B$3:$B$302,$A245,工数明細!$I$3:$I$302,U$212))</f>
        <v/>
      </c>
      <c r="V245" s="51" t="str">
        <f aca="false">IF($A245="","",SUMIFS(工数明細!$G$3:$G$302,工数明細!$B$3:$B$302,$A245,工数明細!$I$3:$I$302,V$212))</f>
        <v/>
      </c>
      <c r="W245" s="51" t="str">
        <f aca="false">IF($A245="","",SUMIFS(工数明細!$G$3:$G$302,工数明細!$B$3:$B$302,$A245,工数明細!$I$3:$I$302,W$212))</f>
        <v/>
      </c>
      <c r="X245" s="51" t="str">
        <f aca="false">IF($A245="","",SUMIFS(工数明細!$G$3:$G$302,工数明細!$B$3:$B$302,$A245,工数明細!$I$3:$I$302,X$212))</f>
        <v/>
      </c>
      <c r="Y245" s="51" t="str">
        <f aca="false">IF($A245="","",SUMIFS(工数明細!$G$3:$G$302,工数明細!$B$3:$B$302,$A245,工数明細!$I$3:$I$302,Y$212))</f>
        <v/>
      </c>
      <c r="Z245" s="51" t="str">
        <f aca="false">IF($A245="","",SUMIFS(工数明細!$G$3:$G$302,工数明細!$B$3:$B$302,$A245,工数明細!$I$3:$I$302,Z$212))</f>
        <v/>
      </c>
      <c r="AA245" s="51" t="str">
        <f aca="false">IF($A245="","",SUMIFS(工数明細!$G$3:$G$302,工数明細!$B$3:$B$302,$A245,工数明細!$I$3:$I$302,AA$212))</f>
        <v/>
      </c>
      <c r="AB245" s="51" t="str">
        <f aca="false">IF($A245="","",SUMIFS(工数明細!$G$3:$G$302,工数明細!$B$3:$B$302,$A245,工数明細!$I$3:$I$302,AB$212))</f>
        <v/>
      </c>
      <c r="AC245" s="51" t="str">
        <f aca="false">IF($A245="","",SUMIFS(工数明細!$G$3:$G$302,工数明細!$B$3:$B$302,$A245,工数明細!$I$3:$I$302,AC$212))</f>
        <v/>
      </c>
      <c r="AD245" s="51" t="str">
        <f aca="false">IF($A245="","",SUMIFS(工数明細!$G$3:$G$302,工数明細!$B$3:$B$302,$A245,工数明細!$I$3:$I$302,AD$212))</f>
        <v/>
      </c>
    </row>
    <row r="246" customFormat="false" ht="15.75" hidden="false" customHeight="true" outlineLevel="0" collapsed="false">
      <c r="A246" s="28" t="str">
        <f aca="false">IF(案件管理!$A$35:$A$35="","",案件管理!$A$35:$A$35)</f>
        <v/>
      </c>
      <c r="B246" s="10" t="str">
        <f aca="false">IF($A246="","",案件管理!$B$35:$B$35)</f>
        <v/>
      </c>
      <c r="C246" s="10" t="str">
        <f aca="false">IF($A246="","",案件管理!$D$35:$D$35)</f>
        <v/>
      </c>
      <c r="D246" s="30" t="str">
        <f aca="false">IF($A246="","",案件管理!$AE$35:$AE$35)</f>
        <v/>
      </c>
      <c r="E246" s="30" t="str">
        <f aca="false">IF($A246="","",SUM($G246:$AD246))</f>
        <v/>
      </c>
      <c r="F246" s="51" t="str">
        <f aca="false">IF($A246="","",N($E40)-N($E246))</f>
        <v/>
      </c>
      <c r="G246" s="51" t="str">
        <f aca="false">IF($A246="","",SUMIFS(工数明細!$G$3:$G$302,工数明細!$B$3:$B$302,$A246,工数明細!$I$3:$I$302,G$212))</f>
        <v/>
      </c>
      <c r="H246" s="51" t="str">
        <f aca="false">IF($A246="","",SUMIFS(工数明細!$G$3:$G$302,工数明細!$B$3:$B$302,$A246,工数明細!$I$3:$I$302,H$212))</f>
        <v/>
      </c>
      <c r="I246" s="51" t="str">
        <f aca="false">IF($A246="","",SUMIFS(工数明細!$G$3:$G$302,工数明細!$B$3:$B$302,$A246,工数明細!$I$3:$I$302,I$212))</f>
        <v/>
      </c>
      <c r="J246" s="51" t="str">
        <f aca="false">IF($A246="","",SUMIFS(工数明細!$G$3:$G$302,工数明細!$B$3:$B$302,$A246,工数明細!$I$3:$I$302,J$212))</f>
        <v/>
      </c>
      <c r="K246" s="51" t="str">
        <f aca="false">IF($A246="","",SUMIFS(工数明細!$G$3:$G$302,工数明細!$B$3:$B$302,$A246,工数明細!$I$3:$I$302,K$212))</f>
        <v/>
      </c>
      <c r="L246" s="51" t="str">
        <f aca="false">IF($A246="","",SUMIFS(工数明細!$G$3:$G$302,工数明細!$B$3:$B$302,$A246,工数明細!$I$3:$I$302,L$212))</f>
        <v/>
      </c>
      <c r="M246" s="51" t="str">
        <f aca="false">IF($A246="","",SUMIFS(工数明細!$G$3:$G$302,工数明細!$B$3:$B$302,$A246,工数明細!$I$3:$I$302,M$212))</f>
        <v/>
      </c>
      <c r="N246" s="51" t="str">
        <f aca="false">IF($A246="","",SUMIFS(工数明細!$G$3:$G$302,工数明細!$B$3:$B$302,$A246,工数明細!$I$3:$I$302,N$212))</f>
        <v/>
      </c>
      <c r="O246" s="51" t="str">
        <f aca="false">IF($A246="","",SUMIFS(工数明細!$G$3:$G$302,工数明細!$B$3:$B$302,$A246,工数明細!$I$3:$I$302,O$212))</f>
        <v/>
      </c>
      <c r="P246" s="51" t="str">
        <f aca="false">IF($A246="","",SUMIFS(工数明細!$G$3:$G$302,工数明細!$B$3:$B$302,$A246,工数明細!$I$3:$I$302,P$212))</f>
        <v/>
      </c>
      <c r="Q246" s="51" t="str">
        <f aca="false">IF($A246="","",SUMIFS(工数明細!$G$3:$G$302,工数明細!$B$3:$B$302,$A246,工数明細!$I$3:$I$302,Q$212))</f>
        <v/>
      </c>
      <c r="R246" s="51" t="str">
        <f aca="false">IF($A246="","",SUMIFS(工数明細!$G$3:$G$302,工数明細!$B$3:$B$302,$A246,工数明細!$I$3:$I$302,R$212))</f>
        <v/>
      </c>
      <c r="S246" s="51" t="str">
        <f aca="false">IF($A246="","",SUMIFS(工数明細!$G$3:$G$302,工数明細!$B$3:$B$302,$A246,工数明細!$I$3:$I$302,S$212))</f>
        <v/>
      </c>
      <c r="T246" s="51" t="str">
        <f aca="false">IF($A246="","",SUMIFS(工数明細!$G$3:$G$302,工数明細!$B$3:$B$302,$A246,工数明細!$I$3:$I$302,T$212))</f>
        <v/>
      </c>
      <c r="U246" s="51" t="str">
        <f aca="false">IF($A246="","",SUMIFS(工数明細!$G$3:$G$302,工数明細!$B$3:$B$302,$A246,工数明細!$I$3:$I$302,U$212))</f>
        <v/>
      </c>
      <c r="V246" s="51" t="str">
        <f aca="false">IF($A246="","",SUMIFS(工数明細!$G$3:$G$302,工数明細!$B$3:$B$302,$A246,工数明細!$I$3:$I$302,V$212))</f>
        <v/>
      </c>
      <c r="W246" s="51" t="str">
        <f aca="false">IF($A246="","",SUMIFS(工数明細!$G$3:$G$302,工数明細!$B$3:$B$302,$A246,工数明細!$I$3:$I$302,W$212))</f>
        <v/>
      </c>
      <c r="X246" s="51" t="str">
        <f aca="false">IF($A246="","",SUMIFS(工数明細!$G$3:$G$302,工数明細!$B$3:$B$302,$A246,工数明細!$I$3:$I$302,X$212))</f>
        <v/>
      </c>
      <c r="Y246" s="51" t="str">
        <f aca="false">IF($A246="","",SUMIFS(工数明細!$G$3:$G$302,工数明細!$B$3:$B$302,$A246,工数明細!$I$3:$I$302,Y$212))</f>
        <v/>
      </c>
      <c r="Z246" s="51" t="str">
        <f aca="false">IF($A246="","",SUMIFS(工数明細!$G$3:$G$302,工数明細!$B$3:$B$302,$A246,工数明細!$I$3:$I$302,Z$212))</f>
        <v/>
      </c>
      <c r="AA246" s="51" t="str">
        <f aca="false">IF($A246="","",SUMIFS(工数明細!$G$3:$G$302,工数明細!$B$3:$B$302,$A246,工数明細!$I$3:$I$302,AA$212))</f>
        <v/>
      </c>
      <c r="AB246" s="51" t="str">
        <f aca="false">IF($A246="","",SUMIFS(工数明細!$G$3:$G$302,工数明細!$B$3:$B$302,$A246,工数明細!$I$3:$I$302,AB$212))</f>
        <v/>
      </c>
      <c r="AC246" s="51" t="str">
        <f aca="false">IF($A246="","",SUMIFS(工数明細!$G$3:$G$302,工数明細!$B$3:$B$302,$A246,工数明細!$I$3:$I$302,AC$212))</f>
        <v/>
      </c>
      <c r="AD246" s="51" t="str">
        <f aca="false">IF($A246="","",SUMIFS(工数明細!$G$3:$G$302,工数明細!$B$3:$B$302,$A246,工数明細!$I$3:$I$302,AD$212))</f>
        <v/>
      </c>
    </row>
    <row r="247" customFormat="false" ht="15.75" hidden="false" customHeight="true" outlineLevel="0" collapsed="false">
      <c r="A247" s="28" t="str">
        <f aca="false">IF(案件管理!$A$36:$A$36="","",案件管理!$A$36:$A$36)</f>
        <v/>
      </c>
      <c r="B247" s="10" t="str">
        <f aca="false">IF($A247="","",案件管理!$B$36:$B$36)</f>
        <v/>
      </c>
      <c r="C247" s="10" t="str">
        <f aca="false">IF($A247="","",案件管理!$D$36:$D$36)</f>
        <v/>
      </c>
      <c r="D247" s="30" t="str">
        <f aca="false">IF($A247="","",案件管理!$AE$36:$AE$36)</f>
        <v/>
      </c>
      <c r="E247" s="30" t="str">
        <f aca="false">IF($A247="","",SUM($G247:$AD247))</f>
        <v/>
      </c>
      <c r="F247" s="51" t="str">
        <f aca="false">IF($A247="","",N($E41)-N($E247))</f>
        <v/>
      </c>
      <c r="G247" s="51" t="str">
        <f aca="false">IF($A247="","",SUMIFS(工数明細!$G$3:$G$302,工数明細!$B$3:$B$302,$A247,工数明細!$I$3:$I$302,G$212))</f>
        <v/>
      </c>
      <c r="H247" s="51" t="str">
        <f aca="false">IF($A247="","",SUMIFS(工数明細!$G$3:$G$302,工数明細!$B$3:$B$302,$A247,工数明細!$I$3:$I$302,H$212))</f>
        <v/>
      </c>
      <c r="I247" s="51" t="str">
        <f aca="false">IF($A247="","",SUMIFS(工数明細!$G$3:$G$302,工数明細!$B$3:$B$302,$A247,工数明細!$I$3:$I$302,I$212))</f>
        <v/>
      </c>
      <c r="J247" s="51" t="str">
        <f aca="false">IF($A247="","",SUMIFS(工数明細!$G$3:$G$302,工数明細!$B$3:$B$302,$A247,工数明細!$I$3:$I$302,J$212))</f>
        <v/>
      </c>
      <c r="K247" s="51" t="str">
        <f aca="false">IF($A247="","",SUMIFS(工数明細!$G$3:$G$302,工数明細!$B$3:$B$302,$A247,工数明細!$I$3:$I$302,K$212))</f>
        <v/>
      </c>
      <c r="L247" s="51" t="str">
        <f aca="false">IF($A247="","",SUMIFS(工数明細!$G$3:$G$302,工数明細!$B$3:$B$302,$A247,工数明細!$I$3:$I$302,L$212))</f>
        <v/>
      </c>
      <c r="M247" s="51" t="str">
        <f aca="false">IF($A247="","",SUMIFS(工数明細!$G$3:$G$302,工数明細!$B$3:$B$302,$A247,工数明細!$I$3:$I$302,M$212))</f>
        <v/>
      </c>
      <c r="N247" s="51" t="str">
        <f aca="false">IF($A247="","",SUMIFS(工数明細!$G$3:$G$302,工数明細!$B$3:$B$302,$A247,工数明細!$I$3:$I$302,N$212))</f>
        <v/>
      </c>
      <c r="O247" s="51" t="str">
        <f aca="false">IF($A247="","",SUMIFS(工数明細!$G$3:$G$302,工数明細!$B$3:$B$302,$A247,工数明細!$I$3:$I$302,O$212))</f>
        <v/>
      </c>
      <c r="P247" s="51" t="str">
        <f aca="false">IF($A247="","",SUMIFS(工数明細!$G$3:$G$302,工数明細!$B$3:$B$302,$A247,工数明細!$I$3:$I$302,P$212))</f>
        <v/>
      </c>
      <c r="Q247" s="51" t="str">
        <f aca="false">IF($A247="","",SUMIFS(工数明細!$G$3:$G$302,工数明細!$B$3:$B$302,$A247,工数明細!$I$3:$I$302,Q$212))</f>
        <v/>
      </c>
      <c r="R247" s="51" t="str">
        <f aca="false">IF($A247="","",SUMIFS(工数明細!$G$3:$G$302,工数明細!$B$3:$B$302,$A247,工数明細!$I$3:$I$302,R$212))</f>
        <v/>
      </c>
      <c r="S247" s="51" t="str">
        <f aca="false">IF($A247="","",SUMIFS(工数明細!$G$3:$G$302,工数明細!$B$3:$B$302,$A247,工数明細!$I$3:$I$302,S$212))</f>
        <v/>
      </c>
      <c r="T247" s="51" t="str">
        <f aca="false">IF($A247="","",SUMIFS(工数明細!$G$3:$G$302,工数明細!$B$3:$B$302,$A247,工数明細!$I$3:$I$302,T$212))</f>
        <v/>
      </c>
      <c r="U247" s="51" t="str">
        <f aca="false">IF($A247="","",SUMIFS(工数明細!$G$3:$G$302,工数明細!$B$3:$B$302,$A247,工数明細!$I$3:$I$302,U$212))</f>
        <v/>
      </c>
      <c r="V247" s="51" t="str">
        <f aca="false">IF($A247="","",SUMIFS(工数明細!$G$3:$G$302,工数明細!$B$3:$B$302,$A247,工数明細!$I$3:$I$302,V$212))</f>
        <v/>
      </c>
      <c r="W247" s="51" t="str">
        <f aca="false">IF($A247="","",SUMIFS(工数明細!$G$3:$G$302,工数明細!$B$3:$B$302,$A247,工数明細!$I$3:$I$302,W$212))</f>
        <v/>
      </c>
      <c r="X247" s="51" t="str">
        <f aca="false">IF($A247="","",SUMIFS(工数明細!$G$3:$G$302,工数明細!$B$3:$B$302,$A247,工数明細!$I$3:$I$302,X$212))</f>
        <v/>
      </c>
      <c r="Y247" s="51" t="str">
        <f aca="false">IF($A247="","",SUMIFS(工数明細!$G$3:$G$302,工数明細!$B$3:$B$302,$A247,工数明細!$I$3:$I$302,Y$212))</f>
        <v/>
      </c>
      <c r="Z247" s="51" t="str">
        <f aca="false">IF($A247="","",SUMIFS(工数明細!$G$3:$G$302,工数明細!$B$3:$B$302,$A247,工数明細!$I$3:$I$302,Z$212))</f>
        <v/>
      </c>
      <c r="AA247" s="51" t="str">
        <f aca="false">IF($A247="","",SUMIFS(工数明細!$G$3:$G$302,工数明細!$B$3:$B$302,$A247,工数明細!$I$3:$I$302,AA$212))</f>
        <v/>
      </c>
      <c r="AB247" s="51" t="str">
        <f aca="false">IF($A247="","",SUMIFS(工数明細!$G$3:$G$302,工数明細!$B$3:$B$302,$A247,工数明細!$I$3:$I$302,AB$212))</f>
        <v/>
      </c>
      <c r="AC247" s="51" t="str">
        <f aca="false">IF($A247="","",SUMIFS(工数明細!$G$3:$G$302,工数明細!$B$3:$B$302,$A247,工数明細!$I$3:$I$302,AC$212))</f>
        <v/>
      </c>
      <c r="AD247" s="51" t="str">
        <f aca="false">IF($A247="","",SUMIFS(工数明細!$G$3:$G$302,工数明細!$B$3:$B$302,$A247,工数明細!$I$3:$I$302,AD$212))</f>
        <v/>
      </c>
    </row>
    <row r="248" customFormat="false" ht="15.75" hidden="false" customHeight="true" outlineLevel="0" collapsed="false">
      <c r="A248" s="28" t="str">
        <f aca="false">IF(案件管理!$A$37:$A$37="","",案件管理!$A$37:$A$37)</f>
        <v/>
      </c>
      <c r="B248" s="10" t="str">
        <f aca="false">IF($A248="","",案件管理!$B$37:$B$37)</f>
        <v/>
      </c>
      <c r="C248" s="10" t="str">
        <f aca="false">IF($A248="","",案件管理!$D$37:$D$37)</f>
        <v/>
      </c>
      <c r="D248" s="30" t="str">
        <f aca="false">IF($A248="","",案件管理!$AE$37:$AE$37)</f>
        <v/>
      </c>
      <c r="E248" s="30" t="str">
        <f aca="false">IF($A248="","",SUM($G248:$AD248))</f>
        <v/>
      </c>
      <c r="F248" s="51" t="str">
        <f aca="false">IF($A248="","",N($E42)-N($E248))</f>
        <v/>
      </c>
      <c r="G248" s="51" t="str">
        <f aca="false">IF($A248="","",SUMIFS(工数明細!$G$3:$G$302,工数明細!$B$3:$B$302,$A248,工数明細!$I$3:$I$302,G$212))</f>
        <v/>
      </c>
      <c r="H248" s="51" t="str">
        <f aca="false">IF($A248="","",SUMIFS(工数明細!$G$3:$G$302,工数明細!$B$3:$B$302,$A248,工数明細!$I$3:$I$302,H$212))</f>
        <v/>
      </c>
      <c r="I248" s="51" t="str">
        <f aca="false">IF($A248="","",SUMIFS(工数明細!$G$3:$G$302,工数明細!$B$3:$B$302,$A248,工数明細!$I$3:$I$302,I$212))</f>
        <v/>
      </c>
      <c r="J248" s="51" t="str">
        <f aca="false">IF($A248="","",SUMIFS(工数明細!$G$3:$G$302,工数明細!$B$3:$B$302,$A248,工数明細!$I$3:$I$302,J$212))</f>
        <v/>
      </c>
      <c r="K248" s="51" t="str">
        <f aca="false">IF($A248="","",SUMIFS(工数明細!$G$3:$G$302,工数明細!$B$3:$B$302,$A248,工数明細!$I$3:$I$302,K$212))</f>
        <v/>
      </c>
      <c r="L248" s="51" t="str">
        <f aca="false">IF($A248="","",SUMIFS(工数明細!$G$3:$G$302,工数明細!$B$3:$B$302,$A248,工数明細!$I$3:$I$302,L$212))</f>
        <v/>
      </c>
      <c r="M248" s="51" t="str">
        <f aca="false">IF($A248="","",SUMIFS(工数明細!$G$3:$G$302,工数明細!$B$3:$B$302,$A248,工数明細!$I$3:$I$302,M$212))</f>
        <v/>
      </c>
      <c r="N248" s="51" t="str">
        <f aca="false">IF($A248="","",SUMIFS(工数明細!$G$3:$G$302,工数明細!$B$3:$B$302,$A248,工数明細!$I$3:$I$302,N$212))</f>
        <v/>
      </c>
      <c r="O248" s="51" t="str">
        <f aca="false">IF($A248="","",SUMIFS(工数明細!$G$3:$G$302,工数明細!$B$3:$B$302,$A248,工数明細!$I$3:$I$302,O$212))</f>
        <v/>
      </c>
      <c r="P248" s="51" t="str">
        <f aca="false">IF($A248="","",SUMIFS(工数明細!$G$3:$G$302,工数明細!$B$3:$B$302,$A248,工数明細!$I$3:$I$302,P$212))</f>
        <v/>
      </c>
      <c r="Q248" s="51" t="str">
        <f aca="false">IF($A248="","",SUMIFS(工数明細!$G$3:$G$302,工数明細!$B$3:$B$302,$A248,工数明細!$I$3:$I$302,Q$212))</f>
        <v/>
      </c>
      <c r="R248" s="51" t="str">
        <f aca="false">IF($A248="","",SUMIFS(工数明細!$G$3:$G$302,工数明細!$B$3:$B$302,$A248,工数明細!$I$3:$I$302,R$212))</f>
        <v/>
      </c>
      <c r="S248" s="51" t="str">
        <f aca="false">IF($A248="","",SUMIFS(工数明細!$G$3:$G$302,工数明細!$B$3:$B$302,$A248,工数明細!$I$3:$I$302,S$212))</f>
        <v/>
      </c>
      <c r="T248" s="51" t="str">
        <f aca="false">IF($A248="","",SUMIFS(工数明細!$G$3:$G$302,工数明細!$B$3:$B$302,$A248,工数明細!$I$3:$I$302,T$212))</f>
        <v/>
      </c>
      <c r="U248" s="51" t="str">
        <f aca="false">IF($A248="","",SUMIFS(工数明細!$G$3:$G$302,工数明細!$B$3:$B$302,$A248,工数明細!$I$3:$I$302,U$212))</f>
        <v/>
      </c>
      <c r="V248" s="51" t="str">
        <f aca="false">IF($A248="","",SUMIFS(工数明細!$G$3:$G$302,工数明細!$B$3:$B$302,$A248,工数明細!$I$3:$I$302,V$212))</f>
        <v/>
      </c>
      <c r="W248" s="51" t="str">
        <f aca="false">IF($A248="","",SUMIFS(工数明細!$G$3:$G$302,工数明細!$B$3:$B$302,$A248,工数明細!$I$3:$I$302,W$212))</f>
        <v/>
      </c>
      <c r="X248" s="51" t="str">
        <f aca="false">IF($A248="","",SUMIFS(工数明細!$G$3:$G$302,工数明細!$B$3:$B$302,$A248,工数明細!$I$3:$I$302,X$212))</f>
        <v/>
      </c>
      <c r="Y248" s="51" t="str">
        <f aca="false">IF($A248="","",SUMIFS(工数明細!$G$3:$G$302,工数明細!$B$3:$B$302,$A248,工数明細!$I$3:$I$302,Y$212))</f>
        <v/>
      </c>
      <c r="Z248" s="51" t="str">
        <f aca="false">IF($A248="","",SUMIFS(工数明細!$G$3:$G$302,工数明細!$B$3:$B$302,$A248,工数明細!$I$3:$I$302,Z$212))</f>
        <v/>
      </c>
      <c r="AA248" s="51" t="str">
        <f aca="false">IF($A248="","",SUMIFS(工数明細!$G$3:$G$302,工数明細!$B$3:$B$302,$A248,工数明細!$I$3:$I$302,AA$212))</f>
        <v/>
      </c>
      <c r="AB248" s="51" t="str">
        <f aca="false">IF($A248="","",SUMIFS(工数明細!$G$3:$G$302,工数明細!$B$3:$B$302,$A248,工数明細!$I$3:$I$302,AB$212))</f>
        <v/>
      </c>
      <c r="AC248" s="51" t="str">
        <f aca="false">IF($A248="","",SUMIFS(工数明細!$G$3:$G$302,工数明細!$B$3:$B$302,$A248,工数明細!$I$3:$I$302,AC$212))</f>
        <v/>
      </c>
      <c r="AD248" s="51" t="str">
        <f aca="false">IF($A248="","",SUMIFS(工数明細!$G$3:$G$302,工数明細!$B$3:$B$302,$A248,工数明細!$I$3:$I$302,AD$212))</f>
        <v/>
      </c>
    </row>
    <row r="249" customFormat="false" ht="15.75" hidden="false" customHeight="true" outlineLevel="0" collapsed="false">
      <c r="A249" s="28" t="str">
        <f aca="false">IF(案件管理!$A$38:$A$38="","",案件管理!$A$38:$A$38)</f>
        <v/>
      </c>
      <c r="B249" s="10" t="str">
        <f aca="false">IF($A249="","",案件管理!$B$38:$B$38)</f>
        <v/>
      </c>
      <c r="C249" s="10" t="str">
        <f aca="false">IF($A249="","",案件管理!$D$38:$D$38)</f>
        <v/>
      </c>
      <c r="D249" s="30" t="str">
        <f aca="false">IF($A249="","",案件管理!$AE$38:$AE$38)</f>
        <v/>
      </c>
      <c r="E249" s="30" t="str">
        <f aca="false">IF($A249="","",SUM($G249:$AD249))</f>
        <v/>
      </c>
      <c r="F249" s="51" t="str">
        <f aca="false">IF($A249="","",N($E43)-N($E249))</f>
        <v/>
      </c>
      <c r="G249" s="51" t="str">
        <f aca="false">IF($A249="","",SUMIFS(工数明細!$G$3:$G$302,工数明細!$B$3:$B$302,$A249,工数明細!$I$3:$I$302,G$212))</f>
        <v/>
      </c>
      <c r="H249" s="51" t="str">
        <f aca="false">IF($A249="","",SUMIFS(工数明細!$G$3:$G$302,工数明細!$B$3:$B$302,$A249,工数明細!$I$3:$I$302,H$212))</f>
        <v/>
      </c>
      <c r="I249" s="51" t="str">
        <f aca="false">IF($A249="","",SUMIFS(工数明細!$G$3:$G$302,工数明細!$B$3:$B$302,$A249,工数明細!$I$3:$I$302,I$212))</f>
        <v/>
      </c>
      <c r="J249" s="51" t="str">
        <f aca="false">IF($A249="","",SUMIFS(工数明細!$G$3:$G$302,工数明細!$B$3:$B$302,$A249,工数明細!$I$3:$I$302,J$212))</f>
        <v/>
      </c>
      <c r="K249" s="51" t="str">
        <f aca="false">IF($A249="","",SUMIFS(工数明細!$G$3:$G$302,工数明細!$B$3:$B$302,$A249,工数明細!$I$3:$I$302,K$212))</f>
        <v/>
      </c>
      <c r="L249" s="51" t="str">
        <f aca="false">IF($A249="","",SUMIFS(工数明細!$G$3:$G$302,工数明細!$B$3:$B$302,$A249,工数明細!$I$3:$I$302,L$212))</f>
        <v/>
      </c>
      <c r="M249" s="51" t="str">
        <f aca="false">IF($A249="","",SUMIFS(工数明細!$G$3:$G$302,工数明細!$B$3:$B$302,$A249,工数明細!$I$3:$I$302,M$212))</f>
        <v/>
      </c>
      <c r="N249" s="51" t="str">
        <f aca="false">IF($A249="","",SUMIFS(工数明細!$G$3:$G$302,工数明細!$B$3:$B$302,$A249,工数明細!$I$3:$I$302,N$212))</f>
        <v/>
      </c>
      <c r="O249" s="51" t="str">
        <f aca="false">IF($A249="","",SUMIFS(工数明細!$G$3:$G$302,工数明細!$B$3:$B$302,$A249,工数明細!$I$3:$I$302,O$212))</f>
        <v/>
      </c>
      <c r="P249" s="51" t="str">
        <f aca="false">IF($A249="","",SUMIFS(工数明細!$G$3:$G$302,工数明細!$B$3:$B$302,$A249,工数明細!$I$3:$I$302,P$212))</f>
        <v/>
      </c>
      <c r="Q249" s="51" t="str">
        <f aca="false">IF($A249="","",SUMIFS(工数明細!$G$3:$G$302,工数明細!$B$3:$B$302,$A249,工数明細!$I$3:$I$302,Q$212))</f>
        <v/>
      </c>
      <c r="R249" s="51" t="str">
        <f aca="false">IF($A249="","",SUMIFS(工数明細!$G$3:$G$302,工数明細!$B$3:$B$302,$A249,工数明細!$I$3:$I$302,R$212))</f>
        <v/>
      </c>
      <c r="S249" s="51" t="str">
        <f aca="false">IF($A249="","",SUMIFS(工数明細!$G$3:$G$302,工数明細!$B$3:$B$302,$A249,工数明細!$I$3:$I$302,S$212))</f>
        <v/>
      </c>
      <c r="T249" s="51" t="str">
        <f aca="false">IF($A249="","",SUMIFS(工数明細!$G$3:$G$302,工数明細!$B$3:$B$302,$A249,工数明細!$I$3:$I$302,T$212))</f>
        <v/>
      </c>
      <c r="U249" s="51" t="str">
        <f aca="false">IF($A249="","",SUMIFS(工数明細!$G$3:$G$302,工数明細!$B$3:$B$302,$A249,工数明細!$I$3:$I$302,U$212))</f>
        <v/>
      </c>
      <c r="V249" s="51" t="str">
        <f aca="false">IF($A249="","",SUMIFS(工数明細!$G$3:$G$302,工数明細!$B$3:$B$302,$A249,工数明細!$I$3:$I$302,V$212))</f>
        <v/>
      </c>
      <c r="W249" s="51" t="str">
        <f aca="false">IF($A249="","",SUMIFS(工数明細!$G$3:$G$302,工数明細!$B$3:$B$302,$A249,工数明細!$I$3:$I$302,W$212))</f>
        <v/>
      </c>
      <c r="X249" s="51" t="str">
        <f aca="false">IF($A249="","",SUMIFS(工数明細!$G$3:$G$302,工数明細!$B$3:$B$302,$A249,工数明細!$I$3:$I$302,X$212))</f>
        <v/>
      </c>
      <c r="Y249" s="51" t="str">
        <f aca="false">IF($A249="","",SUMIFS(工数明細!$G$3:$G$302,工数明細!$B$3:$B$302,$A249,工数明細!$I$3:$I$302,Y$212))</f>
        <v/>
      </c>
      <c r="Z249" s="51" t="str">
        <f aca="false">IF($A249="","",SUMIFS(工数明細!$G$3:$G$302,工数明細!$B$3:$B$302,$A249,工数明細!$I$3:$I$302,Z$212))</f>
        <v/>
      </c>
      <c r="AA249" s="51" t="str">
        <f aca="false">IF($A249="","",SUMIFS(工数明細!$G$3:$G$302,工数明細!$B$3:$B$302,$A249,工数明細!$I$3:$I$302,AA$212))</f>
        <v/>
      </c>
      <c r="AB249" s="51" t="str">
        <f aca="false">IF($A249="","",SUMIFS(工数明細!$G$3:$G$302,工数明細!$B$3:$B$302,$A249,工数明細!$I$3:$I$302,AB$212))</f>
        <v/>
      </c>
      <c r="AC249" s="51" t="str">
        <f aca="false">IF($A249="","",SUMIFS(工数明細!$G$3:$G$302,工数明細!$B$3:$B$302,$A249,工数明細!$I$3:$I$302,AC$212))</f>
        <v/>
      </c>
      <c r="AD249" s="51" t="str">
        <f aca="false">IF($A249="","",SUMIFS(工数明細!$G$3:$G$302,工数明細!$B$3:$B$302,$A249,工数明細!$I$3:$I$302,AD$212))</f>
        <v/>
      </c>
    </row>
    <row r="250" customFormat="false" ht="15.75" hidden="false" customHeight="true" outlineLevel="0" collapsed="false">
      <c r="A250" s="28" t="str">
        <f aca="false">IF(案件管理!$A$39:$A$39="","",案件管理!$A$39:$A$39)</f>
        <v/>
      </c>
      <c r="B250" s="10" t="str">
        <f aca="false">IF($A250="","",案件管理!$B$39:$B$39)</f>
        <v/>
      </c>
      <c r="C250" s="10" t="str">
        <f aca="false">IF($A250="","",案件管理!$D$39:$D$39)</f>
        <v/>
      </c>
      <c r="D250" s="30" t="str">
        <f aca="false">IF($A250="","",案件管理!$AE$39:$AE$39)</f>
        <v/>
      </c>
      <c r="E250" s="30" t="str">
        <f aca="false">IF($A250="","",SUM($G250:$AD250))</f>
        <v/>
      </c>
      <c r="F250" s="51" t="str">
        <f aca="false">IF($A250="","",N($E44)-N($E250))</f>
        <v/>
      </c>
      <c r="G250" s="51" t="str">
        <f aca="false">IF($A250="","",SUMIFS(工数明細!$G$3:$G$302,工数明細!$B$3:$B$302,$A250,工数明細!$I$3:$I$302,G$212))</f>
        <v/>
      </c>
      <c r="H250" s="51" t="str">
        <f aca="false">IF($A250="","",SUMIFS(工数明細!$G$3:$G$302,工数明細!$B$3:$B$302,$A250,工数明細!$I$3:$I$302,H$212))</f>
        <v/>
      </c>
      <c r="I250" s="51" t="str">
        <f aca="false">IF($A250="","",SUMIFS(工数明細!$G$3:$G$302,工数明細!$B$3:$B$302,$A250,工数明細!$I$3:$I$302,I$212))</f>
        <v/>
      </c>
      <c r="J250" s="51" t="str">
        <f aca="false">IF($A250="","",SUMIFS(工数明細!$G$3:$G$302,工数明細!$B$3:$B$302,$A250,工数明細!$I$3:$I$302,J$212))</f>
        <v/>
      </c>
      <c r="K250" s="51" t="str">
        <f aca="false">IF($A250="","",SUMIFS(工数明細!$G$3:$G$302,工数明細!$B$3:$B$302,$A250,工数明細!$I$3:$I$302,K$212))</f>
        <v/>
      </c>
      <c r="L250" s="51" t="str">
        <f aca="false">IF($A250="","",SUMIFS(工数明細!$G$3:$G$302,工数明細!$B$3:$B$302,$A250,工数明細!$I$3:$I$302,L$212))</f>
        <v/>
      </c>
      <c r="M250" s="51" t="str">
        <f aca="false">IF($A250="","",SUMIFS(工数明細!$G$3:$G$302,工数明細!$B$3:$B$302,$A250,工数明細!$I$3:$I$302,M$212))</f>
        <v/>
      </c>
      <c r="N250" s="51" t="str">
        <f aca="false">IF($A250="","",SUMIFS(工数明細!$G$3:$G$302,工数明細!$B$3:$B$302,$A250,工数明細!$I$3:$I$302,N$212))</f>
        <v/>
      </c>
      <c r="O250" s="51" t="str">
        <f aca="false">IF($A250="","",SUMIFS(工数明細!$G$3:$G$302,工数明細!$B$3:$B$302,$A250,工数明細!$I$3:$I$302,O$212))</f>
        <v/>
      </c>
      <c r="P250" s="51" t="str">
        <f aca="false">IF($A250="","",SUMIFS(工数明細!$G$3:$G$302,工数明細!$B$3:$B$302,$A250,工数明細!$I$3:$I$302,P$212))</f>
        <v/>
      </c>
      <c r="Q250" s="51" t="str">
        <f aca="false">IF($A250="","",SUMIFS(工数明細!$G$3:$G$302,工数明細!$B$3:$B$302,$A250,工数明細!$I$3:$I$302,Q$212))</f>
        <v/>
      </c>
      <c r="R250" s="51" t="str">
        <f aca="false">IF($A250="","",SUMIFS(工数明細!$G$3:$G$302,工数明細!$B$3:$B$302,$A250,工数明細!$I$3:$I$302,R$212))</f>
        <v/>
      </c>
      <c r="S250" s="51" t="str">
        <f aca="false">IF($A250="","",SUMIFS(工数明細!$G$3:$G$302,工数明細!$B$3:$B$302,$A250,工数明細!$I$3:$I$302,S$212))</f>
        <v/>
      </c>
      <c r="T250" s="51" t="str">
        <f aca="false">IF($A250="","",SUMIFS(工数明細!$G$3:$G$302,工数明細!$B$3:$B$302,$A250,工数明細!$I$3:$I$302,T$212))</f>
        <v/>
      </c>
      <c r="U250" s="51" t="str">
        <f aca="false">IF($A250="","",SUMIFS(工数明細!$G$3:$G$302,工数明細!$B$3:$B$302,$A250,工数明細!$I$3:$I$302,U$212))</f>
        <v/>
      </c>
      <c r="V250" s="51" t="str">
        <f aca="false">IF($A250="","",SUMIFS(工数明細!$G$3:$G$302,工数明細!$B$3:$B$302,$A250,工数明細!$I$3:$I$302,V$212))</f>
        <v/>
      </c>
      <c r="W250" s="51" t="str">
        <f aca="false">IF($A250="","",SUMIFS(工数明細!$G$3:$G$302,工数明細!$B$3:$B$302,$A250,工数明細!$I$3:$I$302,W$212))</f>
        <v/>
      </c>
      <c r="X250" s="51" t="str">
        <f aca="false">IF($A250="","",SUMIFS(工数明細!$G$3:$G$302,工数明細!$B$3:$B$302,$A250,工数明細!$I$3:$I$302,X$212))</f>
        <v/>
      </c>
      <c r="Y250" s="51" t="str">
        <f aca="false">IF($A250="","",SUMIFS(工数明細!$G$3:$G$302,工数明細!$B$3:$B$302,$A250,工数明細!$I$3:$I$302,Y$212))</f>
        <v/>
      </c>
      <c r="Z250" s="51" t="str">
        <f aca="false">IF($A250="","",SUMIFS(工数明細!$G$3:$G$302,工数明細!$B$3:$B$302,$A250,工数明細!$I$3:$I$302,Z$212))</f>
        <v/>
      </c>
      <c r="AA250" s="51" t="str">
        <f aca="false">IF($A250="","",SUMIFS(工数明細!$G$3:$G$302,工数明細!$B$3:$B$302,$A250,工数明細!$I$3:$I$302,AA$212))</f>
        <v/>
      </c>
      <c r="AB250" s="51" t="str">
        <f aca="false">IF($A250="","",SUMIFS(工数明細!$G$3:$G$302,工数明細!$B$3:$B$302,$A250,工数明細!$I$3:$I$302,AB$212))</f>
        <v/>
      </c>
      <c r="AC250" s="51" t="str">
        <f aca="false">IF($A250="","",SUMIFS(工数明細!$G$3:$G$302,工数明細!$B$3:$B$302,$A250,工数明細!$I$3:$I$302,AC$212))</f>
        <v/>
      </c>
      <c r="AD250" s="51" t="str">
        <f aca="false">IF($A250="","",SUMIFS(工数明細!$G$3:$G$302,工数明細!$B$3:$B$302,$A250,工数明細!$I$3:$I$302,AD$212))</f>
        <v/>
      </c>
    </row>
    <row r="251" customFormat="false" ht="15.75" hidden="false" customHeight="true" outlineLevel="0" collapsed="false">
      <c r="A251" s="28" t="str">
        <f aca="false">IF(案件管理!$A$40:$A$40="","",案件管理!$A$40:$A$40)</f>
        <v/>
      </c>
      <c r="B251" s="10" t="str">
        <f aca="false">IF($A251="","",案件管理!$B$40:$B$40)</f>
        <v/>
      </c>
      <c r="C251" s="10" t="str">
        <f aca="false">IF($A251="","",案件管理!$D$40:$D$40)</f>
        <v/>
      </c>
      <c r="D251" s="30" t="str">
        <f aca="false">IF($A251="","",案件管理!$AE$40:$AE$40)</f>
        <v/>
      </c>
      <c r="E251" s="30" t="str">
        <f aca="false">IF($A251="","",SUM($G251:$AD251))</f>
        <v/>
      </c>
      <c r="F251" s="51" t="str">
        <f aca="false">IF($A251="","",N($E45)-N($E251))</f>
        <v/>
      </c>
      <c r="G251" s="51" t="str">
        <f aca="false">IF($A251="","",SUMIFS(工数明細!$G$3:$G$302,工数明細!$B$3:$B$302,$A251,工数明細!$I$3:$I$302,G$212))</f>
        <v/>
      </c>
      <c r="H251" s="51" t="str">
        <f aca="false">IF($A251="","",SUMIFS(工数明細!$G$3:$G$302,工数明細!$B$3:$B$302,$A251,工数明細!$I$3:$I$302,H$212))</f>
        <v/>
      </c>
      <c r="I251" s="51" t="str">
        <f aca="false">IF($A251="","",SUMIFS(工数明細!$G$3:$G$302,工数明細!$B$3:$B$302,$A251,工数明細!$I$3:$I$302,I$212))</f>
        <v/>
      </c>
      <c r="J251" s="51" t="str">
        <f aca="false">IF($A251="","",SUMIFS(工数明細!$G$3:$G$302,工数明細!$B$3:$B$302,$A251,工数明細!$I$3:$I$302,J$212))</f>
        <v/>
      </c>
      <c r="K251" s="51" t="str">
        <f aca="false">IF($A251="","",SUMIFS(工数明細!$G$3:$G$302,工数明細!$B$3:$B$302,$A251,工数明細!$I$3:$I$302,K$212))</f>
        <v/>
      </c>
      <c r="L251" s="51" t="str">
        <f aca="false">IF($A251="","",SUMIFS(工数明細!$G$3:$G$302,工数明細!$B$3:$B$302,$A251,工数明細!$I$3:$I$302,L$212))</f>
        <v/>
      </c>
      <c r="M251" s="51" t="str">
        <f aca="false">IF($A251="","",SUMIFS(工数明細!$G$3:$G$302,工数明細!$B$3:$B$302,$A251,工数明細!$I$3:$I$302,M$212))</f>
        <v/>
      </c>
      <c r="N251" s="51" t="str">
        <f aca="false">IF($A251="","",SUMIFS(工数明細!$G$3:$G$302,工数明細!$B$3:$B$302,$A251,工数明細!$I$3:$I$302,N$212))</f>
        <v/>
      </c>
      <c r="O251" s="51" t="str">
        <f aca="false">IF($A251="","",SUMIFS(工数明細!$G$3:$G$302,工数明細!$B$3:$B$302,$A251,工数明細!$I$3:$I$302,O$212))</f>
        <v/>
      </c>
      <c r="P251" s="51" t="str">
        <f aca="false">IF($A251="","",SUMIFS(工数明細!$G$3:$G$302,工数明細!$B$3:$B$302,$A251,工数明細!$I$3:$I$302,P$212))</f>
        <v/>
      </c>
      <c r="Q251" s="51" t="str">
        <f aca="false">IF($A251="","",SUMIFS(工数明細!$G$3:$G$302,工数明細!$B$3:$B$302,$A251,工数明細!$I$3:$I$302,Q$212))</f>
        <v/>
      </c>
      <c r="R251" s="51" t="str">
        <f aca="false">IF($A251="","",SUMIFS(工数明細!$G$3:$G$302,工数明細!$B$3:$B$302,$A251,工数明細!$I$3:$I$302,R$212))</f>
        <v/>
      </c>
      <c r="S251" s="51" t="str">
        <f aca="false">IF($A251="","",SUMIFS(工数明細!$G$3:$G$302,工数明細!$B$3:$B$302,$A251,工数明細!$I$3:$I$302,S$212))</f>
        <v/>
      </c>
      <c r="T251" s="51" t="str">
        <f aca="false">IF($A251="","",SUMIFS(工数明細!$G$3:$G$302,工数明細!$B$3:$B$302,$A251,工数明細!$I$3:$I$302,T$212))</f>
        <v/>
      </c>
      <c r="U251" s="51" t="str">
        <f aca="false">IF($A251="","",SUMIFS(工数明細!$G$3:$G$302,工数明細!$B$3:$B$302,$A251,工数明細!$I$3:$I$302,U$212))</f>
        <v/>
      </c>
      <c r="V251" s="51" t="str">
        <f aca="false">IF($A251="","",SUMIFS(工数明細!$G$3:$G$302,工数明細!$B$3:$B$302,$A251,工数明細!$I$3:$I$302,V$212))</f>
        <v/>
      </c>
      <c r="W251" s="51" t="str">
        <f aca="false">IF($A251="","",SUMIFS(工数明細!$G$3:$G$302,工数明細!$B$3:$B$302,$A251,工数明細!$I$3:$I$302,W$212))</f>
        <v/>
      </c>
      <c r="X251" s="51" t="str">
        <f aca="false">IF($A251="","",SUMIFS(工数明細!$G$3:$G$302,工数明細!$B$3:$B$302,$A251,工数明細!$I$3:$I$302,X$212))</f>
        <v/>
      </c>
      <c r="Y251" s="51" t="str">
        <f aca="false">IF($A251="","",SUMIFS(工数明細!$G$3:$G$302,工数明細!$B$3:$B$302,$A251,工数明細!$I$3:$I$302,Y$212))</f>
        <v/>
      </c>
      <c r="Z251" s="51" t="str">
        <f aca="false">IF($A251="","",SUMIFS(工数明細!$G$3:$G$302,工数明細!$B$3:$B$302,$A251,工数明細!$I$3:$I$302,Z$212))</f>
        <v/>
      </c>
      <c r="AA251" s="51" t="str">
        <f aca="false">IF($A251="","",SUMIFS(工数明細!$G$3:$G$302,工数明細!$B$3:$B$302,$A251,工数明細!$I$3:$I$302,AA$212))</f>
        <v/>
      </c>
      <c r="AB251" s="51" t="str">
        <f aca="false">IF($A251="","",SUMIFS(工数明細!$G$3:$G$302,工数明細!$B$3:$B$302,$A251,工数明細!$I$3:$I$302,AB$212))</f>
        <v/>
      </c>
      <c r="AC251" s="51" t="str">
        <f aca="false">IF($A251="","",SUMIFS(工数明細!$G$3:$G$302,工数明細!$B$3:$B$302,$A251,工数明細!$I$3:$I$302,AC$212))</f>
        <v/>
      </c>
      <c r="AD251" s="51" t="str">
        <f aca="false">IF($A251="","",SUMIFS(工数明細!$G$3:$G$302,工数明細!$B$3:$B$302,$A251,工数明細!$I$3:$I$302,AD$212))</f>
        <v/>
      </c>
    </row>
    <row r="252" customFormat="false" ht="15.75" hidden="false" customHeight="true" outlineLevel="0" collapsed="false">
      <c r="A252" s="28" t="str">
        <f aca="false">IF(案件管理!$A$41:$A$41="","",案件管理!$A$41:$A$41)</f>
        <v/>
      </c>
      <c r="B252" s="10" t="str">
        <f aca="false">IF($A252="","",案件管理!$B$41:$B$41)</f>
        <v/>
      </c>
      <c r="C252" s="10" t="str">
        <f aca="false">IF($A252="","",案件管理!$D$41:$D$41)</f>
        <v/>
      </c>
      <c r="D252" s="30" t="str">
        <f aca="false">IF($A252="","",案件管理!$AE$41:$AE$41)</f>
        <v/>
      </c>
      <c r="E252" s="30" t="str">
        <f aca="false">IF($A252="","",SUM($G252:$AD252))</f>
        <v/>
      </c>
      <c r="F252" s="51" t="str">
        <f aca="false">IF($A252="","",N($E46)-N($E252))</f>
        <v/>
      </c>
      <c r="G252" s="51" t="str">
        <f aca="false">IF($A252="","",SUMIFS(工数明細!$G$3:$G$302,工数明細!$B$3:$B$302,$A252,工数明細!$I$3:$I$302,G$212))</f>
        <v/>
      </c>
      <c r="H252" s="51" t="str">
        <f aca="false">IF($A252="","",SUMIFS(工数明細!$G$3:$G$302,工数明細!$B$3:$B$302,$A252,工数明細!$I$3:$I$302,H$212))</f>
        <v/>
      </c>
      <c r="I252" s="51" t="str">
        <f aca="false">IF($A252="","",SUMIFS(工数明細!$G$3:$G$302,工数明細!$B$3:$B$302,$A252,工数明細!$I$3:$I$302,I$212))</f>
        <v/>
      </c>
      <c r="J252" s="51" t="str">
        <f aca="false">IF($A252="","",SUMIFS(工数明細!$G$3:$G$302,工数明細!$B$3:$B$302,$A252,工数明細!$I$3:$I$302,J$212))</f>
        <v/>
      </c>
      <c r="K252" s="51" t="str">
        <f aca="false">IF($A252="","",SUMIFS(工数明細!$G$3:$G$302,工数明細!$B$3:$B$302,$A252,工数明細!$I$3:$I$302,K$212))</f>
        <v/>
      </c>
      <c r="L252" s="51" t="str">
        <f aca="false">IF($A252="","",SUMIFS(工数明細!$G$3:$G$302,工数明細!$B$3:$B$302,$A252,工数明細!$I$3:$I$302,L$212))</f>
        <v/>
      </c>
      <c r="M252" s="51" t="str">
        <f aca="false">IF($A252="","",SUMIFS(工数明細!$G$3:$G$302,工数明細!$B$3:$B$302,$A252,工数明細!$I$3:$I$302,M$212))</f>
        <v/>
      </c>
      <c r="N252" s="51" t="str">
        <f aca="false">IF($A252="","",SUMIFS(工数明細!$G$3:$G$302,工数明細!$B$3:$B$302,$A252,工数明細!$I$3:$I$302,N$212))</f>
        <v/>
      </c>
      <c r="O252" s="51" t="str">
        <f aca="false">IF($A252="","",SUMIFS(工数明細!$G$3:$G$302,工数明細!$B$3:$B$302,$A252,工数明細!$I$3:$I$302,O$212))</f>
        <v/>
      </c>
      <c r="P252" s="51" t="str">
        <f aca="false">IF($A252="","",SUMIFS(工数明細!$G$3:$G$302,工数明細!$B$3:$B$302,$A252,工数明細!$I$3:$I$302,P$212))</f>
        <v/>
      </c>
      <c r="Q252" s="51" t="str">
        <f aca="false">IF($A252="","",SUMIFS(工数明細!$G$3:$G$302,工数明細!$B$3:$B$302,$A252,工数明細!$I$3:$I$302,Q$212))</f>
        <v/>
      </c>
      <c r="R252" s="51" t="str">
        <f aca="false">IF($A252="","",SUMIFS(工数明細!$G$3:$G$302,工数明細!$B$3:$B$302,$A252,工数明細!$I$3:$I$302,R$212))</f>
        <v/>
      </c>
      <c r="S252" s="51" t="str">
        <f aca="false">IF($A252="","",SUMIFS(工数明細!$G$3:$G$302,工数明細!$B$3:$B$302,$A252,工数明細!$I$3:$I$302,S$212))</f>
        <v/>
      </c>
      <c r="T252" s="51" t="str">
        <f aca="false">IF($A252="","",SUMIFS(工数明細!$G$3:$G$302,工数明細!$B$3:$B$302,$A252,工数明細!$I$3:$I$302,T$212))</f>
        <v/>
      </c>
      <c r="U252" s="51" t="str">
        <f aca="false">IF($A252="","",SUMIFS(工数明細!$G$3:$G$302,工数明細!$B$3:$B$302,$A252,工数明細!$I$3:$I$302,U$212))</f>
        <v/>
      </c>
      <c r="V252" s="51" t="str">
        <f aca="false">IF($A252="","",SUMIFS(工数明細!$G$3:$G$302,工数明細!$B$3:$B$302,$A252,工数明細!$I$3:$I$302,V$212))</f>
        <v/>
      </c>
      <c r="W252" s="51" t="str">
        <f aca="false">IF($A252="","",SUMIFS(工数明細!$G$3:$G$302,工数明細!$B$3:$B$302,$A252,工数明細!$I$3:$I$302,W$212))</f>
        <v/>
      </c>
      <c r="X252" s="51" t="str">
        <f aca="false">IF($A252="","",SUMIFS(工数明細!$G$3:$G$302,工数明細!$B$3:$B$302,$A252,工数明細!$I$3:$I$302,X$212))</f>
        <v/>
      </c>
      <c r="Y252" s="51" t="str">
        <f aca="false">IF($A252="","",SUMIFS(工数明細!$G$3:$G$302,工数明細!$B$3:$B$302,$A252,工数明細!$I$3:$I$302,Y$212))</f>
        <v/>
      </c>
      <c r="Z252" s="51" t="str">
        <f aca="false">IF($A252="","",SUMIFS(工数明細!$G$3:$G$302,工数明細!$B$3:$B$302,$A252,工数明細!$I$3:$I$302,Z$212))</f>
        <v/>
      </c>
      <c r="AA252" s="51" t="str">
        <f aca="false">IF($A252="","",SUMIFS(工数明細!$G$3:$G$302,工数明細!$B$3:$B$302,$A252,工数明細!$I$3:$I$302,AA$212))</f>
        <v/>
      </c>
      <c r="AB252" s="51" t="str">
        <f aca="false">IF($A252="","",SUMIFS(工数明細!$G$3:$G$302,工数明細!$B$3:$B$302,$A252,工数明細!$I$3:$I$302,AB$212))</f>
        <v/>
      </c>
      <c r="AC252" s="51" t="str">
        <f aca="false">IF($A252="","",SUMIFS(工数明細!$G$3:$G$302,工数明細!$B$3:$B$302,$A252,工数明細!$I$3:$I$302,AC$212))</f>
        <v/>
      </c>
      <c r="AD252" s="51" t="str">
        <f aca="false">IF($A252="","",SUMIFS(工数明細!$G$3:$G$302,工数明細!$B$3:$B$302,$A252,工数明細!$I$3:$I$302,AD$212))</f>
        <v/>
      </c>
    </row>
    <row r="253" customFormat="false" ht="15.75" hidden="false" customHeight="true" outlineLevel="0" collapsed="false">
      <c r="A253" s="28" t="str">
        <f aca="false">IF(案件管理!$A$42:$A$42="","",案件管理!$A$42:$A$42)</f>
        <v/>
      </c>
      <c r="B253" s="10" t="str">
        <f aca="false">IF($A253="","",案件管理!$B$42:$B$42)</f>
        <v/>
      </c>
      <c r="C253" s="10" t="str">
        <f aca="false">IF($A253="","",案件管理!$D$42:$D$42)</f>
        <v/>
      </c>
      <c r="D253" s="30" t="str">
        <f aca="false">IF($A253="","",案件管理!$AE$42:$AE$42)</f>
        <v/>
      </c>
      <c r="E253" s="30" t="str">
        <f aca="false">IF($A253="","",SUM($G253:$AD253))</f>
        <v/>
      </c>
      <c r="F253" s="51" t="str">
        <f aca="false">IF($A253="","",N($E47)-N($E253))</f>
        <v/>
      </c>
      <c r="G253" s="51" t="str">
        <f aca="false">IF($A253="","",SUMIFS(工数明細!$G$3:$G$302,工数明細!$B$3:$B$302,$A253,工数明細!$I$3:$I$302,G$212))</f>
        <v/>
      </c>
      <c r="H253" s="51" t="str">
        <f aca="false">IF($A253="","",SUMIFS(工数明細!$G$3:$G$302,工数明細!$B$3:$B$302,$A253,工数明細!$I$3:$I$302,H$212))</f>
        <v/>
      </c>
      <c r="I253" s="51" t="str">
        <f aca="false">IF($A253="","",SUMIFS(工数明細!$G$3:$G$302,工数明細!$B$3:$B$302,$A253,工数明細!$I$3:$I$302,I$212))</f>
        <v/>
      </c>
      <c r="J253" s="51" t="str">
        <f aca="false">IF($A253="","",SUMIFS(工数明細!$G$3:$G$302,工数明細!$B$3:$B$302,$A253,工数明細!$I$3:$I$302,J$212))</f>
        <v/>
      </c>
      <c r="K253" s="51" t="str">
        <f aca="false">IF($A253="","",SUMIFS(工数明細!$G$3:$G$302,工数明細!$B$3:$B$302,$A253,工数明細!$I$3:$I$302,K$212))</f>
        <v/>
      </c>
      <c r="L253" s="51" t="str">
        <f aca="false">IF($A253="","",SUMIFS(工数明細!$G$3:$G$302,工数明細!$B$3:$B$302,$A253,工数明細!$I$3:$I$302,L$212))</f>
        <v/>
      </c>
      <c r="M253" s="51" t="str">
        <f aca="false">IF($A253="","",SUMIFS(工数明細!$G$3:$G$302,工数明細!$B$3:$B$302,$A253,工数明細!$I$3:$I$302,M$212))</f>
        <v/>
      </c>
      <c r="N253" s="51" t="str">
        <f aca="false">IF($A253="","",SUMIFS(工数明細!$G$3:$G$302,工数明細!$B$3:$B$302,$A253,工数明細!$I$3:$I$302,N$212))</f>
        <v/>
      </c>
      <c r="O253" s="51" t="str">
        <f aca="false">IF($A253="","",SUMIFS(工数明細!$G$3:$G$302,工数明細!$B$3:$B$302,$A253,工数明細!$I$3:$I$302,O$212))</f>
        <v/>
      </c>
      <c r="P253" s="51" t="str">
        <f aca="false">IF($A253="","",SUMIFS(工数明細!$G$3:$G$302,工数明細!$B$3:$B$302,$A253,工数明細!$I$3:$I$302,P$212))</f>
        <v/>
      </c>
      <c r="Q253" s="51" t="str">
        <f aca="false">IF($A253="","",SUMIFS(工数明細!$G$3:$G$302,工数明細!$B$3:$B$302,$A253,工数明細!$I$3:$I$302,Q$212))</f>
        <v/>
      </c>
      <c r="R253" s="51" t="str">
        <f aca="false">IF($A253="","",SUMIFS(工数明細!$G$3:$G$302,工数明細!$B$3:$B$302,$A253,工数明細!$I$3:$I$302,R$212))</f>
        <v/>
      </c>
      <c r="S253" s="51" t="str">
        <f aca="false">IF($A253="","",SUMIFS(工数明細!$G$3:$G$302,工数明細!$B$3:$B$302,$A253,工数明細!$I$3:$I$302,S$212))</f>
        <v/>
      </c>
      <c r="T253" s="51" t="str">
        <f aca="false">IF($A253="","",SUMIFS(工数明細!$G$3:$G$302,工数明細!$B$3:$B$302,$A253,工数明細!$I$3:$I$302,T$212))</f>
        <v/>
      </c>
      <c r="U253" s="51" t="str">
        <f aca="false">IF($A253="","",SUMIFS(工数明細!$G$3:$G$302,工数明細!$B$3:$B$302,$A253,工数明細!$I$3:$I$302,U$212))</f>
        <v/>
      </c>
      <c r="V253" s="51" t="str">
        <f aca="false">IF($A253="","",SUMIFS(工数明細!$G$3:$G$302,工数明細!$B$3:$B$302,$A253,工数明細!$I$3:$I$302,V$212))</f>
        <v/>
      </c>
      <c r="W253" s="51" t="str">
        <f aca="false">IF($A253="","",SUMIFS(工数明細!$G$3:$G$302,工数明細!$B$3:$B$302,$A253,工数明細!$I$3:$I$302,W$212))</f>
        <v/>
      </c>
      <c r="X253" s="51" t="str">
        <f aca="false">IF($A253="","",SUMIFS(工数明細!$G$3:$G$302,工数明細!$B$3:$B$302,$A253,工数明細!$I$3:$I$302,X$212))</f>
        <v/>
      </c>
      <c r="Y253" s="51" t="str">
        <f aca="false">IF($A253="","",SUMIFS(工数明細!$G$3:$G$302,工数明細!$B$3:$B$302,$A253,工数明細!$I$3:$I$302,Y$212))</f>
        <v/>
      </c>
      <c r="Z253" s="51" t="str">
        <f aca="false">IF($A253="","",SUMIFS(工数明細!$G$3:$G$302,工数明細!$B$3:$B$302,$A253,工数明細!$I$3:$I$302,Z$212))</f>
        <v/>
      </c>
      <c r="AA253" s="51" t="str">
        <f aca="false">IF($A253="","",SUMIFS(工数明細!$G$3:$G$302,工数明細!$B$3:$B$302,$A253,工数明細!$I$3:$I$302,AA$212))</f>
        <v/>
      </c>
      <c r="AB253" s="51" t="str">
        <f aca="false">IF($A253="","",SUMIFS(工数明細!$G$3:$G$302,工数明細!$B$3:$B$302,$A253,工数明細!$I$3:$I$302,AB$212))</f>
        <v/>
      </c>
      <c r="AC253" s="51" t="str">
        <f aca="false">IF($A253="","",SUMIFS(工数明細!$G$3:$G$302,工数明細!$B$3:$B$302,$A253,工数明細!$I$3:$I$302,AC$212))</f>
        <v/>
      </c>
      <c r="AD253" s="51" t="str">
        <f aca="false">IF($A253="","",SUMIFS(工数明細!$G$3:$G$302,工数明細!$B$3:$B$302,$A253,工数明細!$I$3:$I$302,AD$212))</f>
        <v/>
      </c>
    </row>
    <row r="254" customFormat="false" ht="15.75" hidden="false" customHeight="true" outlineLevel="0" collapsed="false">
      <c r="A254" s="28" t="str">
        <f aca="false">IF(案件管理!$A$43:$A$43="","",案件管理!$A$43:$A$43)</f>
        <v/>
      </c>
      <c r="B254" s="10" t="str">
        <f aca="false">IF($A254="","",案件管理!$B$43:$B$43)</f>
        <v/>
      </c>
      <c r="C254" s="10" t="str">
        <f aca="false">IF($A254="","",案件管理!$D$43:$D$43)</f>
        <v/>
      </c>
      <c r="D254" s="30" t="str">
        <f aca="false">IF($A254="","",案件管理!$AE$43:$AE$43)</f>
        <v/>
      </c>
      <c r="E254" s="30" t="str">
        <f aca="false">IF($A254="","",SUM($G254:$AD254))</f>
        <v/>
      </c>
      <c r="F254" s="51" t="str">
        <f aca="false">IF($A254="","",N($E48)-N($E254))</f>
        <v/>
      </c>
      <c r="G254" s="51" t="str">
        <f aca="false">IF($A254="","",SUMIFS(工数明細!$G$3:$G$302,工数明細!$B$3:$B$302,$A254,工数明細!$I$3:$I$302,G$212))</f>
        <v/>
      </c>
      <c r="H254" s="51" t="str">
        <f aca="false">IF($A254="","",SUMIFS(工数明細!$G$3:$G$302,工数明細!$B$3:$B$302,$A254,工数明細!$I$3:$I$302,H$212))</f>
        <v/>
      </c>
      <c r="I254" s="51" t="str">
        <f aca="false">IF($A254="","",SUMIFS(工数明細!$G$3:$G$302,工数明細!$B$3:$B$302,$A254,工数明細!$I$3:$I$302,I$212))</f>
        <v/>
      </c>
      <c r="J254" s="51" t="str">
        <f aca="false">IF($A254="","",SUMIFS(工数明細!$G$3:$G$302,工数明細!$B$3:$B$302,$A254,工数明細!$I$3:$I$302,J$212))</f>
        <v/>
      </c>
      <c r="K254" s="51" t="str">
        <f aca="false">IF($A254="","",SUMIFS(工数明細!$G$3:$G$302,工数明細!$B$3:$B$302,$A254,工数明細!$I$3:$I$302,K$212))</f>
        <v/>
      </c>
      <c r="L254" s="51" t="str">
        <f aca="false">IF($A254="","",SUMIFS(工数明細!$G$3:$G$302,工数明細!$B$3:$B$302,$A254,工数明細!$I$3:$I$302,L$212))</f>
        <v/>
      </c>
      <c r="M254" s="51" t="str">
        <f aca="false">IF($A254="","",SUMIFS(工数明細!$G$3:$G$302,工数明細!$B$3:$B$302,$A254,工数明細!$I$3:$I$302,M$212))</f>
        <v/>
      </c>
      <c r="N254" s="51" t="str">
        <f aca="false">IF($A254="","",SUMIFS(工数明細!$G$3:$G$302,工数明細!$B$3:$B$302,$A254,工数明細!$I$3:$I$302,N$212))</f>
        <v/>
      </c>
      <c r="O254" s="51" t="str">
        <f aca="false">IF($A254="","",SUMIFS(工数明細!$G$3:$G$302,工数明細!$B$3:$B$302,$A254,工数明細!$I$3:$I$302,O$212))</f>
        <v/>
      </c>
      <c r="P254" s="51" t="str">
        <f aca="false">IF($A254="","",SUMIFS(工数明細!$G$3:$G$302,工数明細!$B$3:$B$302,$A254,工数明細!$I$3:$I$302,P$212))</f>
        <v/>
      </c>
      <c r="Q254" s="51" t="str">
        <f aca="false">IF($A254="","",SUMIFS(工数明細!$G$3:$G$302,工数明細!$B$3:$B$302,$A254,工数明細!$I$3:$I$302,Q$212))</f>
        <v/>
      </c>
      <c r="R254" s="51" t="str">
        <f aca="false">IF($A254="","",SUMIFS(工数明細!$G$3:$G$302,工数明細!$B$3:$B$302,$A254,工数明細!$I$3:$I$302,R$212))</f>
        <v/>
      </c>
      <c r="S254" s="51" t="str">
        <f aca="false">IF($A254="","",SUMIFS(工数明細!$G$3:$G$302,工数明細!$B$3:$B$302,$A254,工数明細!$I$3:$I$302,S$212))</f>
        <v/>
      </c>
      <c r="T254" s="51" t="str">
        <f aca="false">IF($A254="","",SUMIFS(工数明細!$G$3:$G$302,工数明細!$B$3:$B$302,$A254,工数明細!$I$3:$I$302,T$212))</f>
        <v/>
      </c>
      <c r="U254" s="51" t="str">
        <f aca="false">IF($A254="","",SUMIFS(工数明細!$G$3:$G$302,工数明細!$B$3:$B$302,$A254,工数明細!$I$3:$I$302,U$212))</f>
        <v/>
      </c>
      <c r="V254" s="51" t="str">
        <f aca="false">IF($A254="","",SUMIFS(工数明細!$G$3:$G$302,工数明細!$B$3:$B$302,$A254,工数明細!$I$3:$I$302,V$212))</f>
        <v/>
      </c>
      <c r="W254" s="51" t="str">
        <f aca="false">IF($A254="","",SUMIFS(工数明細!$G$3:$G$302,工数明細!$B$3:$B$302,$A254,工数明細!$I$3:$I$302,W$212))</f>
        <v/>
      </c>
      <c r="X254" s="51" t="str">
        <f aca="false">IF($A254="","",SUMIFS(工数明細!$G$3:$G$302,工数明細!$B$3:$B$302,$A254,工数明細!$I$3:$I$302,X$212))</f>
        <v/>
      </c>
      <c r="Y254" s="51" t="str">
        <f aca="false">IF($A254="","",SUMIFS(工数明細!$G$3:$G$302,工数明細!$B$3:$B$302,$A254,工数明細!$I$3:$I$302,Y$212))</f>
        <v/>
      </c>
      <c r="Z254" s="51" t="str">
        <f aca="false">IF($A254="","",SUMIFS(工数明細!$G$3:$G$302,工数明細!$B$3:$B$302,$A254,工数明細!$I$3:$I$302,Z$212))</f>
        <v/>
      </c>
      <c r="AA254" s="51" t="str">
        <f aca="false">IF($A254="","",SUMIFS(工数明細!$G$3:$G$302,工数明細!$B$3:$B$302,$A254,工数明細!$I$3:$I$302,AA$212))</f>
        <v/>
      </c>
      <c r="AB254" s="51" t="str">
        <f aca="false">IF($A254="","",SUMIFS(工数明細!$G$3:$G$302,工数明細!$B$3:$B$302,$A254,工数明細!$I$3:$I$302,AB$212))</f>
        <v/>
      </c>
      <c r="AC254" s="51" t="str">
        <f aca="false">IF($A254="","",SUMIFS(工数明細!$G$3:$G$302,工数明細!$B$3:$B$302,$A254,工数明細!$I$3:$I$302,AC$212))</f>
        <v/>
      </c>
      <c r="AD254" s="51" t="str">
        <f aca="false">IF($A254="","",SUMIFS(工数明細!$G$3:$G$302,工数明細!$B$3:$B$302,$A254,工数明細!$I$3:$I$302,AD$212))</f>
        <v/>
      </c>
    </row>
    <row r="255" customFormat="false" ht="15.75" hidden="false" customHeight="true" outlineLevel="0" collapsed="false">
      <c r="A255" s="28" t="str">
        <f aca="false">IF(案件管理!$A$44:$A$44="","",案件管理!$A$44:$A$44)</f>
        <v/>
      </c>
      <c r="B255" s="10" t="str">
        <f aca="false">IF($A255="","",案件管理!$B$44:$B$44)</f>
        <v/>
      </c>
      <c r="C255" s="10" t="str">
        <f aca="false">IF($A255="","",案件管理!$D$44:$D$44)</f>
        <v/>
      </c>
      <c r="D255" s="30" t="str">
        <f aca="false">IF($A255="","",案件管理!$AE$44:$AE$44)</f>
        <v/>
      </c>
      <c r="E255" s="30" t="str">
        <f aca="false">IF($A255="","",SUM($G255:$AD255))</f>
        <v/>
      </c>
      <c r="F255" s="51" t="str">
        <f aca="false">IF($A255="","",N($E49)-N($E255))</f>
        <v/>
      </c>
      <c r="G255" s="51" t="str">
        <f aca="false">IF($A255="","",SUMIFS(工数明細!$G$3:$G$302,工数明細!$B$3:$B$302,$A255,工数明細!$I$3:$I$302,G$212))</f>
        <v/>
      </c>
      <c r="H255" s="51" t="str">
        <f aca="false">IF($A255="","",SUMIFS(工数明細!$G$3:$G$302,工数明細!$B$3:$B$302,$A255,工数明細!$I$3:$I$302,H$212))</f>
        <v/>
      </c>
      <c r="I255" s="51" t="str">
        <f aca="false">IF($A255="","",SUMIFS(工数明細!$G$3:$G$302,工数明細!$B$3:$B$302,$A255,工数明細!$I$3:$I$302,I$212))</f>
        <v/>
      </c>
      <c r="J255" s="51" t="str">
        <f aca="false">IF($A255="","",SUMIFS(工数明細!$G$3:$G$302,工数明細!$B$3:$B$302,$A255,工数明細!$I$3:$I$302,J$212))</f>
        <v/>
      </c>
      <c r="K255" s="51" t="str">
        <f aca="false">IF($A255="","",SUMIFS(工数明細!$G$3:$G$302,工数明細!$B$3:$B$302,$A255,工数明細!$I$3:$I$302,K$212))</f>
        <v/>
      </c>
      <c r="L255" s="51" t="str">
        <f aca="false">IF($A255="","",SUMIFS(工数明細!$G$3:$G$302,工数明細!$B$3:$B$302,$A255,工数明細!$I$3:$I$302,L$212))</f>
        <v/>
      </c>
      <c r="M255" s="51" t="str">
        <f aca="false">IF($A255="","",SUMIFS(工数明細!$G$3:$G$302,工数明細!$B$3:$B$302,$A255,工数明細!$I$3:$I$302,M$212))</f>
        <v/>
      </c>
      <c r="N255" s="51" t="str">
        <f aca="false">IF($A255="","",SUMIFS(工数明細!$G$3:$G$302,工数明細!$B$3:$B$302,$A255,工数明細!$I$3:$I$302,N$212))</f>
        <v/>
      </c>
      <c r="O255" s="51" t="str">
        <f aca="false">IF($A255="","",SUMIFS(工数明細!$G$3:$G$302,工数明細!$B$3:$B$302,$A255,工数明細!$I$3:$I$302,O$212))</f>
        <v/>
      </c>
      <c r="P255" s="51" t="str">
        <f aca="false">IF($A255="","",SUMIFS(工数明細!$G$3:$G$302,工数明細!$B$3:$B$302,$A255,工数明細!$I$3:$I$302,P$212))</f>
        <v/>
      </c>
      <c r="Q255" s="51" t="str">
        <f aca="false">IF($A255="","",SUMIFS(工数明細!$G$3:$G$302,工数明細!$B$3:$B$302,$A255,工数明細!$I$3:$I$302,Q$212))</f>
        <v/>
      </c>
      <c r="R255" s="51" t="str">
        <f aca="false">IF($A255="","",SUMIFS(工数明細!$G$3:$G$302,工数明細!$B$3:$B$302,$A255,工数明細!$I$3:$I$302,R$212))</f>
        <v/>
      </c>
      <c r="S255" s="51" t="str">
        <f aca="false">IF($A255="","",SUMIFS(工数明細!$G$3:$G$302,工数明細!$B$3:$B$302,$A255,工数明細!$I$3:$I$302,S$212))</f>
        <v/>
      </c>
      <c r="T255" s="51" t="str">
        <f aca="false">IF($A255="","",SUMIFS(工数明細!$G$3:$G$302,工数明細!$B$3:$B$302,$A255,工数明細!$I$3:$I$302,T$212))</f>
        <v/>
      </c>
      <c r="U255" s="51" t="str">
        <f aca="false">IF($A255="","",SUMIFS(工数明細!$G$3:$G$302,工数明細!$B$3:$B$302,$A255,工数明細!$I$3:$I$302,U$212))</f>
        <v/>
      </c>
      <c r="V255" s="51" t="str">
        <f aca="false">IF($A255="","",SUMIFS(工数明細!$G$3:$G$302,工数明細!$B$3:$B$302,$A255,工数明細!$I$3:$I$302,V$212))</f>
        <v/>
      </c>
      <c r="W255" s="51" t="str">
        <f aca="false">IF($A255="","",SUMIFS(工数明細!$G$3:$G$302,工数明細!$B$3:$B$302,$A255,工数明細!$I$3:$I$302,W$212))</f>
        <v/>
      </c>
      <c r="X255" s="51" t="str">
        <f aca="false">IF($A255="","",SUMIFS(工数明細!$G$3:$G$302,工数明細!$B$3:$B$302,$A255,工数明細!$I$3:$I$302,X$212))</f>
        <v/>
      </c>
      <c r="Y255" s="51" t="str">
        <f aca="false">IF($A255="","",SUMIFS(工数明細!$G$3:$G$302,工数明細!$B$3:$B$302,$A255,工数明細!$I$3:$I$302,Y$212))</f>
        <v/>
      </c>
      <c r="Z255" s="51" t="str">
        <f aca="false">IF($A255="","",SUMIFS(工数明細!$G$3:$G$302,工数明細!$B$3:$B$302,$A255,工数明細!$I$3:$I$302,Z$212))</f>
        <v/>
      </c>
      <c r="AA255" s="51" t="str">
        <f aca="false">IF($A255="","",SUMIFS(工数明細!$G$3:$G$302,工数明細!$B$3:$B$302,$A255,工数明細!$I$3:$I$302,AA$212))</f>
        <v/>
      </c>
      <c r="AB255" s="51" t="str">
        <f aca="false">IF($A255="","",SUMIFS(工数明細!$G$3:$G$302,工数明細!$B$3:$B$302,$A255,工数明細!$I$3:$I$302,AB$212))</f>
        <v/>
      </c>
      <c r="AC255" s="51" t="str">
        <f aca="false">IF($A255="","",SUMIFS(工数明細!$G$3:$G$302,工数明細!$B$3:$B$302,$A255,工数明細!$I$3:$I$302,AC$212))</f>
        <v/>
      </c>
      <c r="AD255" s="51" t="str">
        <f aca="false">IF($A255="","",SUMIFS(工数明細!$G$3:$G$302,工数明細!$B$3:$B$302,$A255,工数明細!$I$3:$I$302,AD$212))</f>
        <v/>
      </c>
    </row>
    <row r="256" customFormat="false" ht="15.75" hidden="false" customHeight="true" outlineLevel="0" collapsed="false">
      <c r="A256" s="28" t="str">
        <f aca="false">IF(案件管理!$A$45:$A$45="","",案件管理!$A$45:$A$45)</f>
        <v/>
      </c>
      <c r="B256" s="10" t="str">
        <f aca="false">IF($A256="","",案件管理!$B$45:$B$45)</f>
        <v/>
      </c>
      <c r="C256" s="10" t="str">
        <f aca="false">IF($A256="","",案件管理!$D$45:$D$45)</f>
        <v/>
      </c>
      <c r="D256" s="30" t="str">
        <f aca="false">IF($A256="","",案件管理!$AE$45:$AE$45)</f>
        <v/>
      </c>
      <c r="E256" s="30" t="str">
        <f aca="false">IF($A256="","",SUM($G256:$AD256))</f>
        <v/>
      </c>
      <c r="F256" s="51" t="str">
        <f aca="false">IF($A256="","",N($E50)-N($E256))</f>
        <v/>
      </c>
      <c r="G256" s="51" t="str">
        <f aca="false">IF($A256="","",SUMIFS(工数明細!$G$3:$G$302,工数明細!$B$3:$B$302,$A256,工数明細!$I$3:$I$302,G$212))</f>
        <v/>
      </c>
      <c r="H256" s="51" t="str">
        <f aca="false">IF($A256="","",SUMIFS(工数明細!$G$3:$G$302,工数明細!$B$3:$B$302,$A256,工数明細!$I$3:$I$302,H$212))</f>
        <v/>
      </c>
      <c r="I256" s="51" t="str">
        <f aca="false">IF($A256="","",SUMIFS(工数明細!$G$3:$G$302,工数明細!$B$3:$B$302,$A256,工数明細!$I$3:$I$302,I$212))</f>
        <v/>
      </c>
      <c r="J256" s="51" t="str">
        <f aca="false">IF($A256="","",SUMIFS(工数明細!$G$3:$G$302,工数明細!$B$3:$B$302,$A256,工数明細!$I$3:$I$302,J$212))</f>
        <v/>
      </c>
      <c r="K256" s="51" t="str">
        <f aca="false">IF($A256="","",SUMIFS(工数明細!$G$3:$G$302,工数明細!$B$3:$B$302,$A256,工数明細!$I$3:$I$302,K$212))</f>
        <v/>
      </c>
      <c r="L256" s="51" t="str">
        <f aca="false">IF($A256="","",SUMIFS(工数明細!$G$3:$G$302,工数明細!$B$3:$B$302,$A256,工数明細!$I$3:$I$302,L$212))</f>
        <v/>
      </c>
      <c r="M256" s="51" t="str">
        <f aca="false">IF($A256="","",SUMIFS(工数明細!$G$3:$G$302,工数明細!$B$3:$B$302,$A256,工数明細!$I$3:$I$302,M$212))</f>
        <v/>
      </c>
      <c r="N256" s="51" t="str">
        <f aca="false">IF($A256="","",SUMIFS(工数明細!$G$3:$G$302,工数明細!$B$3:$B$302,$A256,工数明細!$I$3:$I$302,N$212))</f>
        <v/>
      </c>
      <c r="O256" s="51" t="str">
        <f aca="false">IF($A256="","",SUMIFS(工数明細!$G$3:$G$302,工数明細!$B$3:$B$302,$A256,工数明細!$I$3:$I$302,O$212))</f>
        <v/>
      </c>
      <c r="P256" s="51" t="str">
        <f aca="false">IF($A256="","",SUMIFS(工数明細!$G$3:$G$302,工数明細!$B$3:$B$302,$A256,工数明細!$I$3:$I$302,P$212))</f>
        <v/>
      </c>
      <c r="Q256" s="51" t="str">
        <f aca="false">IF($A256="","",SUMIFS(工数明細!$G$3:$G$302,工数明細!$B$3:$B$302,$A256,工数明細!$I$3:$I$302,Q$212))</f>
        <v/>
      </c>
      <c r="R256" s="51" t="str">
        <f aca="false">IF($A256="","",SUMIFS(工数明細!$G$3:$G$302,工数明細!$B$3:$B$302,$A256,工数明細!$I$3:$I$302,R$212))</f>
        <v/>
      </c>
      <c r="S256" s="51" t="str">
        <f aca="false">IF($A256="","",SUMIFS(工数明細!$G$3:$G$302,工数明細!$B$3:$B$302,$A256,工数明細!$I$3:$I$302,S$212))</f>
        <v/>
      </c>
      <c r="T256" s="51" t="str">
        <f aca="false">IF($A256="","",SUMIFS(工数明細!$G$3:$G$302,工数明細!$B$3:$B$302,$A256,工数明細!$I$3:$I$302,T$212))</f>
        <v/>
      </c>
      <c r="U256" s="51" t="str">
        <f aca="false">IF($A256="","",SUMIFS(工数明細!$G$3:$G$302,工数明細!$B$3:$B$302,$A256,工数明細!$I$3:$I$302,U$212))</f>
        <v/>
      </c>
      <c r="V256" s="51" t="str">
        <f aca="false">IF($A256="","",SUMIFS(工数明細!$G$3:$G$302,工数明細!$B$3:$B$302,$A256,工数明細!$I$3:$I$302,V$212))</f>
        <v/>
      </c>
      <c r="W256" s="51" t="str">
        <f aca="false">IF($A256="","",SUMIFS(工数明細!$G$3:$G$302,工数明細!$B$3:$B$302,$A256,工数明細!$I$3:$I$302,W$212))</f>
        <v/>
      </c>
      <c r="X256" s="51" t="str">
        <f aca="false">IF($A256="","",SUMIFS(工数明細!$G$3:$G$302,工数明細!$B$3:$B$302,$A256,工数明細!$I$3:$I$302,X$212))</f>
        <v/>
      </c>
      <c r="Y256" s="51" t="str">
        <f aca="false">IF($A256="","",SUMIFS(工数明細!$G$3:$G$302,工数明細!$B$3:$B$302,$A256,工数明細!$I$3:$I$302,Y$212))</f>
        <v/>
      </c>
      <c r="Z256" s="51" t="str">
        <f aca="false">IF($A256="","",SUMIFS(工数明細!$G$3:$G$302,工数明細!$B$3:$B$302,$A256,工数明細!$I$3:$I$302,Z$212))</f>
        <v/>
      </c>
      <c r="AA256" s="51" t="str">
        <f aca="false">IF($A256="","",SUMIFS(工数明細!$G$3:$G$302,工数明細!$B$3:$B$302,$A256,工数明細!$I$3:$I$302,AA$212))</f>
        <v/>
      </c>
      <c r="AB256" s="51" t="str">
        <f aca="false">IF($A256="","",SUMIFS(工数明細!$G$3:$G$302,工数明細!$B$3:$B$302,$A256,工数明細!$I$3:$I$302,AB$212))</f>
        <v/>
      </c>
      <c r="AC256" s="51" t="str">
        <f aca="false">IF($A256="","",SUMIFS(工数明細!$G$3:$G$302,工数明細!$B$3:$B$302,$A256,工数明細!$I$3:$I$302,AC$212))</f>
        <v/>
      </c>
      <c r="AD256" s="51" t="str">
        <f aca="false">IF($A256="","",SUMIFS(工数明細!$G$3:$G$302,工数明細!$B$3:$B$302,$A256,工数明細!$I$3:$I$302,AD$212))</f>
        <v/>
      </c>
    </row>
    <row r="257" customFormat="false" ht="15.75" hidden="false" customHeight="true" outlineLevel="0" collapsed="false">
      <c r="A257" s="28" t="str">
        <f aca="false">IF(案件管理!$A$46:$A$46="","",案件管理!$A$46:$A$46)</f>
        <v/>
      </c>
      <c r="B257" s="10" t="str">
        <f aca="false">IF($A257="","",案件管理!$B$46:$B$46)</f>
        <v/>
      </c>
      <c r="C257" s="10" t="str">
        <f aca="false">IF($A257="","",案件管理!$D$46:$D$46)</f>
        <v/>
      </c>
      <c r="D257" s="30" t="str">
        <f aca="false">IF($A257="","",案件管理!$AE$46:$AE$46)</f>
        <v/>
      </c>
      <c r="E257" s="30" t="str">
        <f aca="false">IF($A257="","",SUM($G257:$AD257))</f>
        <v/>
      </c>
      <c r="F257" s="51" t="str">
        <f aca="false">IF($A257="","",N($E51)-N($E257))</f>
        <v/>
      </c>
      <c r="G257" s="51" t="str">
        <f aca="false">IF($A257="","",SUMIFS(工数明細!$G$3:$G$302,工数明細!$B$3:$B$302,$A257,工数明細!$I$3:$I$302,G$212))</f>
        <v/>
      </c>
      <c r="H257" s="51" t="str">
        <f aca="false">IF($A257="","",SUMIFS(工数明細!$G$3:$G$302,工数明細!$B$3:$B$302,$A257,工数明細!$I$3:$I$302,H$212))</f>
        <v/>
      </c>
      <c r="I257" s="51" t="str">
        <f aca="false">IF($A257="","",SUMIFS(工数明細!$G$3:$G$302,工数明細!$B$3:$B$302,$A257,工数明細!$I$3:$I$302,I$212))</f>
        <v/>
      </c>
      <c r="J257" s="51" t="str">
        <f aca="false">IF($A257="","",SUMIFS(工数明細!$G$3:$G$302,工数明細!$B$3:$B$302,$A257,工数明細!$I$3:$I$302,J$212))</f>
        <v/>
      </c>
      <c r="K257" s="51" t="str">
        <f aca="false">IF($A257="","",SUMIFS(工数明細!$G$3:$G$302,工数明細!$B$3:$B$302,$A257,工数明細!$I$3:$I$302,K$212))</f>
        <v/>
      </c>
      <c r="L257" s="51" t="str">
        <f aca="false">IF($A257="","",SUMIFS(工数明細!$G$3:$G$302,工数明細!$B$3:$B$302,$A257,工数明細!$I$3:$I$302,L$212))</f>
        <v/>
      </c>
      <c r="M257" s="51" t="str">
        <f aca="false">IF($A257="","",SUMIFS(工数明細!$G$3:$G$302,工数明細!$B$3:$B$302,$A257,工数明細!$I$3:$I$302,M$212))</f>
        <v/>
      </c>
      <c r="N257" s="51" t="str">
        <f aca="false">IF($A257="","",SUMIFS(工数明細!$G$3:$G$302,工数明細!$B$3:$B$302,$A257,工数明細!$I$3:$I$302,N$212))</f>
        <v/>
      </c>
      <c r="O257" s="51" t="str">
        <f aca="false">IF($A257="","",SUMIFS(工数明細!$G$3:$G$302,工数明細!$B$3:$B$302,$A257,工数明細!$I$3:$I$302,O$212))</f>
        <v/>
      </c>
      <c r="P257" s="51" t="str">
        <f aca="false">IF($A257="","",SUMIFS(工数明細!$G$3:$G$302,工数明細!$B$3:$B$302,$A257,工数明細!$I$3:$I$302,P$212))</f>
        <v/>
      </c>
      <c r="Q257" s="51" t="str">
        <f aca="false">IF($A257="","",SUMIFS(工数明細!$G$3:$G$302,工数明細!$B$3:$B$302,$A257,工数明細!$I$3:$I$302,Q$212))</f>
        <v/>
      </c>
      <c r="R257" s="51" t="str">
        <f aca="false">IF($A257="","",SUMIFS(工数明細!$G$3:$G$302,工数明細!$B$3:$B$302,$A257,工数明細!$I$3:$I$302,R$212))</f>
        <v/>
      </c>
      <c r="S257" s="51" t="str">
        <f aca="false">IF($A257="","",SUMIFS(工数明細!$G$3:$G$302,工数明細!$B$3:$B$302,$A257,工数明細!$I$3:$I$302,S$212))</f>
        <v/>
      </c>
      <c r="T257" s="51" t="str">
        <f aca="false">IF($A257="","",SUMIFS(工数明細!$G$3:$G$302,工数明細!$B$3:$B$302,$A257,工数明細!$I$3:$I$302,T$212))</f>
        <v/>
      </c>
      <c r="U257" s="51" t="str">
        <f aca="false">IF($A257="","",SUMIFS(工数明細!$G$3:$G$302,工数明細!$B$3:$B$302,$A257,工数明細!$I$3:$I$302,U$212))</f>
        <v/>
      </c>
      <c r="V257" s="51" t="str">
        <f aca="false">IF($A257="","",SUMIFS(工数明細!$G$3:$G$302,工数明細!$B$3:$B$302,$A257,工数明細!$I$3:$I$302,V$212))</f>
        <v/>
      </c>
      <c r="W257" s="51" t="str">
        <f aca="false">IF($A257="","",SUMIFS(工数明細!$G$3:$G$302,工数明細!$B$3:$B$302,$A257,工数明細!$I$3:$I$302,W$212))</f>
        <v/>
      </c>
      <c r="X257" s="51" t="str">
        <f aca="false">IF($A257="","",SUMIFS(工数明細!$G$3:$G$302,工数明細!$B$3:$B$302,$A257,工数明細!$I$3:$I$302,X$212))</f>
        <v/>
      </c>
      <c r="Y257" s="51" t="str">
        <f aca="false">IF($A257="","",SUMIFS(工数明細!$G$3:$G$302,工数明細!$B$3:$B$302,$A257,工数明細!$I$3:$I$302,Y$212))</f>
        <v/>
      </c>
      <c r="Z257" s="51" t="str">
        <f aca="false">IF($A257="","",SUMIFS(工数明細!$G$3:$G$302,工数明細!$B$3:$B$302,$A257,工数明細!$I$3:$I$302,Z$212))</f>
        <v/>
      </c>
      <c r="AA257" s="51" t="str">
        <f aca="false">IF($A257="","",SUMIFS(工数明細!$G$3:$G$302,工数明細!$B$3:$B$302,$A257,工数明細!$I$3:$I$302,AA$212))</f>
        <v/>
      </c>
      <c r="AB257" s="51" t="str">
        <f aca="false">IF($A257="","",SUMIFS(工数明細!$G$3:$G$302,工数明細!$B$3:$B$302,$A257,工数明細!$I$3:$I$302,AB$212))</f>
        <v/>
      </c>
      <c r="AC257" s="51" t="str">
        <f aca="false">IF($A257="","",SUMIFS(工数明細!$G$3:$G$302,工数明細!$B$3:$B$302,$A257,工数明細!$I$3:$I$302,AC$212))</f>
        <v/>
      </c>
      <c r="AD257" s="51" t="str">
        <f aca="false">IF($A257="","",SUMIFS(工数明細!$G$3:$G$302,工数明細!$B$3:$B$302,$A257,工数明細!$I$3:$I$302,AD$212))</f>
        <v/>
      </c>
    </row>
    <row r="258" customFormat="false" ht="15.75" hidden="false" customHeight="true" outlineLevel="0" collapsed="false">
      <c r="A258" s="28" t="str">
        <f aca="false">IF(案件管理!$A$47:$A$47="","",案件管理!$A$47:$A$47)</f>
        <v/>
      </c>
      <c r="B258" s="10" t="str">
        <f aca="false">IF($A258="","",案件管理!$B$47:$B$47)</f>
        <v/>
      </c>
      <c r="C258" s="10" t="str">
        <f aca="false">IF($A258="","",案件管理!$D$47:$D$47)</f>
        <v/>
      </c>
      <c r="D258" s="30" t="str">
        <f aca="false">IF($A258="","",案件管理!$AE$47:$AE$47)</f>
        <v/>
      </c>
      <c r="E258" s="30" t="str">
        <f aca="false">IF($A258="","",SUM($G258:$AD258))</f>
        <v/>
      </c>
      <c r="F258" s="51" t="str">
        <f aca="false">IF($A258="","",N($E52)-N($E258))</f>
        <v/>
      </c>
      <c r="G258" s="51" t="str">
        <f aca="false">IF($A258="","",SUMIFS(工数明細!$G$3:$G$302,工数明細!$B$3:$B$302,$A258,工数明細!$I$3:$I$302,G$212))</f>
        <v/>
      </c>
      <c r="H258" s="51" t="str">
        <f aca="false">IF($A258="","",SUMIFS(工数明細!$G$3:$G$302,工数明細!$B$3:$B$302,$A258,工数明細!$I$3:$I$302,H$212))</f>
        <v/>
      </c>
      <c r="I258" s="51" t="str">
        <f aca="false">IF($A258="","",SUMIFS(工数明細!$G$3:$G$302,工数明細!$B$3:$B$302,$A258,工数明細!$I$3:$I$302,I$212))</f>
        <v/>
      </c>
      <c r="J258" s="51" t="str">
        <f aca="false">IF($A258="","",SUMIFS(工数明細!$G$3:$G$302,工数明細!$B$3:$B$302,$A258,工数明細!$I$3:$I$302,J$212))</f>
        <v/>
      </c>
      <c r="K258" s="51" t="str">
        <f aca="false">IF($A258="","",SUMIFS(工数明細!$G$3:$G$302,工数明細!$B$3:$B$302,$A258,工数明細!$I$3:$I$302,K$212))</f>
        <v/>
      </c>
      <c r="L258" s="51" t="str">
        <f aca="false">IF($A258="","",SUMIFS(工数明細!$G$3:$G$302,工数明細!$B$3:$B$302,$A258,工数明細!$I$3:$I$302,L$212))</f>
        <v/>
      </c>
      <c r="M258" s="51" t="str">
        <f aca="false">IF($A258="","",SUMIFS(工数明細!$G$3:$G$302,工数明細!$B$3:$B$302,$A258,工数明細!$I$3:$I$302,M$212))</f>
        <v/>
      </c>
      <c r="N258" s="51" t="str">
        <f aca="false">IF($A258="","",SUMIFS(工数明細!$G$3:$G$302,工数明細!$B$3:$B$302,$A258,工数明細!$I$3:$I$302,N$212))</f>
        <v/>
      </c>
      <c r="O258" s="51" t="str">
        <f aca="false">IF($A258="","",SUMIFS(工数明細!$G$3:$G$302,工数明細!$B$3:$B$302,$A258,工数明細!$I$3:$I$302,O$212))</f>
        <v/>
      </c>
      <c r="P258" s="51" t="str">
        <f aca="false">IF($A258="","",SUMIFS(工数明細!$G$3:$G$302,工数明細!$B$3:$B$302,$A258,工数明細!$I$3:$I$302,P$212))</f>
        <v/>
      </c>
      <c r="Q258" s="51" t="str">
        <f aca="false">IF($A258="","",SUMIFS(工数明細!$G$3:$G$302,工数明細!$B$3:$B$302,$A258,工数明細!$I$3:$I$302,Q$212))</f>
        <v/>
      </c>
      <c r="R258" s="51" t="str">
        <f aca="false">IF($A258="","",SUMIFS(工数明細!$G$3:$G$302,工数明細!$B$3:$B$302,$A258,工数明細!$I$3:$I$302,R$212))</f>
        <v/>
      </c>
      <c r="S258" s="51" t="str">
        <f aca="false">IF($A258="","",SUMIFS(工数明細!$G$3:$G$302,工数明細!$B$3:$B$302,$A258,工数明細!$I$3:$I$302,S$212))</f>
        <v/>
      </c>
      <c r="T258" s="51" t="str">
        <f aca="false">IF($A258="","",SUMIFS(工数明細!$G$3:$G$302,工数明細!$B$3:$B$302,$A258,工数明細!$I$3:$I$302,T$212))</f>
        <v/>
      </c>
      <c r="U258" s="51" t="str">
        <f aca="false">IF($A258="","",SUMIFS(工数明細!$G$3:$G$302,工数明細!$B$3:$B$302,$A258,工数明細!$I$3:$I$302,U$212))</f>
        <v/>
      </c>
      <c r="V258" s="51" t="str">
        <f aca="false">IF($A258="","",SUMIFS(工数明細!$G$3:$G$302,工数明細!$B$3:$B$302,$A258,工数明細!$I$3:$I$302,V$212))</f>
        <v/>
      </c>
      <c r="W258" s="51" t="str">
        <f aca="false">IF($A258="","",SUMIFS(工数明細!$G$3:$G$302,工数明細!$B$3:$B$302,$A258,工数明細!$I$3:$I$302,W$212))</f>
        <v/>
      </c>
      <c r="X258" s="51" t="str">
        <f aca="false">IF($A258="","",SUMIFS(工数明細!$G$3:$G$302,工数明細!$B$3:$B$302,$A258,工数明細!$I$3:$I$302,X$212))</f>
        <v/>
      </c>
      <c r="Y258" s="51" t="str">
        <f aca="false">IF($A258="","",SUMIFS(工数明細!$G$3:$G$302,工数明細!$B$3:$B$302,$A258,工数明細!$I$3:$I$302,Y$212))</f>
        <v/>
      </c>
      <c r="Z258" s="51" t="str">
        <f aca="false">IF($A258="","",SUMIFS(工数明細!$G$3:$G$302,工数明細!$B$3:$B$302,$A258,工数明細!$I$3:$I$302,Z$212))</f>
        <v/>
      </c>
      <c r="AA258" s="51" t="str">
        <f aca="false">IF($A258="","",SUMIFS(工数明細!$G$3:$G$302,工数明細!$B$3:$B$302,$A258,工数明細!$I$3:$I$302,AA$212))</f>
        <v/>
      </c>
      <c r="AB258" s="51" t="str">
        <f aca="false">IF($A258="","",SUMIFS(工数明細!$G$3:$G$302,工数明細!$B$3:$B$302,$A258,工数明細!$I$3:$I$302,AB$212))</f>
        <v/>
      </c>
      <c r="AC258" s="51" t="str">
        <f aca="false">IF($A258="","",SUMIFS(工数明細!$G$3:$G$302,工数明細!$B$3:$B$302,$A258,工数明細!$I$3:$I$302,AC$212))</f>
        <v/>
      </c>
      <c r="AD258" s="51" t="str">
        <f aca="false">IF($A258="","",SUMIFS(工数明細!$G$3:$G$302,工数明細!$B$3:$B$302,$A258,工数明細!$I$3:$I$302,AD$212))</f>
        <v/>
      </c>
    </row>
    <row r="259" customFormat="false" ht="15.75" hidden="false" customHeight="true" outlineLevel="0" collapsed="false">
      <c r="A259" s="28" t="str">
        <f aca="false">IF(案件管理!$A$48:$A$48="","",案件管理!$A$48:$A$48)</f>
        <v/>
      </c>
      <c r="B259" s="10" t="str">
        <f aca="false">IF($A259="","",案件管理!$B$48:$B$48)</f>
        <v/>
      </c>
      <c r="C259" s="10" t="str">
        <f aca="false">IF($A259="","",案件管理!$D$48:$D$48)</f>
        <v/>
      </c>
      <c r="D259" s="30" t="str">
        <f aca="false">IF($A259="","",案件管理!$AE$48:$AE$48)</f>
        <v/>
      </c>
      <c r="E259" s="30" t="str">
        <f aca="false">IF($A259="","",SUM($G259:$AD259))</f>
        <v/>
      </c>
      <c r="F259" s="51" t="str">
        <f aca="false">IF($A259="","",N($E53)-N($E259))</f>
        <v/>
      </c>
      <c r="G259" s="51" t="str">
        <f aca="false">IF($A259="","",SUMIFS(工数明細!$G$3:$G$302,工数明細!$B$3:$B$302,$A259,工数明細!$I$3:$I$302,G$212))</f>
        <v/>
      </c>
      <c r="H259" s="51" t="str">
        <f aca="false">IF($A259="","",SUMIFS(工数明細!$G$3:$G$302,工数明細!$B$3:$B$302,$A259,工数明細!$I$3:$I$302,H$212))</f>
        <v/>
      </c>
      <c r="I259" s="51" t="str">
        <f aca="false">IF($A259="","",SUMIFS(工数明細!$G$3:$G$302,工数明細!$B$3:$B$302,$A259,工数明細!$I$3:$I$302,I$212))</f>
        <v/>
      </c>
      <c r="J259" s="51" t="str">
        <f aca="false">IF($A259="","",SUMIFS(工数明細!$G$3:$G$302,工数明細!$B$3:$B$302,$A259,工数明細!$I$3:$I$302,J$212))</f>
        <v/>
      </c>
      <c r="K259" s="51" t="str">
        <f aca="false">IF($A259="","",SUMIFS(工数明細!$G$3:$G$302,工数明細!$B$3:$B$302,$A259,工数明細!$I$3:$I$302,K$212))</f>
        <v/>
      </c>
      <c r="L259" s="51" t="str">
        <f aca="false">IF($A259="","",SUMIFS(工数明細!$G$3:$G$302,工数明細!$B$3:$B$302,$A259,工数明細!$I$3:$I$302,L$212))</f>
        <v/>
      </c>
      <c r="M259" s="51" t="str">
        <f aca="false">IF($A259="","",SUMIFS(工数明細!$G$3:$G$302,工数明細!$B$3:$B$302,$A259,工数明細!$I$3:$I$302,M$212))</f>
        <v/>
      </c>
      <c r="N259" s="51" t="str">
        <f aca="false">IF($A259="","",SUMIFS(工数明細!$G$3:$G$302,工数明細!$B$3:$B$302,$A259,工数明細!$I$3:$I$302,N$212))</f>
        <v/>
      </c>
      <c r="O259" s="51" t="str">
        <f aca="false">IF($A259="","",SUMIFS(工数明細!$G$3:$G$302,工数明細!$B$3:$B$302,$A259,工数明細!$I$3:$I$302,O$212))</f>
        <v/>
      </c>
      <c r="P259" s="51" t="str">
        <f aca="false">IF($A259="","",SUMIFS(工数明細!$G$3:$G$302,工数明細!$B$3:$B$302,$A259,工数明細!$I$3:$I$302,P$212))</f>
        <v/>
      </c>
      <c r="Q259" s="51" t="str">
        <f aca="false">IF($A259="","",SUMIFS(工数明細!$G$3:$G$302,工数明細!$B$3:$B$302,$A259,工数明細!$I$3:$I$302,Q$212))</f>
        <v/>
      </c>
      <c r="R259" s="51" t="str">
        <f aca="false">IF($A259="","",SUMIFS(工数明細!$G$3:$G$302,工数明細!$B$3:$B$302,$A259,工数明細!$I$3:$I$302,R$212))</f>
        <v/>
      </c>
      <c r="S259" s="51" t="str">
        <f aca="false">IF($A259="","",SUMIFS(工数明細!$G$3:$G$302,工数明細!$B$3:$B$302,$A259,工数明細!$I$3:$I$302,S$212))</f>
        <v/>
      </c>
      <c r="T259" s="51" t="str">
        <f aca="false">IF($A259="","",SUMIFS(工数明細!$G$3:$G$302,工数明細!$B$3:$B$302,$A259,工数明細!$I$3:$I$302,T$212))</f>
        <v/>
      </c>
      <c r="U259" s="51" t="str">
        <f aca="false">IF($A259="","",SUMIFS(工数明細!$G$3:$G$302,工数明細!$B$3:$B$302,$A259,工数明細!$I$3:$I$302,U$212))</f>
        <v/>
      </c>
      <c r="V259" s="51" t="str">
        <f aca="false">IF($A259="","",SUMIFS(工数明細!$G$3:$G$302,工数明細!$B$3:$B$302,$A259,工数明細!$I$3:$I$302,V$212))</f>
        <v/>
      </c>
      <c r="W259" s="51" t="str">
        <f aca="false">IF($A259="","",SUMIFS(工数明細!$G$3:$G$302,工数明細!$B$3:$B$302,$A259,工数明細!$I$3:$I$302,W$212))</f>
        <v/>
      </c>
      <c r="X259" s="51" t="str">
        <f aca="false">IF($A259="","",SUMIFS(工数明細!$G$3:$G$302,工数明細!$B$3:$B$302,$A259,工数明細!$I$3:$I$302,X$212))</f>
        <v/>
      </c>
      <c r="Y259" s="51" t="str">
        <f aca="false">IF($A259="","",SUMIFS(工数明細!$G$3:$G$302,工数明細!$B$3:$B$302,$A259,工数明細!$I$3:$I$302,Y$212))</f>
        <v/>
      </c>
      <c r="Z259" s="51" t="str">
        <f aca="false">IF($A259="","",SUMIFS(工数明細!$G$3:$G$302,工数明細!$B$3:$B$302,$A259,工数明細!$I$3:$I$302,Z$212))</f>
        <v/>
      </c>
      <c r="AA259" s="51" t="str">
        <f aca="false">IF($A259="","",SUMIFS(工数明細!$G$3:$G$302,工数明細!$B$3:$B$302,$A259,工数明細!$I$3:$I$302,AA$212))</f>
        <v/>
      </c>
      <c r="AB259" s="51" t="str">
        <f aca="false">IF($A259="","",SUMIFS(工数明細!$G$3:$G$302,工数明細!$B$3:$B$302,$A259,工数明細!$I$3:$I$302,AB$212))</f>
        <v/>
      </c>
      <c r="AC259" s="51" t="str">
        <f aca="false">IF($A259="","",SUMIFS(工数明細!$G$3:$G$302,工数明細!$B$3:$B$302,$A259,工数明細!$I$3:$I$302,AC$212))</f>
        <v/>
      </c>
      <c r="AD259" s="51" t="str">
        <f aca="false">IF($A259="","",SUMIFS(工数明細!$G$3:$G$302,工数明細!$B$3:$B$302,$A259,工数明細!$I$3:$I$302,AD$212))</f>
        <v/>
      </c>
    </row>
    <row r="260" customFormat="false" ht="15.75" hidden="false" customHeight="true" outlineLevel="0" collapsed="false">
      <c r="A260" s="28" t="str">
        <f aca="false">IF(案件管理!$A$49:$A$49="","",案件管理!$A$49:$A$49)</f>
        <v/>
      </c>
      <c r="B260" s="10" t="str">
        <f aca="false">IF($A260="","",案件管理!$B$49:$B$49)</f>
        <v/>
      </c>
      <c r="C260" s="10" t="str">
        <f aca="false">IF($A260="","",案件管理!$D$49:$D$49)</f>
        <v/>
      </c>
      <c r="D260" s="30" t="str">
        <f aca="false">IF($A260="","",案件管理!$AE$49:$AE$49)</f>
        <v/>
      </c>
      <c r="E260" s="30" t="str">
        <f aca="false">IF($A260="","",SUM($G260:$AD260))</f>
        <v/>
      </c>
      <c r="F260" s="51" t="str">
        <f aca="false">IF($A260="","",N($E54)-N($E260))</f>
        <v/>
      </c>
      <c r="G260" s="51" t="str">
        <f aca="false">IF($A260="","",SUMIFS(工数明細!$G$3:$G$302,工数明細!$B$3:$B$302,$A260,工数明細!$I$3:$I$302,G$212))</f>
        <v/>
      </c>
      <c r="H260" s="51" t="str">
        <f aca="false">IF($A260="","",SUMIFS(工数明細!$G$3:$G$302,工数明細!$B$3:$B$302,$A260,工数明細!$I$3:$I$302,H$212))</f>
        <v/>
      </c>
      <c r="I260" s="51" t="str">
        <f aca="false">IF($A260="","",SUMIFS(工数明細!$G$3:$G$302,工数明細!$B$3:$B$302,$A260,工数明細!$I$3:$I$302,I$212))</f>
        <v/>
      </c>
      <c r="J260" s="51" t="str">
        <f aca="false">IF($A260="","",SUMIFS(工数明細!$G$3:$G$302,工数明細!$B$3:$B$302,$A260,工数明細!$I$3:$I$302,J$212))</f>
        <v/>
      </c>
      <c r="K260" s="51" t="str">
        <f aca="false">IF($A260="","",SUMIFS(工数明細!$G$3:$G$302,工数明細!$B$3:$B$302,$A260,工数明細!$I$3:$I$302,K$212))</f>
        <v/>
      </c>
      <c r="L260" s="51" t="str">
        <f aca="false">IF($A260="","",SUMIFS(工数明細!$G$3:$G$302,工数明細!$B$3:$B$302,$A260,工数明細!$I$3:$I$302,L$212))</f>
        <v/>
      </c>
      <c r="M260" s="51" t="str">
        <f aca="false">IF($A260="","",SUMIFS(工数明細!$G$3:$G$302,工数明細!$B$3:$B$302,$A260,工数明細!$I$3:$I$302,M$212))</f>
        <v/>
      </c>
      <c r="N260" s="51" t="str">
        <f aca="false">IF($A260="","",SUMIFS(工数明細!$G$3:$G$302,工数明細!$B$3:$B$302,$A260,工数明細!$I$3:$I$302,N$212))</f>
        <v/>
      </c>
      <c r="O260" s="51" t="str">
        <f aca="false">IF($A260="","",SUMIFS(工数明細!$G$3:$G$302,工数明細!$B$3:$B$302,$A260,工数明細!$I$3:$I$302,O$212))</f>
        <v/>
      </c>
      <c r="P260" s="51" t="str">
        <f aca="false">IF($A260="","",SUMIFS(工数明細!$G$3:$G$302,工数明細!$B$3:$B$302,$A260,工数明細!$I$3:$I$302,P$212))</f>
        <v/>
      </c>
      <c r="Q260" s="51" t="str">
        <f aca="false">IF($A260="","",SUMIFS(工数明細!$G$3:$G$302,工数明細!$B$3:$B$302,$A260,工数明細!$I$3:$I$302,Q$212))</f>
        <v/>
      </c>
      <c r="R260" s="51" t="str">
        <f aca="false">IF($A260="","",SUMIFS(工数明細!$G$3:$G$302,工数明細!$B$3:$B$302,$A260,工数明細!$I$3:$I$302,R$212))</f>
        <v/>
      </c>
      <c r="S260" s="51" t="str">
        <f aca="false">IF($A260="","",SUMIFS(工数明細!$G$3:$G$302,工数明細!$B$3:$B$302,$A260,工数明細!$I$3:$I$302,S$212))</f>
        <v/>
      </c>
      <c r="T260" s="51" t="str">
        <f aca="false">IF($A260="","",SUMIFS(工数明細!$G$3:$G$302,工数明細!$B$3:$B$302,$A260,工数明細!$I$3:$I$302,T$212))</f>
        <v/>
      </c>
      <c r="U260" s="51" t="str">
        <f aca="false">IF($A260="","",SUMIFS(工数明細!$G$3:$G$302,工数明細!$B$3:$B$302,$A260,工数明細!$I$3:$I$302,U$212))</f>
        <v/>
      </c>
      <c r="V260" s="51" t="str">
        <f aca="false">IF($A260="","",SUMIFS(工数明細!$G$3:$G$302,工数明細!$B$3:$B$302,$A260,工数明細!$I$3:$I$302,V$212))</f>
        <v/>
      </c>
      <c r="W260" s="51" t="str">
        <f aca="false">IF($A260="","",SUMIFS(工数明細!$G$3:$G$302,工数明細!$B$3:$B$302,$A260,工数明細!$I$3:$I$302,W$212))</f>
        <v/>
      </c>
      <c r="X260" s="51" t="str">
        <f aca="false">IF($A260="","",SUMIFS(工数明細!$G$3:$G$302,工数明細!$B$3:$B$302,$A260,工数明細!$I$3:$I$302,X$212))</f>
        <v/>
      </c>
      <c r="Y260" s="51" t="str">
        <f aca="false">IF($A260="","",SUMIFS(工数明細!$G$3:$G$302,工数明細!$B$3:$B$302,$A260,工数明細!$I$3:$I$302,Y$212))</f>
        <v/>
      </c>
      <c r="Z260" s="51" t="str">
        <f aca="false">IF($A260="","",SUMIFS(工数明細!$G$3:$G$302,工数明細!$B$3:$B$302,$A260,工数明細!$I$3:$I$302,Z$212))</f>
        <v/>
      </c>
      <c r="AA260" s="51" t="str">
        <f aca="false">IF($A260="","",SUMIFS(工数明細!$G$3:$G$302,工数明細!$B$3:$B$302,$A260,工数明細!$I$3:$I$302,AA$212))</f>
        <v/>
      </c>
      <c r="AB260" s="51" t="str">
        <f aca="false">IF($A260="","",SUMIFS(工数明細!$G$3:$G$302,工数明細!$B$3:$B$302,$A260,工数明細!$I$3:$I$302,AB$212))</f>
        <v/>
      </c>
      <c r="AC260" s="51" t="str">
        <f aca="false">IF($A260="","",SUMIFS(工数明細!$G$3:$G$302,工数明細!$B$3:$B$302,$A260,工数明細!$I$3:$I$302,AC$212))</f>
        <v/>
      </c>
      <c r="AD260" s="51" t="str">
        <f aca="false">IF($A260="","",SUMIFS(工数明細!$G$3:$G$302,工数明細!$B$3:$B$302,$A260,工数明細!$I$3:$I$302,AD$212))</f>
        <v/>
      </c>
    </row>
    <row r="261" customFormat="false" ht="15.75" hidden="false" customHeight="true" outlineLevel="0" collapsed="false">
      <c r="A261" s="28" t="str">
        <f aca="false">IF(案件管理!$A$50:$A$50="","",案件管理!$A$50:$A$50)</f>
        <v/>
      </c>
      <c r="B261" s="10" t="str">
        <f aca="false">IF($A261="","",案件管理!$B$50:$B$50)</f>
        <v/>
      </c>
      <c r="C261" s="10" t="str">
        <f aca="false">IF($A261="","",案件管理!$D$50:$D$50)</f>
        <v/>
      </c>
      <c r="D261" s="30" t="str">
        <f aca="false">IF($A261="","",案件管理!$AE$50:$AE$50)</f>
        <v/>
      </c>
      <c r="E261" s="30" t="str">
        <f aca="false">IF($A261="","",SUM($G261:$AD261))</f>
        <v/>
      </c>
      <c r="F261" s="51" t="str">
        <f aca="false">IF($A261="","",N($E55)-N($E261))</f>
        <v/>
      </c>
      <c r="G261" s="51" t="str">
        <f aca="false">IF($A261="","",SUMIFS(工数明細!$G$3:$G$302,工数明細!$B$3:$B$302,$A261,工数明細!$I$3:$I$302,G$212))</f>
        <v/>
      </c>
      <c r="H261" s="51" t="str">
        <f aca="false">IF($A261="","",SUMIFS(工数明細!$G$3:$G$302,工数明細!$B$3:$B$302,$A261,工数明細!$I$3:$I$302,H$212))</f>
        <v/>
      </c>
      <c r="I261" s="51" t="str">
        <f aca="false">IF($A261="","",SUMIFS(工数明細!$G$3:$G$302,工数明細!$B$3:$B$302,$A261,工数明細!$I$3:$I$302,I$212))</f>
        <v/>
      </c>
      <c r="J261" s="51" t="str">
        <f aca="false">IF($A261="","",SUMIFS(工数明細!$G$3:$G$302,工数明細!$B$3:$B$302,$A261,工数明細!$I$3:$I$302,J$212))</f>
        <v/>
      </c>
      <c r="K261" s="51" t="str">
        <f aca="false">IF($A261="","",SUMIFS(工数明細!$G$3:$G$302,工数明細!$B$3:$B$302,$A261,工数明細!$I$3:$I$302,K$212))</f>
        <v/>
      </c>
      <c r="L261" s="51" t="str">
        <f aca="false">IF($A261="","",SUMIFS(工数明細!$G$3:$G$302,工数明細!$B$3:$B$302,$A261,工数明細!$I$3:$I$302,L$212))</f>
        <v/>
      </c>
      <c r="M261" s="51" t="str">
        <f aca="false">IF($A261="","",SUMIFS(工数明細!$G$3:$G$302,工数明細!$B$3:$B$302,$A261,工数明細!$I$3:$I$302,M$212))</f>
        <v/>
      </c>
      <c r="N261" s="51" t="str">
        <f aca="false">IF($A261="","",SUMIFS(工数明細!$G$3:$G$302,工数明細!$B$3:$B$302,$A261,工数明細!$I$3:$I$302,N$212))</f>
        <v/>
      </c>
      <c r="O261" s="51" t="str">
        <f aca="false">IF($A261="","",SUMIFS(工数明細!$G$3:$G$302,工数明細!$B$3:$B$302,$A261,工数明細!$I$3:$I$302,O$212))</f>
        <v/>
      </c>
      <c r="P261" s="51" t="str">
        <f aca="false">IF($A261="","",SUMIFS(工数明細!$G$3:$G$302,工数明細!$B$3:$B$302,$A261,工数明細!$I$3:$I$302,P$212))</f>
        <v/>
      </c>
      <c r="Q261" s="51" t="str">
        <f aca="false">IF($A261="","",SUMIFS(工数明細!$G$3:$G$302,工数明細!$B$3:$B$302,$A261,工数明細!$I$3:$I$302,Q$212))</f>
        <v/>
      </c>
      <c r="R261" s="51" t="str">
        <f aca="false">IF($A261="","",SUMIFS(工数明細!$G$3:$G$302,工数明細!$B$3:$B$302,$A261,工数明細!$I$3:$I$302,R$212))</f>
        <v/>
      </c>
      <c r="S261" s="51" t="str">
        <f aca="false">IF($A261="","",SUMIFS(工数明細!$G$3:$G$302,工数明細!$B$3:$B$302,$A261,工数明細!$I$3:$I$302,S$212))</f>
        <v/>
      </c>
      <c r="T261" s="51" t="str">
        <f aca="false">IF($A261="","",SUMIFS(工数明細!$G$3:$G$302,工数明細!$B$3:$B$302,$A261,工数明細!$I$3:$I$302,T$212))</f>
        <v/>
      </c>
      <c r="U261" s="51" t="str">
        <f aca="false">IF($A261="","",SUMIFS(工数明細!$G$3:$G$302,工数明細!$B$3:$B$302,$A261,工数明細!$I$3:$I$302,U$212))</f>
        <v/>
      </c>
      <c r="V261" s="51" t="str">
        <f aca="false">IF($A261="","",SUMIFS(工数明細!$G$3:$G$302,工数明細!$B$3:$B$302,$A261,工数明細!$I$3:$I$302,V$212))</f>
        <v/>
      </c>
      <c r="W261" s="51" t="str">
        <f aca="false">IF($A261="","",SUMIFS(工数明細!$G$3:$G$302,工数明細!$B$3:$B$302,$A261,工数明細!$I$3:$I$302,W$212))</f>
        <v/>
      </c>
      <c r="X261" s="51" t="str">
        <f aca="false">IF($A261="","",SUMIFS(工数明細!$G$3:$G$302,工数明細!$B$3:$B$302,$A261,工数明細!$I$3:$I$302,X$212))</f>
        <v/>
      </c>
      <c r="Y261" s="51" t="str">
        <f aca="false">IF($A261="","",SUMIFS(工数明細!$G$3:$G$302,工数明細!$B$3:$B$302,$A261,工数明細!$I$3:$I$302,Y$212))</f>
        <v/>
      </c>
      <c r="Z261" s="51" t="str">
        <f aca="false">IF($A261="","",SUMIFS(工数明細!$G$3:$G$302,工数明細!$B$3:$B$302,$A261,工数明細!$I$3:$I$302,Z$212))</f>
        <v/>
      </c>
      <c r="AA261" s="51" t="str">
        <f aca="false">IF($A261="","",SUMIFS(工数明細!$G$3:$G$302,工数明細!$B$3:$B$302,$A261,工数明細!$I$3:$I$302,AA$212))</f>
        <v/>
      </c>
      <c r="AB261" s="51" t="str">
        <f aca="false">IF($A261="","",SUMIFS(工数明細!$G$3:$G$302,工数明細!$B$3:$B$302,$A261,工数明細!$I$3:$I$302,AB$212))</f>
        <v/>
      </c>
      <c r="AC261" s="51" t="str">
        <f aca="false">IF($A261="","",SUMIFS(工数明細!$G$3:$G$302,工数明細!$B$3:$B$302,$A261,工数明細!$I$3:$I$302,AC$212))</f>
        <v/>
      </c>
      <c r="AD261" s="51" t="str">
        <f aca="false">IF($A261="","",SUMIFS(工数明細!$G$3:$G$302,工数明細!$B$3:$B$302,$A261,工数明細!$I$3:$I$302,AD$212))</f>
        <v/>
      </c>
    </row>
    <row r="262" customFormat="false" ht="15.75" hidden="false" customHeight="true" outlineLevel="0" collapsed="false">
      <c r="A262" s="28" t="str">
        <f aca="false">IF(案件管理!$A$51:$A$51="","",案件管理!$A$51:$A$51)</f>
        <v/>
      </c>
      <c r="B262" s="10" t="str">
        <f aca="false">IF($A262="","",案件管理!$B$51:$B$51)</f>
        <v/>
      </c>
      <c r="C262" s="10" t="str">
        <f aca="false">IF($A262="","",案件管理!$D$51:$D$51)</f>
        <v/>
      </c>
      <c r="D262" s="30" t="str">
        <f aca="false">IF($A262="","",案件管理!$AE$51:$AE$51)</f>
        <v/>
      </c>
      <c r="E262" s="30" t="str">
        <f aca="false">IF($A262="","",SUM($G262:$AD262))</f>
        <v/>
      </c>
      <c r="F262" s="51" t="str">
        <f aca="false">IF($A262="","",N($E56)-N($E262))</f>
        <v/>
      </c>
      <c r="G262" s="51" t="str">
        <f aca="false">IF($A262="","",SUMIFS(工数明細!$G$3:$G$302,工数明細!$B$3:$B$302,$A262,工数明細!$I$3:$I$302,G$212))</f>
        <v/>
      </c>
      <c r="H262" s="51" t="str">
        <f aca="false">IF($A262="","",SUMIFS(工数明細!$G$3:$G$302,工数明細!$B$3:$B$302,$A262,工数明細!$I$3:$I$302,H$212))</f>
        <v/>
      </c>
      <c r="I262" s="51" t="str">
        <f aca="false">IF($A262="","",SUMIFS(工数明細!$G$3:$G$302,工数明細!$B$3:$B$302,$A262,工数明細!$I$3:$I$302,I$212))</f>
        <v/>
      </c>
      <c r="J262" s="51" t="str">
        <f aca="false">IF($A262="","",SUMIFS(工数明細!$G$3:$G$302,工数明細!$B$3:$B$302,$A262,工数明細!$I$3:$I$302,J$212))</f>
        <v/>
      </c>
      <c r="K262" s="51" t="str">
        <f aca="false">IF($A262="","",SUMIFS(工数明細!$G$3:$G$302,工数明細!$B$3:$B$302,$A262,工数明細!$I$3:$I$302,K$212))</f>
        <v/>
      </c>
      <c r="L262" s="51" t="str">
        <f aca="false">IF($A262="","",SUMIFS(工数明細!$G$3:$G$302,工数明細!$B$3:$B$302,$A262,工数明細!$I$3:$I$302,L$212))</f>
        <v/>
      </c>
      <c r="M262" s="51" t="str">
        <f aca="false">IF($A262="","",SUMIFS(工数明細!$G$3:$G$302,工数明細!$B$3:$B$302,$A262,工数明細!$I$3:$I$302,M$212))</f>
        <v/>
      </c>
      <c r="N262" s="51" t="str">
        <f aca="false">IF($A262="","",SUMIFS(工数明細!$G$3:$G$302,工数明細!$B$3:$B$302,$A262,工数明細!$I$3:$I$302,N$212))</f>
        <v/>
      </c>
      <c r="O262" s="51" t="str">
        <f aca="false">IF($A262="","",SUMIFS(工数明細!$G$3:$G$302,工数明細!$B$3:$B$302,$A262,工数明細!$I$3:$I$302,O$212))</f>
        <v/>
      </c>
      <c r="P262" s="51" t="str">
        <f aca="false">IF($A262="","",SUMIFS(工数明細!$G$3:$G$302,工数明細!$B$3:$B$302,$A262,工数明細!$I$3:$I$302,P$212))</f>
        <v/>
      </c>
      <c r="Q262" s="51" t="str">
        <f aca="false">IF($A262="","",SUMIFS(工数明細!$G$3:$G$302,工数明細!$B$3:$B$302,$A262,工数明細!$I$3:$I$302,Q$212))</f>
        <v/>
      </c>
      <c r="R262" s="51" t="str">
        <f aca="false">IF($A262="","",SUMIFS(工数明細!$G$3:$G$302,工数明細!$B$3:$B$302,$A262,工数明細!$I$3:$I$302,R$212))</f>
        <v/>
      </c>
      <c r="S262" s="51" t="str">
        <f aca="false">IF($A262="","",SUMIFS(工数明細!$G$3:$G$302,工数明細!$B$3:$B$302,$A262,工数明細!$I$3:$I$302,S$212))</f>
        <v/>
      </c>
      <c r="T262" s="51" t="str">
        <f aca="false">IF($A262="","",SUMIFS(工数明細!$G$3:$G$302,工数明細!$B$3:$B$302,$A262,工数明細!$I$3:$I$302,T$212))</f>
        <v/>
      </c>
      <c r="U262" s="51" t="str">
        <f aca="false">IF($A262="","",SUMIFS(工数明細!$G$3:$G$302,工数明細!$B$3:$B$302,$A262,工数明細!$I$3:$I$302,U$212))</f>
        <v/>
      </c>
      <c r="V262" s="51" t="str">
        <f aca="false">IF($A262="","",SUMIFS(工数明細!$G$3:$G$302,工数明細!$B$3:$B$302,$A262,工数明細!$I$3:$I$302,V$212))</f>
        <v/>
      </c>
      <c r="W262" s="51" t="str">
        <f aca="false">IF($A262="","",SUMIFS(工数明細!$G$3:$G$302,工数明細!$B$3:$B$302,$A262,工数明細!$I$3:$I$302,W$212))</f>
        <v/>
      </c>
      <c r="X262" s="51" t="str">
        <f aca="false">IF($A262="","",SUMIFS(工数明細!$G$3:$G$302,工数明細!$B$3:$B$302,$A262,工数明細!$I$3:$I$302,X$212))</f>
        <v/>
      </c>
      <c r="Y262" s="51" t="str">
        <f aca="false">IF($A262="","",SUMIFS(工数明細!$G$3:$G$302,工数明細!$B$3:$B$302,$A262,工数明細!$I$3:$I$302,Y$212))</f>
        <v/>
      </c>
      <c r="Z262" s="51" t="str">
        <f aca="false">IF($A262="","",SUMIFS(工数明細!$G$3:$G$302,工数明細!$B$3:$B$302,$A262,工数明細!$I$3:$I$302,Z$212))</f>
        <v/>
      </c>
      <c r="AA262" s="51" t="str">
        <f aca="false">IF($A262="","",SUMIFS(工数明細!$G$3:$G$302,工数明細!$B$3:$B$302,$A262,工数明細!$I$3:$I$302,AA$212))</f>
        <v/>
      </c>
      <c r="AB262" s="51" t="str">
        <f aca="false">IF($A262="","",SUMIFS(工数明細!$G$3:$G$302,工数明細!$B$3:$B$302,$A262,工数明細!$I$3:$I$302,AB$212))</f>
        <v/>
      </c>
      <c r="AC262" s="51" t="str">
        <f aca="false">IF($A262="","",SUMIFS(工数明細!$G$3:$G$302,工数明細!$B$3:$B$302,$A262,工数明細!$I$3:$I$302,AC$212))</f>
        <v/>
      </c>
      <c r="AD262" s="51" t="str">
        <f aca="false">IF($A262="","",SUMIFS(工数明細!$G$3:$G$302,工数明細!$B$3:$B$302,$A262,工数明細!$I$3:$I$302,AD$212))</f>
        <v/>
      </c>
    </row>
    <row r="263" customFormat="false" ht="15.75" hidden="false" customHeight="true" outlineLevel="0" collapsed="false">
      <c r="A263" s="28" t="str">
        <f aca="false">IF(案件管理!$A$52:$A$52="","",案件管理!$A$52:$A$52)</f>
        <v/>
      </c>
      <c r="B263" s="10" t="str">
        <f aca="false">IF($A263="","",案件管理!$B$52:$B$52)</f>
        <v/>
      </c>
      <c r="C263" s="10" t="str">
        <f aca="false">IF($A263="","",案件管理!$D$52:$D$52)</f>
        <v/>
      </c>
      <c r="D263" s="30" t="str">
        <f aca="false">IF($A263="","",案件管理!$AE$52:$AE$52)</f>
        <v/>
      </c>
      <c r="E263" s="30" t="str">
        <f aca="false">IF($A263="","",SUM($G263:$AD263))</f>
        <v/>
      </c>
      <c r="F263" s="51" t="str">
        <f aca="false">IF($A263="","",N($E57)-N($E263))</f>
        <v/>
      </c>
      <c r="G263" s="51" t="str">
        <f aca="false">IF($A263="","",SUMIFS(工数明細!$G$3:$G$302,工数明細!$B$3:$B$302,$A263,工数明細!$I$3:$I$302,G$212))</f>
        <v/>
      </c>
      <c r="H263" s="51" t="str">
        <f aca="false">IF($A263="","",SUMIFS(工数明細!$G$3:$G$302,工数明細!$B$3:$B$302,$A263,工数明細!$I$3:$I$302,H$212))</f>
        <v/>
      </c>
      <c r="I263" s="51" t="str">
        <f aca="false">IF($A263="","",SUMIFS(工数明細!$G$3:$G$302,工数明細!$B$3:$B$302,$A263,工数明細!$I$3:$I$302,I$212))</f>
        <v/>
      </c>
      <c r="J263" s="51" t="str">
        <f aca="false">IF($A263="","",SUMIFS(工数明細!$G$3:$G$302,工数明細!$B$3:$B$302,$A263,工数明細!$I$3:$I$302,J$212))</f>
        <v/>
      </c>
      <c r="K263" s="51" t="str">
        <f aca="false">IF($A263="","",SUMIFS(工数明細!$G$3:$G$302,工数明細!$B$3:$B$302,$A263,工数明細!$I$3:$I$302,K$212))</f>
        <v/>
      </c>
      <c r="L263" s="51" t="str">
        <f aca="false">IF($A263="","",SUMIFS(工数明細!$G$3:$G$302,工数明細!$B$3:$B$302,$A263,工数明細!$I$3:$I$302,L$212))</f>
        <v/>
      </c>
      <c r="M263" s="51" t="str">
        <f aca="false">IF($A263="","",SUMIFS(工数明細!$G$3:$G$302,工数明細!$B$3:$B$302,$A263,工数明細!$I$3:$I$302,M$212))</f>
        <v/>
      </c>
      <c r="N263" s="51" t="str">
        <f aca="false">IF($A263="","",SUMIFS(工数明細!$G$3:$G$302,工数明細!$B$3:$B$302,$A263,工数明細!$I$3:$I$302,N$212))</f>
        <v/>
      </c>
      <c r="O263" s="51" t="str">
        <f aca="false">IF($A263="","",SUMIFS(工数明細!$G$3:$G$302,工数明細!$B$3:$B$302,$A263,工数明細!$I$3:$I$302,O$212))</f>
        <v/>
      </c>
      <c r="P263" s="51" t="str">
        <f aca="false">IF($A263="","",SUMIFS(工数明細!$G$3:$G$302,工数明細!$B$3:$B$302,$A263,工数明細!$I$3:$I$302,P$212))</f>
        <v/>
      </c>
      <c r="Q263" s="51" t="str">
        <f aca="false">IF($A263="","",SUMIFS(工数明細!$G$3:$G$302,工数明細!$B$3:$B$302,$A263,工数明細!$I$3:$I$302,Q$212))</f>
        <v/>
      </c>
      <c r="R263" s="51" t="str">
        <f aca="false">IF($A263="","",SUMIFS(工数明細!$G$3:$G$302,工数明細!$B$3:$B$302,$A263,工数明細!$I$3:$I$302,R$212))</f>
        <v/>
      </c>
      <c r="S263" s="51" t="str">
        <f aca="false">IF($A263="","",SUMIFS(工数明細!$G$3:$G$302,工数明細!$B$3:$B$302,$A263,工数明細!$I$3:$I$302,S$212))</f>
        <v/>
      </c>
      <c r="T263" s="51" t="str">
        <f aca="false">IF($A263="","",SUMIFS(工数明細!$G$3:$G$302,工数明細!$B$3:$B$302,$A263,工数明細!$I$3:$I$302,T$212))</f>
        <v/>
      </c>
      <c r="U263" s="51" t="str">
        <f aca="false">IF($A263="","",SUMIFS(工数明細!$G$3:$G$302,工数明細!$B$3:$B$302,$A263,工数明細!$I$3:$I$302,U$212))</f>
        <v/>
      </c>
      <c r="V263" s="51" t="str">
        <f aca="false">IF($A263="","",SUMIFS(工数明細!$G$3:$G$302,工数明細!$B$3:$B$302,$A263,工数明細!$I$3:$I$302,V$212))</f>
        <v/>
      </c>
      <c r="W263" s="51" t="str">
        <f aca="false">IF($A263="","",SUMIFS(工数明細!$G$3:$G$302,工数明細!$B$3:$B$302,$A263,工数明細!$I$3:$I$302,W$212))</f>
        <v/>
      </c>
      <c r="X263" s="51" t="str">
        <f aca="false">IF($A263="","",SUMIFS(工数明細!$G$3:$G$302,工数明細!$B$3:$B$302,$A263,工数明細!$I$3:$I$302,X$212))</f>
        <v/>
      </c>
      <c r="Y263" s="51" t="str">
        <f aca="false">IF($A263="","",SUMIFS(工数明細!$G$3:$G$302,工数明細!$B$3:$B$302,$A263,工数明細!$I$3:$I$302,Y$212))</f>
        <v/>
      </c>
      <c r="Z263" s="51" t="str">
        <f aca="false">IF($A263="","",SUMIFS(工数明細!$G$3:$G$302,工数明細!$B$3:$B$302,$A263,工数明細!$I$3:$I$302,Z$212))</f>
        <v/>
      </c>
      <c r="AA263" s="51" t="str">
        <f aca="false">IF($A263="","",SUMIFS(工数明細!$G$3:$G$302,工数明細!$B$3:$B$302,$A263,工数明細!$I$3:$I$302,AA$212))</f>
        <v/>
      </c>
      <c r="AB263" s="51" t="str">
        <f aca="false">IF($A263="","",SUMIFS(工数明細!$G$3:$G$302,工数明細!$B$3:$B$302,$A263,工数明細!$I$3:$I$302,AB$212))</f>
        <v/>
      </c>
      <c r="AC263" s="51" t="str">
        <f aca="false">IF($A263="","",SUMIFS(工数明細!$G$3:$G$302,工数明細!$B$3:$B$302,$A263,工数明細!$I$3:$I$302,AC$212))</f>
        <v/>
      </c>
      <c r="AD263" s="51" t="str">
        <f aca="false">IF($A263="","",SUMIFS(工数明細!$G$3:$G$302,工数明細!$B$3:$B$302,$A263,工数明細!$I$3:$I$302,AD$212))</f>
        <v/>
      </c>
    </row>
    <row r="264" customFormat="false" ht="15.75" hidden="false" customHeight="true" outlineLevel="0" collapsed="false">
      <c r="A264" s="28" t="str">
        <f aca="false">IF(案件管理!$A$53:$A$53="","",案件管理!$A$53:$A$53)</f>
        <v/>
      </c>
      <c r="B264" s="10" t="str">
        <f aca="false">IF($A264="","",案件管理!$B$53:$B$53)</f>
        <v/>
      </c>
      <c r="C264" s="10" t="str">
        <f aca="false">IF($A264="","",案件管理!$D$53:$D$53)</f>
        <v/>
      </c>
      <c r="D264" s="30" t="str">
        <f aca="false">IF($A264="","",案件管理!$AE$53:$AE$53)</f>
        <v/>
      </c>
      <c r="E264" s="30" t="str">
        <f aca="false">IF($A264="","",SUM($G264:$AD264))</f>
        <v/>
      </c>
      <c r="F264" s="51" t="str">
        <f aca="false">IF($A264="","",N($E58)-N($E264))</f>
        <v/>
      </c>
      <c r="G264" s="51" t="str">
        <f aca="false">IF($A264="","",SUMIFS(工数明細!$G$3:$G$302,工数明細!$B$3:$B$302,$A264,工数明細!$I$3:$I$302,G$212))</f>
        <v/>
      </c>
      <c r="H264" s="51" t="str">
        <f aca="false">IF($A264="","",SUMIFS(工数明細!$G$3:$G$302,工数明細!$B$3:$B$302,$A264,工数明細!$I$3:$I$302,H$212))</f>
        <v/>
      </c>
      <c r="I264" s="51" t="str">
        <f aca="false">IF($A264="","",SUMIFS(工数明細!$G$3:$G$302,工数明細!$B$3:$B$302,$A264,工数明細!$I$3:$I$302,I$212))</f>
        <v/>
      </c>
      <c r="J264" s="51" t="str">
        <f aca="false">IF($A264="","",SUMIFS(工数明細!$G$3:$G$302,工数明細!$B$3:$B$302,$A264,工数明細!$I$3:$I$302,J$212))</f>
        <v/>
      </c>
      <c r="K264" s="51" t="str">
        <f aca="false">IF($A264="","",SUMIFS(工数明細!$G$3:$G$302,工数明細!$B$3:$B$302,$A264,工数明細!$I$3:$I$302,K$212))</f>
        <v/>
      </c>
      <c r="L264" s="51" t="str">
        <f aca="false">IF($A264="","",SUMIFS(工数明細!$G$3:$G$302,工数明細!$B$3:$B$302,$A264,工数明細!$I$3:$I$302,L$212))</f>
        <v/>
      </c>
      <c r="M264" s="51" t="str">
        <f aca="false">IF($A264="","",SUMIFS(工数明細!$G$3:$G$302,工数明細!$B$3:$B$302,$A264,工数明細!$I$3:$I$302,M$212))</f>
        <v/>
      </c>
      <c r="N264" s="51" t="str">
        <f aca="false">IF($A264="","",SUMIFS(工数明細!$G$3:$G$302,工数明細!$B$3:$B$302,$A264,工数明細!$I$3:$I$302,N$212))</f>
        <v/>
      </c>
      <c r="O264" s="51" t="str">
        <f aca="false">IF($A264="","",SUMIFS(工数明細!$G$3:$G$302,工数明細!$B$3:$B$302,$A264,工数明細!$I$3:$I$302,O$212))</f>
        <v/>
      </c>
      <c r="P264" s="51" t="str">
        <f aca="false">IF($A264="","",SUMIFS(工数明細!$G$3:$G$302,工数明細!$B$3:$B$302,$A264,工数明細!$I$3:$I$302,P$212))</f>
        <v/>
      </c>
      <c r="Q264" s="51" t="str">
        <f aca="false">IF($A264="","",SUMIFS(工数明細!$G$3:$G$302,工数明細!$B$3:$B$302,$A264,工数明細!$I$3:$I$302,Q$212))</f>
        <v/>
      </c>
      <c r="R264" s="51" t="str">
        <f aca="false">IF($A264="","",SUMIFS(工数明細!$G$3:$G$302,工数明細!$B$3:$B$302,$A264,工数明細!$I$3:$I$302,R$212))</f>
        <v/>
      </c>
      <c r="S264" s="51" t="str">
        <f aca="false">IF($A264="","",SUMIFS(工数明細!$G$3:$G$302,工数明細!$B$3:$B$302,$A264,工数明細!$I$3:$I$302,S$212))</f>
        <v/>
      </c>
      <c r="T264" s="51" t="str">
        <f aca="false">IF($A264="","",SUMIFS(工数明細!$G$3:$G$302,工数明細!$B$3:$B$302,$A264,工数明細!$I$3:$I$302,T$212))</f>
        <v/>
      </c>
      <c r="U264" s="51" t="str">
        <f aca="false">IF($A264="","",SUMIFS(工数明細!$G$3:$G$302,工数明細!$B$3:$B$302,$A264,工数明細!$I$3:$I$302,U$212))</f>
        <v/>
      </c>
      <c r="V264" s="51" t="str">
        <f aca="false">IF($A264="","",SUMIFS(工数明細!$G$3:$G$302,工数明細!$B$3:$B$302,$A264,工数明細!$I$3:$I$302,V$212))</f>
        <v/>
      </c>
      <c r="W264" s="51" t="str">
        <f aca="false">IF($A264="","",SUMIFS(工数明細!$G$3:$G$302,工数明細!$B$3:$B$302,$A264,工数明細!$I$3:$I$302,W$212))</f>
        <v/>
      </c>
      <c r="X264" s="51" t="str">
        <f aca="false">IF($A264="","",SUMIFS(工数明細!$G$3:$G$302,工数明細!$B$3:$B$302,$A264,工数明細!$I$3:$I$302,X$212))</f>
        <v/>
      </c>
      <c r="Y264" s="51" t="str">
        <f aca="false">IF($A264="","",SUMIFS(工数明細!$G$3:$G$302,工数明細!$B$3:$B$302,$A264,工数明細!$I$3:$I$302,Y$212))</f>
        <v/>
      </c>
      <c r="Z264" s="51" t="str">
        <f aca="false">IF($A264="","",SUMIFS(工数明細!$G$3:$G$302,工数明細!$B$3:$B$302,$A264,工数明細!$I$3:$I$302,Z$212))</f>
        <v/>
      </c>
      <c r="AA264" s="51" t="str">
        <f aca="false">IF($A264="","",SUMIFS(工数明細!$G$3:$G$302,工数明細!$B$3:$B$302,$A264,工数明細!$I$3:$I$302,AA$212))</f>
        <v/>
      </c>
      <c r="AB264" s="51" t="str">
        <f aca="false">IF($A264="","",SUMIFS(工数明細!$G$3:$G$302,工数明細!$B$3:$B$302,$A264,工数明細!$I$3:$I$302,AB$212))</f>
        <v/>
      </c>
      <c r="AC264" s="51" t="str">
        <f aca="false">IF($A264="","",SUMIFS(工数明細!$G$3:$G$302,工数明細!$B$3:$B$302,$A264,工数明細!$I$3:$I$302,AC$212))</f>
        <v/>
      </c>
      <c r="AD264" s="51" t="str">
        <f aca="false">IF($A264="","",SUMIFS(工数明細!$G$3:$G$302,工数明細!$B$3:$B$302,$A264,工数明細!$I$3:$I$302,AD$212))</f>
        <v/>
      </c>
    </row>
    <row r="265" customFormat="false" ht="15.75" hidden="false" customHeight="true" outlineLevel="0" collapsed="false">
      <c r="A265" s="28" t="str">
        <f aca="false">IF(案件管理!$A$54:$A$54="","",案件管理!$A$54:$A$54)</f>
        <v/>
      </c>
      <c r="B265" s="10" t="str">
        <f aca="false">IF($A265="","",案件管理!$B$54:$B$54)</f>
        <v/>
      </c>
      <c r="C265" s="10" t="str">
        <f aca="false">IF($A265="","",案件管理!$D$54:$D$54)</f>
        <v/>
      </c>
      <c r="D265" s="30" t="str">
        <f aca="false">IF($A265="","",案件管理!$AE$54:$AE$54)</f>
        <v/>
      </c>
      <c r="E265" s="30" t="str">
        <f aca="false">IF($A265="","",SUM($G265:$AD265))</f>
        <v/>
      </c>
      <c r="F265" s="51" t="str">
        <f aca="false">IF($A265="","",N($E59)-N($E265))</f>
        <v/>
      </c>
      <c r="G265" s="51" t="str">
        <f aca="false">IF($A265="","",SUMIFS(工数明細!$G$3:$G$302,工数明細!$B$3:$B$302,$A265,工数明細!$I$3:$I$302,G$212))</f>
        <v/>
      </c>
      <c r="H265" s="51" t="str">
        <f aca="false">IF($A265="","",SUMIFS(工数明細!$G$3:$G$302,工数明細!$B$3:$B$302,$A265,工数明細!$I$3:$I$302,H$212))</f>
        <v/>
      </c>
      <c r="I265" s="51" t="str">
        <f aca="false">IF($A265="","",SUMIFS(工数明細!$G$3:$G$302,工数明細!$B$3:$B$302,$A265,工数明細!$I$3:$I$302,I$212))</f>
        <v/>
      </c>
      <c r="J265" s="51" t="str">
        <f aca="false">IF($A265="","",SUMIFS(工数明細!$G$3:$G$302,工数明細!$B$3:$B$302,$A265,工数明細!$I$3:$I$302,J$212))</f>
        <v/>
      </c>
      <c r="K265" s="51" t="str">
        <f aca="false">IF($A265="","",SUMIFS(工数明細!$G$3:$G$302,工数明細!$B$3:$B$302,$A265,工数明細!$I$3:$I$302,K$212))</f>
        <v/>
      </c>
      <c r="L265" s="51" t="str">
        <f aca="false">IF($A265="","",SUMIFS(工数明細!$G$3:$G$302,工数明細!$B$3:$B$302,$A265,工数明細!$I$3:$I$302,L$212))</f>
        <v/>
      </c>
      <c r="M265" s="51" t="str">
        <f aca="false">IF($A265="","",SUMIFS(工数明細!$G$3:$G$302,工数明細!$B$3:$B$302,$A265,工数明細!$I$3:$I$302,M$212))</f>
        <v/>
      </c>
      <c r="N265" s="51" t="str">
        <f aca="false">IF($A265="","",SUMIFS(工数明細!$G$3:$G$302,工数明細!$B$3:$B$302,$A265,工数明細!$I$3:$I$302,N$212))</f>
        <v/>
      </c>
      <c r="O265" s="51" t="str">
        <f aca="false">IF($A265="","",SUMIFS(工数明細!$G$3:$G$302,工数明細!$B$3:$B$302,$A265,工数明細!$I$3:$I$302,O$212))</f>
        <v/>
      </c>
      <c r="P265" s="51" t="str">
        <f aca="false">IF($A265="","",SUMIFS(工数明細!$G$3:$G$302,工数明細!$B$3:$B$302,$A265,工数明細!$I$3:$I$302,P$212))</f>
        <v/>
      </c>
      <c r="Q265" s="51" t="str">
        <f aca="false">IF($A265="","",SUMIFS(工数明細!$G$3:$G$302,工数明細!$B$3:$B$302,$A265,工数明細!$I$3:$I$302,Q$212))</f>
        <v/>
      </c>
      <c r="R265" s="51" t="str">
        <f aca="false">IF($A265="","",SUMIFS(工数明細!$G$3:$G$302,工数明細!$B$3:$B$302,$A265,工数明細!$I$3:$I$302,R$212))</f>
        <v/>
      </c>
      <c r="S265" s="51" t="str">
        <f aca="false">IF($A265="","",SUMIFS(工数明細!$G$3:$G$302,工数明細!$B$3:$B$302,$A265,工数明細!$I$3:$I$302,S$212))</f>
        <v/>
      </c>
      <c r="T265" s="51" t="str">
        <f aca="false">IF($A265="","",SUMIFS(工数明細!$G$3:$G$302,工数明細!$B$3:$B$302,$A265,工数明細!$I$3:$I$302,T$212))</f>
        <v/>
      </c>
      <c r="U265" s="51" t="str">
        <f aca="false">IF($A265="","",SUMIFS(工数明細!$G$3:$G$302,工数明細!$B$3:$B$302,$A265,工数明細!$I$3:$I$302,U$212))</f>
        <v/>
      </c>
      <c r="V265" s="51" t="str">
        <f aca="false">IF($A265="","",SUMIFS(工数明細!$G$3:$G$302,工数明細!$B$3:$B$302,$A265,工数明細!$I$3:$I$302,V$212))</f>
        <v/>
      </c>
      <c r="W265" s="51" t="str">
        <f aca="false">IF($A265="","",SUMIFS(工数明細!$G$3:$G$302,工数明細!$B$3:$B$302,$A265,工数明細!$I$3:$I$302,W$212))</f>
        <v/>
      </c>
      <c r="X265" s="51" t="str">
        <f aca="false">IF($A265="","",SUMIFS(工数明細!$G$3:$G$302,工数明細!$B$3:$B$302,$A265,工数明細!$I$3:$I$302,X$212))</f>
        <v/>
      </c>
      <c r="Y265" s="51" t="str">
        <f aca="false">IF($A265="","",SUMIFS(工数明細!$G$3:$G$302,工数明細!$B$3:$B$302,$A265,工数明細!$I$3:$I$302,Y$212))</f>
        <v/>
      </c>
      <c r="Z265" s="51" t="str">
        <f aca="false">IF($A265="","",SUMIFS(工数明細!$G$3:$G$302,工数明細!$B$3:$B$302,$A265,工数明細!$I$3:$I$302,Z$212))</f>
        <v/>
      </c>
      <c r="AA265" s="51" t="str">
        <f aca="false">IF($A265="","",SUMIFS(工数明細!$G$3:$G$302,工数明細!$B$3:$B$302,$A265,工数明細!$I$3:$I$302,AA$212))</f>
        <v/>
      </c>
      <c r="AB265" s="51" t="str">
        <f aca="false">IF($A265="","",SUMIFS(工数明細!$G$3:$G$302,工数明細!$B$3:$B$302,$A265,工数明細!$I$3:$I$302,AB$212))</f>
        <v/>
      </c>
      <c r="AC265" s="51" t="str">
        <f aca="false">IF($A265="","",SUMIFS(工数明細!$G$3:$G$302,工数明細!$B$3:$B$302,$A265,工数明細!$I$3:$I$302,AC$212))</f>
        <v/>
      </c>
      <c r="AD265" s="51" t="str">
        <f aca="false">IF($A265="","",SUMIFS(工数明細!$G$3:$G$302,工数明細!$B$3:$B$302,$A265,工数明細!$I$3:$I$302,AD$212))</f>
        <v/>
      </c>
    </row>
    <row r="266" customFormat="false" ht="15.75" hidden="false" customHeight="true" outlineLevel="0" collapsed="false">
      <c r="A266" s="28" t="str">
        <f aca="false">IF(案件管理!$A$55:$A$55="","",案件管理!$A$55:$A$55)</f>
        <v/>
      </c>
      <c r="B266" s="10" t="str">
        <f aca="false">IF($A266="","",案件管理!$B$55:$B$55)</f>
        <v/>
      </c>
      <c r="C266" s="10" t="str">
        <f aca="false">IF($A266="","",案件管理!$D$55:$D$55)</f>
        <v/>
      </c>
      <c r="D266" s="30" t="str">
        <f aca="false">IF($A266="","",案件管理!$AE$55:$AE$55)</f>
        <v/>
      </c>
      <c r="E266" s="30" t="str">
        <f aca="false">IF($A266="","",SUM($G266:$AD266))</f>
        <v/>
      </c>
      <c r="F266" s="51" t="str">
        <f aca="false">IF($A266="","",N($E60)-N($E266))</f>
        <v/>
      </c>
      <c r="G266" s="51" t="str">
        <f aca="false">IF($A266="","",SUMIFS(工数明細!$G$3:$G$302,工数明細!$B$3:$B$302,$A266,工数明細!$I$3:$I$302,G$212))</f>
        <v/>
      </c>
      <c r="H266" s="51" t="str">
        <f aca="false">IF($A266="","",SUMIFS(工数明細!$G$3:$G$302,工数明細!$B$3:$B$302,$A266,工数明細!$I$3:$I$302,H$212))</f>
        <v/>
      </c>
      <c r="I266" s="51" t="str">
        <f aca="false">IF($A266="","",SUMIFS(工数明細!$G$3:$G$302,工数明細!$B$3:$B$302,$A266,工数明細!$I$3:$I$302,I$212))</f>
        <v/>
      </c>
      <c r="J266" s="51" t="str">
        <f aca="false">IF($A266="","",SUMIFS(工数明細!$G$3:$G$302,工数明細!$B$3:$B$302,$A266,工数明細!$I$3:$I$302,J$212))</f>
        <v/>
      </c>
      <c r="K266" s="51" t="str">
        <f aca="false">IF($A266="","",SUMIFS(工数明細!$G$3:$G$302,工数明細!$B$3:$B$302,$A266,工数明細!$I$3:$I$302,K$212))</f>
        <v/>
      </c>
      <c r="L266" s="51" t="str">
        <f aca="false">IF($A266="","",SUMIFS(工数明細!$G$3:$G$302,工数明細!$B$3:$B$302,$A266,工数明細!$I$3:$I$302,L$212))</f>
        <v/>
      </c>
      <c r="M266" s="51" t="str">
        <f aca="false">IF($A266="","",SUMIFS(工数明細!$G$3:$G$302,工数明細!$B$3:$B$302,$A266,工数明細!$I$3:$I$302,M$212))</f>
        <v/>
      </c>
      <c r="N266" s="51" t="str">
        <f aca="false">IF($A266="","",SUMIFS(工数明細!$G$3:$G$302,工数明細!$B$3:$B$302,$A266,工数明細!$I$3:$I$302,N$212))</f>
        <v/>
      </c>
      <c r="O266" s="51" t="str">
        <f aca="false">IF($A266="","",SUMIFS(工数明細!$G$3:$G$302,工数明細!$B$3:$B$302,$A266,工数明細!$I$3:$I$302,O$212))</f>
        <v/>
      </c>
      <c r="P266" s="51" t="str">
        <f aca="false">IF($A266="","",SUMIFS(工数明細!$G$3:$G$302,工数明細!$B$3:$B$302,$A266,工数明細!$I$3:$I$302,P$212))</f>
        <v/>
      </c>
      <c r="Q266" s="51" t="str">
        <f aca="false">IF($A266="","",SUMIFS(工数明細!$G$3:$G$302,工数明細!$B$3:$B$302,$A266,工数明細!$I$3:$I$302,Q$212))</f>
        <v/>
      </c>
      <c r="R266" s="51" t="str">
        <f aca="false">IF($A266="","",SUMIFS(工数明細!$G$3:$G$302,工数明細!$B$3:$B$302,$A266,工数明細!$I$3:$I$302,R$212))</f>
        <v/>
      </c>
      <c r="S266" s="51" t="str">
        <f aca="false">IF($A266="","",SUMIFS(工数明細!$G$3:$G$302,工数明細!$B$3:$B$302,$A266,工数明細!$I$3:$I$302,S$212))</f>
        <v/>
      </c>
      <c r="T266" s="51" t="str">
        <f aca="false">IF($A266="","",SUMIFS(工数明細!$G$3:$G$302,工数明細!$B$3:$B$302,$A266,工数明細!$I$3:$I$302,T$212))</f>
        <v/>
      </c>
      <c r="U266" s="51" t="str">
        <f aca="false">IF($A266="","",SUMIFS(工数明細!$G$3:$G$302,工数明細!$B$3:$B$302,$A266,工数明細!$I$3:$I$302,U$212))</f>
        <v/>
      </c>
      <c r="V266" s="51" t="str">
        <f aca="false">IF($A266="","",SUMIFS(工数明細!$G$3:$G$302,工数明細!$B$3:$B$302,$A266,工数明細!$I$3:$I$302,V$212))</f>
        <v/>
      </c>
      <c r="W266" s="51" t="str">
        <f aca="false">IF($A266="","",SUMIFS(工数明細!$G$3:$G$302,工数明細!$B$3:$B$302,$A266,工数明細!$I$3:$I$302,W$212))</f>
        <v/>
      </c>
      <c r="X266" s="51" t="str">
        <f aca="false">IF($A266="","",SUMIFS(工数明細!$G$3:$G$302,工数明細!$B$3:$B$302,$A266,工数明細!$I$3:$I$302,X$212))</f>
        <v/>
      </c>
      <c r="Y266" s="51" t="str">
        <f aca="false">IF($A266="","",SUMIFS(工数明細!$G$3:$G$302,工数明細!$B$3:$B$302,$A266,工数明細!$I$3:$I$302,Y$212))</f>
        <v/>
      </c>
      <c r="Z266" s="51" t="str">
        <f aca="false">IF($A266="","",SUMIFS(工数明細!$G$3:$G$302,工数明細!$B$3:$B$302,$A266,工数明細!$I$3:$I$302,Z$212))</f>
        <v/>
      </c>
      <c r="AA266" s="51" t="str">
        <f aca="false">IF($A266="","",SUMIFS(工数明細!$G$3:$G$302,工数明細!$B$3:$B$302,$A266,工数明細!$I$3:$I$302,AA$212))</f>
        <v/>
      </c>
      <c r="AB266" s="51" t="str">
        <f aca="false">IF($A266="","",SUMIFS(工数明細!$G$3:$G$302,工数明細!$B$3:$B$302,$A266,工数明細!$I$3:$I$302,AB$212))</f>
        <v/>
      </c>
      <c r="AC266" s="51" t="str">
        <f aca="false">IF($A266="","",SUMIFS(工数明細!$G$3:$G$302,工数明細!$B$3:$B$302,$A266,工数明細!$I$3:$I$302,AC$212))</f>
        <v/>
      </c>
      <c r="AD266" s="51" t="str">
        <f aca="false">IF($A266="","",SUMIFS(工数明細!$G$3:$G$302,工数明細!$B$3:$B$302,$A266,工数明細!$I$3:$I$302,AD$212))</f>
        <v/>
      </c>
    </row>
    <row r="267" customFormat="false" ht="15.75" hidden="false" customHeight="true" outlineLevel="0" collapsed="false">
      <c r="A267" s="28" t="str">
        <f aca="false">IF(案件管理!$A$56:$A$56="","",案件管理!$A$56:$A$56)</f>
        <v/>
      </c>
      <c r="B267" s="10" t="str">
        <f aca="false">IF($A267="","",案件管理!$B$56:$B$56)</f>
        <v/>
      </c>
      <c r="C267" s="10" t="str">
        <f aca="false">IF($A267="","",案件管理!$D$56:$D$56)</f>
        <v/>
      </c>
      <c r="D267" s="30" t="str">
        <f aca="false">IF($A267="","",案件管理!$AE$56:$AE$56)</f>
        <v/>
      </c>
      <c r="E267" s="30" t="str">
        <f aca="false">IF($A267="","",SUM($G267:$AD267))</f>
        <v/>
      </c>
      <c r="F267" s="51" t="str">
        <f aca="false">IF($A267="","",N($E61)-N($E267))</f>
        <v/>
      </c>
      <c r="G267" s="51" t="str">
        <f aca="false">IF($A267="","",SUMIFS(工数明細!$G$3:$G$302,工数明細!$B$3:$B$302,$A267,工数明細!$I$3:$I$302,G$212))</f>
        <v/>
      </c>
      <c r="H267" s="51" t="str">
        <f aca="false">IF($A267="","",SUMIFS(工数明細!$G$3:$G$302,工数明細!$B$3:$B$302,$A267,工数明細!$I$3:$I$302,H$212))</f>
        <v/>
      </c>
      <c r="I267" s="51" t="str">
        <f aca="false">IF($A267="","",SUMIFS(工数明細!$G$3:$G$302,工数明細!$B$3:$B$302,$A267,工数明細!$I$3:$I$302,I$212))</f>
        <v/>
      </c>
      <c r="J267" s="51" t="str">
        <f aca="false">IF($A267="","",SUMIFS(工数明細!$G$3:$G$302,工数明細!$B$3:$B$302,$A267,工数明細!$I$3:$I$302,J$212))</f>
        <v/>
      </c>
      <c r="K267" s="51" t="str">
        <f aca="false">IF($A267="","",SUMIFS(工数明細!$G$3:$G$302,工数明細!$B$3:$B$302,$A267,工数明細!$I$3:$I$302,K$212))</f>
        <v/>
      </c>
      <c r="L267" s="51" t="str">
        <f aca="false">IF($A267="","",SUMIFS(工数明細!$G$3:$G$302,工数明細!$B$3:$B$302,$A267,工数明細!$I$3:$I$302,L$212))</f>
        <v/>
      </c>
      <c r="M267" s="51" t="str">
        <f aca="false">IF($A267="","",SUMIFS(工数明細!$G$3:$G$302,工数明細!$B$3:$B$302,$A267,工数明細!$I$3:$I$302,M$212))</f>
        <v/>
      </c>
      <c r="N267" s="51" t="str">
        <f aca="false">IF($A267="","",SUMIFS(工数明細!$G$3:$G$302,工数明細!$B$3:$B$302,$A267,工数明細!$I$3:$I$302,N$212))</f>
        <v/>
      </c>
      <c r="O267" s="51" t="str">
        <f aca="false">IF($A267="","",SUMIFS(工数明細!$G$3:$G$302,工数明細!$B$3:$B$302,$A267,工数明細!$I$3:$I$302,O$212))</f>
        <v/>
      </c>
      <c r="P267" s="51" t="str">
        <f aca="false">IF($A267="","",SUMIFS(工数明細!$G$3:$G$302,工数明細!$B$3:$B$302,$A267,工数明細!$I$3:$I$302,P$212))</f>
        <v/>
      </c>
      <c r="Q267" s="51" t="str">
        <f aca="false">IF($A267="","",SUMIFS(工数明細!$G$3:$G$302,工数明細!$B$3:$B$302,$A267,工数明細!$I$3:$I$302,Q$212))</f>
        <v/>
      </c>
      <c r="R267" s="51" t="str">
        <f aca="false">IF($A267="","",SUMIFS(工数明細!$G$3:$G$302,工数明細!$B$3:$B$302,$A267,工数明細!$I$3:$I$302,R$212))</f>
        <v/>
      </c>
      <c r="S267" s="51" t="str">
        <f aca="false">IF($A267="","",SUMIFS(工数明細!$G$3:$G$302,工数明細!$B$3:$B$302,$A267,工数明細!$I$3:$I$302,S$212))</f>
        <v/>
      </c>
      <c r="T267" s="51" t="str">
        <f aca="false">IF($A267="","",SUMIFS(工数明細!$G$3:$G$302,工数明細!$B$3:$B$302,$A267,工数明細!$I$3:$I$302,T$212))</f>
        <v/>
      </c>
      <c r="U267" s="51" t="str">
        <f aca="false">IF($A267="","",SUMIFS(工数明細!$G$3:$G$302,工数明細!$B$3:$B$302,$A267,工数明細!$I$3:$I$302,U$212))</f>
        <v/>
      </c>
      <c r="V267" s="51" t="str">
        <f aca="false">IF($A267="","",SUMIFS(工数明細!$G$3:$G$302,工数明細!$B$3:$B$302,$A267,工数明細!$I$3:$I$302,V$212))</f>
        <v/>
      </c>
      <c r="W267" s="51" t="str">
        <f aca="false">IF($A267="","",SUMIFS(工数明細!$G$3:$G$302,工数明細!$B$3:$B$302,$A267,工数明細!$I$3:$I$302,W$212))</f>
        <v/>
      </c>
      <c r="X267" s="51" t="str">
        <f aca="false">IF($A267="","",SUMIFS(工数明細!$G$3:$G$302,工数明細!$B$3:$B$302,$A267,工数明細!$I$3:$I$302,X$212))</f>
        <v/>
      </c>
      <c r="Y267" s="51" t="str">
        <f aca="false">IF($A267="","",SUMIFS(工数明細!$G$3:$G$302,工数明細!$B$3:$B$302,$A267,工数明細!$I$3:$I$302,Y$212))</f>
        <v/>
      </c>
      <c r="Z267" s="51" t="str">
        <f aca="false">IF($A267="","",SUMIFS(工数明細!$G$3:$G$302,工数明細!$B$3:$B$302,$A267,工数明細!$I$3:$I$302,Z$212))</f>
        <v/>
      </c>
      <c r="AA267" s="51" t="str">
        <f aca="false">IF($A267="","",SUMIFS(工数明細!$G$3:$G$302,工数明細!$B$3:$B$302,$A267,工数明細!$I$3:$I$302,AA$212))</f>
        <v/>
      </c>
      <c r="AB267" s="51" t="str">
        <f aca="false">IF($A267="","",SUMIFS(工数明細!$G$3:$G$302,工数明細!$B$3:$B$302,$A267,工数明細!$I$3:$I$302,AB$212))</f>
        <v/>
      </c>
      <c r="AC267" s="51" t="str">
        <f aca="false">IF($A267="","",SUMIFS(工数明細!$G$3:$G$302,工数明細!$B$3:$B$302,$A267,工数明細!$I$3:$I$302,AC$212))</f>
        <v/>
      </c>
      <c r="AD267" s="51" t="str">
        <f aca="false">IF($A267="","",SUMIFS(工数明細!$G$3:$G$302,工数明細!$B$3:$B$302,$A267,工数明細!$I$3:$I$302,AD$212))</f>
        <v/>
      </c>
    </row>
    <row r="268" customFormat="false" ht="15.75" hidden="false" customHeight="true" outlineLevel="0" collapsed="false">
      <c r="A268" s="28" t="str">
        <f aca="false">IF(案件管理!$A$57:$A$57="","",案件管理!$A$57:$A$57)</f>
        <v/>
      </c>
      <c r="B268" s="10" t="str">
        <f aca="false">IF($A268="","",案件管理!$B$57:$B$57)</f>
        <v/>
      </c>
      <c r="C268" s="10" t="str">
        <f aca="false">IF($A268="","",案件管理!$D$57:$D$57)</f>
        <v/>
      </c>
      <c r="D268" s="30" t="str">
        <f aca="false">IF($A268="","",案件管理!$AE$57:$AE$57)</f>
        <v/>
      </c>
      <c r="E268" s="30" t="str">
        <f aca="false">IF($A268="","",SUM($G268:$AD268))</f>
        <v/>
      </c>
      <c r="F268" s="51" t="str">
        <f aca="false">IF($A268="","",N($E62)-N($E268))</f>
        <v/>
      </c>
      <c r="G268" s="51" t="str">
        <f aca="false">IF($A268="","",SUMIFS(工数明細!$G$3:$G$302,工数明細!$B$3:$B$302,$A268,工数明細!$I$3:$I$302,G$212))</f>
        <v/>
      </c>
      <c r="H268" s="51" t="str">
        <f aca="false">IF($A268="","",SUMIFS(工数明細!$G$3:$G$302,工数明細!$B$3:$B$302,$A268,工数明細!$I$3:$I$302,H$212))</f>
        <v/>
      </c>
      <c r="I268" s="51" t="str">
        <f aca="false">IF($A268="","",SUMIFS(工数明細!$G$3:$G$302,工数明細!$B$3:$B$302,$A268,工数明細!$I$3:$I$302,I$212))</f>
        <v/>
      </c>
      <c r="J268" s="51" t="str">
        <f aca="false">IF($A268="","",SUMIFS(工数明細!$G$3:$G$302,工数明細!$B$3:$B$302,$A268,工数明細!$I$3:$I$302,J$212))</f>
        <v/>
      </c>
      <c r="K268" s="51" t="str">
        <f aca="false">IF($A268="","",SUMIFS(工数明細!$G$3:$G$302,工数明細!$B$3:$B$302,$A268,工数明細!$I$3:$I$302,K$212))</f>
        <v/>
      </c>
      <c r="L268" s="51" t="str">
        <f aca="false">IF($A268="","",SUMIFS(工数明細!$G$3:$G$302,工数明細!$B$3:$B$302,$A268,工数明細!$I$3:$I$302,L$212))</f>
        <v/>
      </c>
      <c r="M268" s="51" t="str">
        <f aca="false">IF($A268="","",SUMIFS(工数明細!$G$3:$G$302,工数明細!$B$3:$B$302,$A268,工数明細!$I$3:$I$302,M$212))</f>
        <v/>
      </c>
      <c r="N268" s="51" t="str">
        <f aca="false">IF($A268="","",SUMIFS(工数明細!$G$3:$G$302,工数明細!$B$3:$B$302,$A268,工数明細!$I$3:$I$302,N$212))</f>
        <v/>
      </c>
      <c r="O268" s="51" t="str">
        <f aca="false">IF($A268="","",SUMIFS(工数明細!$G$3:$G$302,工数明細!$B$3:$B$302,$A268,工数明細!$I$3:$I$302,O$212))</f>
        <v/>
      </c>
      <c r="P268" s="51" t="str">
        <f aca="false">IF($A268="","",SUMIFS(工数明細!$G$3:$G$302,工数明細!$B$3:$B$302,$A268,工数明細!$I$3:$I$302,P$212))</f>
        <v/>
      </c>
      <c r="Q268" s="51" t="str">
        <f aca="false">IF($A268="","",SUMIFS(工数明細!$G$3:$G$302,工数明細!$B$3:$B$302,$A268,工数明細!$I$3:$I$302,Q$212))</f>
        <v/>
      </c>
      <c r="R268" s="51" t="str">
        <f aca="false">IF($A268="","",SUMIFS(工数明細!$G$3:$G$302,工数明細!$B$3:$B$302,$A268,工数明細!$I$3:$I$302,R$212))</f>
        <v/>
      </c>
      <c r="S268" s="51" t="str">
        <f aca="false">IF($A268="","",SUMIFS(工数明細!$G$3:$G$302,工数明細!$B$3:$B$302,$A268,工数明細!$I$3:$I$302,S$212))</f>
        <v/>
      </c>
      <c r="T268" s="51" t="str">
        <f aca="false">IF($A268="","",SUMIFS(工数明細!$G$3:$G$302,工数明細!$B$3:$B$302,$A268,工数明細!$I$3:$I$302,T$212))</f>
        <v/>
      </c>
      <c r="U268" s="51" t="str">
        <f aca="false">IF($A268="","",SUMIFS(工数明細!$G$3:$G$302,工数明細!$B$3:$B$302,$A268,工数明細!$I$3:$I$302,U$212))</f>
        <v/>
      </c>
      <c r="V268" s="51" t="str">
        <f aca="false">IF($A268="","",SUMIFS(工数明細!$G$3:$G$302,工数明細!$B$3:$B$302,$A268,工数明細!$I$3:$I$302,V$212))</f>
        <v/>
      </c>
      <c r="W268" s="51" t="str">
        <f aca="false">IF($A268="","",SUMIFS(工数明細!$G$3:$G$302,工数明細!$B$3:$B$302,$A268,工数明細!$I$3:$I$302,W$212))</f>
        <v/>
      </c>
      <c r="X268" s="51" t="str">
        <f aca="false">IF($A268="","",SUMIFS(工数明細!$G$3:$G$302,工数明細!$B$3:$B$302,$A268,工数明細!$I$3:$I$302,X$212))</f>
        <v/>
      </c>
      <c r="Y268" s="51" t="str">
        <f aca="false">IF($A268="","",SUMIFS(工数明細!$G$3:$G$302,工数明細!$B$3:$B$302,$A268,工数明細!$I$3:$I$302,Y$212))</f>
        <v/>
      </c>
      <c r="Z268" s="51" t="str">
        <f aca="false">IF($A268="","",SUMIFS(工数明細!$G$3:$G$302,工数明細!$B$3:$B$302,$A268,工数明細!$I$3:$I$302,Z$212))</f>
        <v/>
      </c>
      <c r="AA268" s="51" t="str">
        <f aca="false">IF($A268="","",SUMIFS(工数明細!$G$3:$G$302,工数明細!$B$3:$B$302,$A268,工数明細!$I$3:$I$302,AA$212))</f>
        <v/>
      </c>
      <c r="AB268" s="51" t="str">
        <f aca="false">IF($A268="","",SUMIFS(工数明細!$G$3:$G$302,工数明細!$B$3:$B$302,$A268,工数明細!$I$3:$I$302,AB$212))</f>
        <v/>
      </c>
      <c r="AC268" s="51" t="str">
        <f aca="false">IF($A268="","",SUMIFS(工数明細!$G$3:$G$302,工数明細!$B$3:$B$302,$A268,工数明細!$I$3:$I$302,AC$212))</f>
        <v/>
      </c>
      <c r="AD268" s="51" t="str">
        <f aca="false">IF($A268="","",SUMIFS(工数明細!$G$3:$G$302,工数明細!$B$3:$B$302,$A268,工数明細!$I$3:$I$302,AD$212))</f>
        <v/>
      </c>
    </row>
    <row r="269" customFormat="false" ht="15.75" hidden="false" customHeight="true" outlineLevel="0" collapsed="false">
      <c r="A269" s="28" t="str">
        <f aca="false">IF(案件管理!$A$58:$A$58="","",案件管理!$A$58:$A$58)</f>
        <v/>
      </c>
      <c r="B269" s="10" t="str">
        <f aca="false">IF($A269="","",案件管理!$B$58:$B$58)</f>
        <v/>
      </c>
      <c r="C269" s="10" t="str">
        <f aca="false">IF($A269="","",案件管理!$D$58:$D$58)</f>
        <v/>
      </c>
      <c r="D269" s="30" t="str">
        <f aca="false">IF($A269="","",案件管理!$AE$58:$AE$58)</f>
        <v/>
      </c>
      <c r="E269" s="30" t="str">
        <f aca="false">IF($A269="","",SUM($G269:$AD269))</f>
        <v/>
      </c>
      <c r="F269" s="51" t="str">
        <f aca="false">IF($A269="","",N($E63)-N($E269))</f>
        <v/>
      </c>
      <c r="G269" s="51" t="str">
        <f aca="false">IF($A269="","",SUMIFS(工数明細!$G$3:$G$302,工数明細!$B$3:$B$302,$A269,工数明細!$I$3:$I$302,G$212))</f>
        <v/>
      </c>
      <c r="H269" s="51" t="str">
        <f aca="false">IF($A269="","",SUMIFS(工数明細!$G$3:$G$302,工数明細!$B$3:$B$302,$A269,工数明細!$I$3:$I$302,H$212))</f>
        <v/>
      </c>
      <c r="I269" s="51" t="str">
        <f aca="false">IF($A269="","",SUMIFS(工数明細!$G$3:$G$302,工数明細!$B$3:$B$302,$A269,工数明細!$I$3:$I$302,I$212))</f>
        <v/>
      </c>
      <c r="J269" s="51" t="str">
        <f aca="false">IF($A269="","",SUMIFS(工数明細!$G$3:$G$302,工数明細!$B$3:$B$302,$A269,工数明細!$I$3:$I$302,J$212))</f>
        <v/>
      </c>
      <c r="K269" s="51" t="str">
        <f aca="false">IF($A269="","",SUMIFS(工数明細!$G$3:$G$302,工数明細!$B$3:$B$302,$A269,工数明細!$I$3:$I$302,K$212))</f>
        <v/>
      </c>
      <c r="L269" s="51" t="str">
        <f aca="false">IF($A269="","",SUMIFS(工数明細!$G$3:$G$302,工数明細!$B$3:$B$302,$A269,工数明細!$I$3:$I$302,L$212))</f>
        <v/>
      </c>
      <c r="M269" s="51" t="str">
        <f aca="false">IF($A269="","",SUMIFS(工数明細!$G$3:$G$302,工数明細!$B$3:$B$302,$A269,工数明細!$I$3:$I$302,M$212))</f>
        <v/>
      </c>
      <c r="N269" s="51" t="str">
        <f aca="false">IF($A269="","",SUMIFS(工数明細!$G$3:$G$302,工数明細!$B$3:$B$302,$A269,工数明細!$I$3:$I$302,N$212))</f>
        <v/>
      </c>
      <c r="O269" s="51" t="str">
        <f aca="false">IF($A269="","",SUMIFS(工数明細!$G$3:$G$302,工数明細!$B$3:$B$302,$A269,工数明細!$I$3:$I$302,O$212))</f>
        <v/>
      </c>
      <c r="P269" s="51" t="str">
        <f aca="false">IF($A269="","",SUMIFS(工数明細!$G$3:$G$302,工数明細!$B$3:$B$302,$A269,工数明細!$I$3:$I$302,P$212))</f>
        <v/>
      </c>
      <c r="Q269" s="51" t="str">
        <f aca="false">IF($A269="","",SUMIFS(工数明細!$G$3:$G$302,工数明細!$B$3:$B$302,$A269,工数明細!$I$3:$I$302,Q$212))</f>
        <v/>
      </c>
      <c r="R269" s="51" t="str">
        <f aca="false">IF($A269="","",SUMIFS(工数明細!$G$3:$G$302,工数明細!$B$3:$B$302,$A269,工数明細!$I$3:$I$302,R$212))</f>
        <v/>
      </c>
      <c r="S269" s="51" t="str">
        <f aca="false">IF($A269="","",SUMIFS(工数明細!$G$3:$G$302,工数明細!$B$3:$B$302,$A269,工数明細!$I$3:$I$302,S$212))</f>
        <v/>
      </c>
      <c r="T269" s="51" t="str">
        <f aca="false">IF($A269="","",SUMIFS(工数明細!$G$3:$G$302,工数明細!$B$3:$B$302,$A269,工数明細!$I$3:$I$302,T$212))</f>
        <v/>
      </c>
      <c r="U269" s="51" t="str">
        <f aca="false">IF($A269="","",SUMIFS(工数明細!$G$3:$G$302,工数明細!$B$3:$B$302,$A269,工数明細!$I$3:$I$302,U$212))</f>
        <v/>
      </c>
      <c r="V269" s="51" t="str">
        <f aca="false">IF($A269="","",SUMIFS(工数明細!$G$3:$G$302,工数明細!$B$3:$B$302,$A269,工数明細!$I$3:$I$302,V$212))</f>
        <v/>
      </c>
      <c r="W269" s="51" t="str">
        <f aca="false">IF($A269="","",SUMIFS(工数明細!$G$3:$G$302,工数明細!$B$3:$B$302,$A269,工数明細!$I$3:$I$302,W$212))</f>
        <v/>
      </c>
      <c r="X269" s="51" t="str">
        <f aca="false">IF($A269="","",SUMIFS(工数明細!$G$3:$G$302,工数明細!$B$3:$B$302,$A269,工数明細!$I$3:$I$302,X$212))</f>
        <v/>
      </c>
      <c r="Y269" s="51" t="str">
        <f aca="false">IF($A269="","",SUMIFS(工数明細!$G$3:$G$302,工数明細!$B$3:$B$302,$A269,工数明細!$I$3:$I$302,Y$212))</f>
        <v/>
      </c>
      <c r="Z269" s="51" t="str">
        <f aca="false">IF($A269="","",SUMIFS(工数明細!$G$3:$G$302,工数明細!$B$3:$B$302,$A269,工数明細!$I$3:$I$302,Z$212))</f>
        <v/>
      </c>
      <c r="AA269" s="51" t="str">
        <f aca="false">IF($A269="","",SUMIFS(工数明細!$G$3:$G$302,工数明細!$B$3:$B$302,$A269,工数明細!$I$3:$I$302,AA$212))</f>
        <v/>
      </c>
      <c r="AB269" s="51" t="str">
        <f aca="false">IF($A269="","",SUMIFS(工数明細!$G$3:$G$302,工数明細!$B$3:$B$302,$A269,工数明細!$I$3:$I$302,AB$212))</f>
        <v/>
      </c>
      <c r="AC269" s="51" t="str">
        <f aca="false">IF($A269="","",SUMIFS(工数明細!$G$3:$G$302,工数明細!$B$3:$B$302,$A269,工数明細!$I$3:$I$302,AC$212))</f>
        <v/>
      </c>
      <c r="AD269" s="51" t="str">
        <f aca="false">IF($A269="","",SUMIFS(工数明細!$G$3:$G$302,工数明細!$B$3:$B$302,$A269,工数明細!$I$3:$I$302,AD$212))</f>
        <v/>
      </c>
    </row>
    <row r="270" customFormat="false" ht="15.75" hidden="false" customHeight="true" outlineLevel="0" collapsed="false">
      <c r="A270" s="28" t="str">
        <f aca="false">IF(案件管理!$A$59:$A$59="","",案件管理!$A$59:$A$59)</f>
        <v/>
      </c>
      <c r="B270" s="10" t="str">
        <f aca="false">IF($A270="","",案件管理!$B$59:$B$59)</f>
        <v/>
      </c>
      <c r="C270" s="10" t="str">
        <f aca="false">IF($A270="","",案件管理!$D$59:$D$59)</f>
        <v/>
      </c>
      <c r="D270" s="30" t="str">
        <f aca="false">IF($A270="","",案件管理!$AE$59:$AE$59)</f>
        <v/>
      </c>
      <c r="E270" s="30" t="str">
        <f aca="false">IF($A270="","",SUM($G270:$AD270))</f>
        <v/>
      </c>
      <c r="F270" s="51" t="str">
        <f aca="false">IF($A270="","",N($E64)-N($E270))</f>
        <v/>
      </c>
      <c r="G270" s="51" t="str">
        <f aca="false">IF($A270="","",SUMIFS(工数明細!$G$3:$G$302,工数明細!$B$3:$B$302,$A270,工数明細!$I$3:$I$302,G$212))</f>
        <v/>
      </c>
      <c r="H270" s="51" t="str">
        <f aca="false">IF($A270="","",SUMIFS(工数明細!$G$3:$G$302,工数明細!$B$3:$B$302,$A270,工数明細!$I$3:$I$302,H$212))</f>
        <v/>
      </c>
      <c r="I270" s="51" t="str">
        <f aca="false">IF($A270="","",SUMIFS(工数明細!$G$3:$G$302,工数明細!$B$3:$B$302,$A270,工数明細!$I$3:$I$302,I$212))</f>
        <v/>
      </c>
      <c r="J270" s="51" t="str">
        <f aca="false">IF($A270="","",SUMIFS(工数明細!$G$3:$G$302,工数明細!$B$3:$B$302,$A270,工数明細!$I$3:$I$302,J$212))</f>
        <v/>
      </c>
      <c r="K270" s="51" t="str">
        <f aca="false">IF($A270="","",SUMIFS(工数明細!$G$3:$G$302,工数明細!$B$3:$B$302,$A270,工数明細!$I$3:$I$302,K$212))</f>
        <v/>
      </c>
      <c r="L270" s="51" t="str">
        <f aca="false">IF($A270="","",SUMIFS(工数明細!$G$3:$G$302,工数明細!$B$3:$B$302,$A270,工数明細!$I$3:$I$302,L$212))</f>
        <v/>
      </c>
      <c r="M270" s="51" t="str">
        <f aca="false">IF($A270="","",SUMIFS(工数明細!$G$3:$G$302,工数明細!$B$3:$B$302,$A270,工数明細!$I$3:$I$302,M$212))</f>
        <v/>
      </c>
      <c r="N270" s="51" t="str">
        <f aca="false">IF($A270="","",SUMIFS(工数明細!$G$3:$G$302,工数明細!$B$3:$B$302,$A270,工数明細!$I$3:$I$302,N$212))</f>
        <v/>
      </c>
      <c r="O270" s="51" t="str">
        <f aca="false">IF($A270="","",SUMIFS(工数明細!$G$3:$G$302,工数明細!$B$3:$B$302,$A270,工数明細!$I$3:$I$302,O$212))</f>
        <v/>
      </c>
      <c r="P270" s="51" t="str">
        <f aca="false">IF($A270="","",SUMIFS(工数明細!$G$3:$G$302,工数明細!$B$3:$B$302,$A270,工数明細!$I$3:$I$302,P$212))</f>
        <v/>
      </c>
      <c r="Q270" s="51" t="str">
        <f aca="false">IF($A270="","",SUMIFS(工数明細!$G$3:$G$302,工数明細!$B$3:$B$302,$A270,工数明細!$I$3:$I$302,Q$212))</f>
        <v/>
      </c>
      <c r="R270" s="51" t="str">
        <f aca="false">IF($A270="","",SUMIFS(工数明細!$G$3:$G$302,工数明細!$B$3:$B$302,$A270,工数明細!$I$3:$I$302,R$212))</f>
        <v/>
      </c>
      <c r="S270" s="51" t="str">
        <f aca="false">IF($A270="","",SUMIFS(工数明細!$G$3:$G$302,工数明細!$B$3:$B$302,$A270,工数明細!$I$3:$I$302,S$212))</f>
        <v/>
      </c>
      <c r="T270" s="51" t="str">
        <f aca="false">IF($A270="","",SUMIFS(工数明細!$G$3:$G$302,工数明細!$B$3:$B$302,$A270,工数明細!$I$3:$I$302,T$212))</f>
        <v/>
      </c>
      <c r="U270" s="51" t="str">
        <f aca="false">IF($A270="","",SUMIFS(工数明細!$G$3:$G$302,工数明細!$B$3:$B$302,$A270,工数明細!$I$3:$I$302,U$212))</f>
        <v/>
      </c>
      <c r="V270" s="51" t="str">
        <f aca="false">IF($A270="","",SUMIFS(工数明細!$G$3:$G$302,工数明細!$B$3:$B$302,$A270,工数明細!$I$3:$I$302,V$212))</f>
        <v/>
      </c>
      <c r="W270" s="51" t="str">
        <f aca="false">IF($A270="","",SUMIFS(工数明細!$G$3:$G$302,工数明細!$B$3:$B$302,$A270,工数明細!$I$3:$I$302,W$212))</f>
        <v/>
      </c>
      <c r="X270" s="51" t="str">
        <f aca="false">IF($A270="","",SUMIFS(工数明細!$G$3:$G$302,工数明細!$B$3:$B$302,$A270,工数明細!$I$3:$I$302,X$212))</f>
        <v/>
      </c>
      <c r="Y270" s="51" t="str">
        <f aca="false">IF($A270="","",SUMIFS(工数明細!$G$3:$G$302,工数明細!$B$3:$B$302,$A270,工数明細!$I$3:$I$302,Y$212))</f>
        <v/>
      </c>
      <c r="Z270" s="51" t="str">
        <f aca="false">IF($A270="","",SUMIFS(工数明細!$G$3:$G$302,工数明細!$B$3:$B$302,$A270,工数明細!$I$3:$I$302,Z$212))</f>
        <v/>
      </c>
      <c r="AA270" s="51" t="str">
        <f aca="false">IF($A270="","",SUMIFS(工数明細!$G$3:$G$302,工数明細!$B$3:$B$302,$A270,工数明細!$I$3:$I$302,AA$212))</f>
        <v/>
      </c>
      <c r="AB270" s="51" t="str">
        <f aca="false">IF($A270="","",SUMIFS(工数明細!$G$3:$G$302,工数明細!$B$3:$B$302,$A270,工数明細!$I$3:$I$302,AB$212))</f>
        <v/>
      </c>
      <c r="AC270" s="51" t="str">
        <f aca="false">IF($A270="","",SUMIFS(工数明細!$G$3:$G$302,工数明細!$B$3:$B$302,$A270,工数明細!$I$3:$I$302,AC$212))</f>
        <v/>
      </c>
      <c r="AD270" s="51" t="str">
        <f aca="false">IF($A270="","",SUMIFS(工数明細!$G$3:$G$302,工数明細!$B$3:$B$302,$A270,工数明細!$I$3:$I$302,AD$212))</f>
        <v/>
      </c>
    </row>
    <row r="271" customFormat="false" ht="15.75" hidden="false" customHeight="true" outlineLevel="0" collapsed="false">
      <c r="A271" s="28" t="str">
        <f aca="false">IF(案件管理!$A$60:$A$60="","",案件管理!$A$60:$A$60)</f>
        <v/>
      </c>
      <c r="B271" s="10" t="str">
        <f aca="false">IF($A271="","",案件管理!$B$60:$B$60)</f>
        <v/>
      </c>
      <c r="C271" s="10" t="str">
        <f aca="false">IF($A271="","",案件管理!$D$60:$D$60)</f>
        <v/>
      </c>
      <c r="D271" s="30" t="str">
        <f aca="false">IF($A271="","",案件管理!$AE$60:$AE$60)</f>
        <v/>
      </c>
      <c r="E271" s="30" t="str">
        <f aca="false">IF($A271="","",SUM($G271:$AD271))</f>
        <v/>
      </c>
      <c r="F271" s="51" t="str">
        <f aca="false">IF($A271="","",N($E65)-N($E271))</f>
        <v/>
      </c>
      <c r="G271" s="51" t="str">
        <f aca="false">IF($A271="","",SUMIFS(工数明細!$G$3:$G$302,工数明細!$B$3:$B$302,$A271,工数明細!$I$3:$I$302,G$212))</f>
        <v/>
      </c>
      <c r="H271" s="51" t="str">
        <f aca="false">IF($A271="","",SUMIFS(工数明細!$G$3:$G$302,工数明細!$B$3:$B$302,$A271,工数明細!$I$3:$I$302,H$212))</f>
        <v/>
      </c>
      <c r="I271" s="51" t="str">
        <f aca="false">IF($A271="","",SUMIFS(工数明細!$G$3:$G$302,工数明細!$B$3:$B$302,$A271,工数明細!$I$3:$I$302,I$212))</f>
        <v/>
      </c>
      <c r="J271" s="51" t="str">
        <f aca="false">IF($A271="","",SUMIFS(工数明細!$G$3:$G$302,工数明細!$B$3:$B$302,$A271,工数明細!$I$3:$I$302,J$212))</f>
        <v/>
      </c>
      <c r="K271" s="51" t="str">
        <f aca="false">IF($A271="","",SUMIFS(工数明細!$G$3:$G$302,工数明細!$B$3:$B$302,$A271,工数明細!$I$3:$I$302,K$212))</f>
        <v/>
      </c>
      <c r="L271" s="51" t="str">
        <f aca="false">IF($A271="","",SUMIFS(工数明細!$G$3:$G$302,工数明細!$B$3:$B$302,$A271,工数明細!$I$3:$I$302,L$212))</f>
        <v/>
      </c>
      <c r="M271" s="51" t="str">
        <f aca="false">IF($A271="","",SUMIFS(工数明細!$G$3:$G$302,工数明細!$B$3:$B$302,$A271,工数明細!$I$3:$I$302,M$212))</f>
        <v/>
      </c>
      <c r="N271" s="51" t="str">
        <f aca="false">IF($A271="","",SUMIFS(工数明細!$G$3:$G$302,工数明細!$B$3:$B$302,$A271,工数明細!$I$3:$I$302,N$212))</f>
        <v/>
      </c>
      <c r="O271" s="51" t="str">
        <f aca="false">IF($A271="","",SUMIFS(工数明細!$G$3:$G$302,工数明細!$B$3:$B$302,$A271,工数明細!$I$3:$I$302,O$212))</f>
        <v/>
      </c>
      <c r="P271" s="51" t="str">
        <f aca="false">IF($A271="","",SUMIFS(工数明細!$G$3:$G$302,工数明細!$B$3:$B$302,$A271,工数明細!$I$3:$I$302,P$212))</f>
        <v/>
      </c>
      <c r="Q271" s="51" t="str">
        <f aca="false">IF($A271="","",SUMIFS(工数明細!$G$3:$G$302,工数明細!$B$3:$B$302,$A271,工数明細!$I$3:$I$302,Q$212))</f>
        <v/>
      </c>
      <c r="R271" s="51" t="str">
        <f aca="false">IF($A271="","",SUMIFS(工数明細!$G$3:$G$302,工数明細!$B$3:$B$302,$A271,工数明細!$I$3:$I$302,R$212))</f>
        <v/>
      </c>
      <c r="S271" s="51" t="str">
        <f aca="false">IF($A271="","",SUMIFS(工数明細!$G$3:$G$302,工数明細!$B$3:$B$302,$A271,工数明細!$I$3:$I$302,S$212))</f>
        <v/>
      </c>
      <c r="T271" s="51" t="str">
        <f aca="false">IF($A271="","",SUMIFS(工数明細!$G$3:$G$302,工数明細!$B$3:$B$302,$A271,工数明細!$I$3:$I$302,T$212))</f>
        <v/>
      </c>
      <c r="U271" s="51" t="str">
        <f aca="false">IF($A271="","",SUMIFS(工数明細!$G$3:$G$302,工数明細!$B$3:$B$302,$A271,工数明細!$I$3:$I$302,U$212))</f>
        <v/>
      </c>
      <c r="V271" s="51" t="str">
        <f aca="false">IF($A271="","",SUMIFS(工数明細!$G$3:$G$302,工数明細!$B$3:$B$302,$A271,工数明細!$I$3:$I$302,V$212))</f>
        <v/>
      </c>
      <c r="W271" s="51" t="str">
        <f aca="false">IF($A271="","",SUMIFS(工数明細!$G$3:$G$302,工数明細!$B$3:$B$302,$A271,工数明細!$I$3:$I$302,W$212))</f>
        <v/>
      </c>
      <c r="X271" s="51" t="str">
        <f aca="false">IF($A271="","",SUMIFS(工数明細!$G$3:$G$302,工数明細!$B$3:$B$302,$A271,工数明細!$I$3:$I$302,X$212))</f>
        <v/>
      </c>
      <c r="Y271" s="51" t="str">
        <f aca="false">IF($A271="","",SUMIFS(工数明細!$G$3:$G$302,工数明細!$B$3:$B$302,$A271,工数明細!$I$3:$I$302,Y$212))</f>
        <v/>
      </c>
      <c r="Z271" s="51" t="str">
        <f aca="false">IF($A271="","",SUMIFS(工数明細!$G$3:$G$302,工数明細!$B$3:$B$302,$A271,工数明細!$I$3:$I$302,Z$212))</f>
        <v/>
      </c>
      <c r="AA271" s="51" t="str">
        <f aca="false">IF($A271="","",SUMIFS(工数明細!$G$3:$G$302,工数明細!$B$3:$B$302,$A271,工数明細!$I$3:$I$302,AA$212))</f>
        <v/>
      </c>
      <c r="AB271" s="51" t="str">
        <f aca="false">IF($A271="","",SUMIFS(工数明細!$G$3:$G$302,工数明細!$B$3:$B$302,$A271,工数明細!$I$3:$I$302,AB$212))</f>
        <v/>
      </c>
      <c r="AC271" s="51" t="str">
        <f aca="false">IF($A271="","",SUMIFS(工数明細!$G$3:$G$302,工数明細!$B$3:$B$302,$A271,工数明細!$I$3:$I$302,AC$212))</f>
        <v/>
      </c>
      <c r="AD271" s="51" t="str">
        <f aca="false">IF($A271="","",SUMIFS(工数明細!$G$3:$G$302,工数明細!$B$3:$B$302,$A271,工数明細!$I$3:$I$302,AD$212))</f>
        <v/>
      </c>
    </row>
    <row r="272" customFormat="false" ht="15.75" hidden="false" customHeight="true" outlineLevel="0" collapsed="false">
      <c r="A272" s="28" t="str">
        <f aca="false">IF(案件管理!$A$61:$A$61="","",案件管理!$A$61:$A$61)</f>
        <v/>
      </c>
      <c r="B272" s="10" t="str">
        <f aca="false">IF($A272="","",案件管理!$B$61:$B$61)</f>
        <v/>
      </c>
      <c r="C272" s="10" t="str">
        <f aca="false">IF($A272="","",案件管理!$D$61:$D$61)</f>
        <v/>
      </c>
      <c r="D272" s="30" t="str">
        <f aca="false">IF($A272="","",案件管理!$AE$61:$AE$61)</f>
        <v/>
      </c>
      <c r="E272" s="30" t="str">
        <f aca="false">IF($A272="","",SUM($G272:$AD272))</f>
        <v/>
      </c>
      <c r="F272" s="51" t="str">
        <f aca="false">IF($A272="","",N($E66)-N($E272))</f>
        <v/>
      </c>
      <c r="G272" s="51" t="str">
        <f aca="false">IF($A272="","",SUMIFS(工数明細!$G$3:$G$302,工数明細!$B$3:$B$302,$A272,工数明細!$I$3:$I$302,G$212))</f>
        <v/>
      </c>
      <c r="H272" s="51" t="str">
        <f aca="false">IF($A272="","",SUMIFS(工数明細!$G$3:$G$302,工数明細!$B$3:$B$302,$A272,工数明細!$I$3:$I$302,H$212))</f>
        <v/>
      </c>
      <c r="I272" s="51" t="str">
        <f aca="false">IF($A272="","",SUMIFS(工数明細!$G$3:$G$302,工数明細!$B$3:$B$302,$A272,工数明細!$I$3:$I$302,I$212))</f>
        <v/>
      </c>
      <c r="J272" s="51" t="str">
        <f aca="false">IF($A272="","",SUMIFS(工数明細!$G$3:$G$302,工数明細!$B$3:$B$302,$A272,工数明細!$I$3:$I$302,J$212))</f>
        <v/>
      </c>
      <c r="K272" s="51" t="str">
        <f aca="false">IF($A272="","",SUMIFS(工数明細!$G$3:$G$302,工数明細!$B$3:$B$302,$A272,工数明細!$I$3:$I$302,K$212))</f>
        <v/>
      </c>
      <c r="L272" s="51" t="str">
        <f aca="false">IF($A272="","",SUMIFS(工数明細!$G$3:$G$302,工数明細!$B$3:$B$302,$A272,工数明細!$I$3:$I$302,L$212))</f>
        <v/>
      </c>
      <c r="M272" s="51" t="str">
        <f aca="false">IF($A272="","",SUMIFS(工数明細!$G$3:$G$302,工数明細!$B$3:$B$302,$A272,工数明細!$I$3:$I$302,M$212))</f>
        <v/>
      </c>
      <c r="N272" s="51" t="str">
        <f aca="false">IF($A272="","",SUMIFS(工数明細!$G$3:$G$302,工数明細!$B$3:$B$302,$A272,工数明細!$I$3:$I$302,N$212))</f>
        <v/>
      </c>
      <c r="O272" s="51" t="str">
        <f aca="false">IF($A272="","",SUMIFS(工数明細!$G$3:$G$302,工数明細!$B$3:$B$302,$A272,工数明細!$I$3:$I$302,O$212))</f>
        <v/>
      </c>
      <c r="P272" s="51" t="str">
        <f aca="false">IF($A272="","",SUMIFS(工数明細!$G$3:$G$302,工数明細!$B$3:$B$302,$A272,工数明細!$I$3:$I$302,P$212))</f>
        <v/>
      </c>
      <c r="Q272" s="51" t="str">
        <f aca="false">IF($A272="","",SUMIFS(工数明細!$G$3:$G$302,工数明細!$B$3:$B$302,$A272,工数明細!$I$3:$I$302,Q$212))</f>
        <v/>
      </c>
      <c r="R272" s="51" t="str">
        <f aca="false">IF($A272="","",SUMIFS(工数明細!$G$3:$G$302,工数明細!$B$3:$B$302,$A272,工数明細!$I$3:$I$302,R$212))</f>
        <v/>
      </c>
      <c r="S272" s="51" t="str">
        <f aca="false">IF($A272="","",SUMIFS(工数明細!$G$3:$G$302,工数明細!$B$3:$B$302,$A272,工数明細!$I$3:$I$302,S$212))</f>
        <v/>
      </c>
      <c r="T272" s="51" t="str">
        <f aca="false">IF($A272="","",SUMIFS(工数明細!$G$3:$G$302,工数明細!$B$3:$B$302,$A272,工数明細!$I$3:$I$302,T$212))</f>
        <v/>
      </c>
      <c r="U272" s="51" t="str">
        <f aca="false">IF($A272="","",SUMIFS(工数明細!$G$3:$G$302,工数明細!$B$3:$B$302,$A272,工数明細!$I$3:$I$302,U$212))</f>
        <v/>
      </c>
      <c r="V272" s="51" t="str">
        <f aca="false">IF($A272="","",SUMIFS(工数明細!$G$3:$G$302,工数明細!$B$3:$B$302,$A272,工数明細!$I$3:$I$302,V$212))</f>
        <v/>
      </c>
      <c r="W272" s="51" t="str">
        <f aca="false">IF($A272="","",SUMIFS(工数明細!$G$3:$G$302,工数明細!$B$3:$B$302,$A272,工数明細!$I$3:$I$302,W$212))</f>
        <v/>
      </c>
      <c r="X272" s="51" t="str">
        <f aca="false">IF($A272="","",SUMIFS(工数明細!$G$3:$G$302,工数明細!$B$3:$B$302,$A272,工数明細!$I$3:$I$302,X$212))</f>
        <v/>
      </c>
      <c r="Y272" s="51" t="str">
        <f aca="false">IF($A272="","",SUMIFS(工数明細!$G$3:$G$302,工数明細!$B$3:$B$302,$A272,工数明細!$I$3:$I$302,Y$212))</f>
        <v/>
      </c>
      <c r="Z272" s="51" t="str">
        <f aca="false">IF($A272="","",SUMIFS(工数明細!$G$3:$G$302,工数明細!$B$3:$B$302,$A272,工数明細!$I$3:$I$302,Z$212))</f>
        <v/>
      </c>
      <c r="AA272" s="51" t="str">
        <f aca="false">IF($A272="","",SUMIFS(工数明細!$G$3:$G$302,工数明細!$B$3:$B$302,$A272,工数明細!$I$3:$I$302,AA$212))</f>
        <v/>
      </c>
      <c r="AB272" s="51" t="str">
        <f aca="false">IF($A272="","",SUMIFS(工数明細!$G$3:$G$302,工数明細!$B$3:$B$302,$A272,工数明細!$I$3:$I$302,AB$212))</f>
        <v/>
      </c>
      <c r="AC272" s="51" t="str">
        <f aca="false">IF($A272="","",SUMIFS(工数明細!$G$3:$G$302,工数明細!$B$3:$B$302,$A272,工数明細!$I$3:$I$302,AC$212))</f>
        <v/>
      </c>
      <c r="AD272" s="51" t="str">
        <f aca="false">IF($A272="","",SUMIFS(工数明細!$G$3:$G$302,工数明細!$B$3:$B$302,$A272,工数明細!$I$3:$I$302,AD$212))</f>
        <v/>
      </c>
    </row>
    <row r="273" customFormat="false" ht="15.75" hidden="false" customHeight="true" outlineLevel="0" collapsed="false">
      <c r="A273" s="28" t="str">
        <f aca="false">IF(案件管理!$A$62:$A$62="","",案件管理!$A$62:$A$62)</f>
        <v/>
      </c>
      <c r="B273" s="10" t="str">
        <f aca="false">IF($A273="","",案件管理!$B$62:$B$62)</f>
        <v/>
      </c>
      <c r="C273" s="10" t="str">
        <f aca="false">IF($A273="","",案件管理!$D$62:$D$62)</f>
        <v/>
      </c>
      <c r="D273" s="30" t="str">
        <f aca="false">IF($A273="","",案件管理!$AE$62:$AE$62)</f>
        <v/>
      </c>
      <c r="E273" s="30" t="str">
        <f aca="false">IF($A273="","",SUM($G273:$AD273))</f>
        <v/>
      </c>
      <c r="F273" s="51" t="str">
        <f aca="false">IF($A273="","",N($E67)-N($E273))</f>
        <v/>
      </c>
      <c r="G273" s="51" t="str">
        <f aca="false">IF($A273="","",SUMIFS(工数明細!$G$3:$G$302,工数明細!$B$3:$B$302,$A273,工数明細!$I$3:$I$302,G$212))</f>
        <v/>
      </c>
      <c r="H273" s="51" t="str">
        <f aca="false">IF($A273="","",SUMIFS(工数明細!$G$3:$G$302,工数明細!$B$3:$B$302,$A273,工数明細!$I$3:$I$302,H$212))</f>
        <v/>
      </c>
      <c r="I273" s="51" t="str">
        <f aca="false">IF($A273="","",SUMIFS(工数明細!$G$3:$G$302,工数明細!$B$3:$B$302,$A273,工数明細!$I$3:$I$302,I$212))</f>
        <v/>
      </c>
      <c r="J273" s="51" t="str">
        <f aca="false">IF($A273="","",SUMIFS(工数明細!$G$3:$G$302,工数明細!$B$3:$B$302,$A273,工数明細!$I$3:$I$302,J$212))</f>
        <v/>
      </c>
      <c r="K273" s="51" t="str">
        <f aca="false">IF($A273="","",SUMIFS(工数明細!$G$3:$G$302,工数明細!$B$3:$B$302,$A273,工数明細!$I$3:$I$302,K$212))</f>
        <v/>
      </c>
      <c r="L273" s="51" t="str">
        <f aca="false">IF($A273="","",SUMIFS(工数明細!$G$3:$G$302,工数明細!$B$3:$B$302,$A273,工数明細!$I$3:$I$302,L$212))</f>
        <v/>
      </c>
      <c r="M273" s="51" t="str">
        <f aca="false">IF($A273="","",SUMIFS(工数明細!$G$3:$G$302,工数明細!$B$3:$B$302,$A273,工数明細!$I$3:$I$302,M$212))</f>
        <v/>
      </c>
      <c r="N273" s="51" t="str">
        <f aca="false">IF($A273="","",SUMIFS(工数明細!$G$3:$G$302,工数明細!$B$3:$B$302,$A273,工数明細!$I$3:$I$302,N$212))</f>
        <v/>
      </c>
      <c r="O273" s="51" t="str">
        <f aca="false">IF($A273="","",SUMIFS(工数明細!$G$3:$G$302,工数明細!$B$3:$B$302,$A273,工数明細!$I$3:$I$302,O$212))</f>
        <v/>
      </c>
      <c r="P273" s="51" t="str">
        <f aca="false">IF($A273="","",SUMIFS(工数明細!$G$3:$G$302,工数明細!$B$3:$B$302,$A273,工数明細!$I$3:$I$302,P$212))</f>
        <v/>
      </c>
      <c r="Q273" s="51" t="str">
        <f aca="false">IF($A273="","",SUMIFS(工数明細!$G$3:$G$302,工数明細!$B$3:$B$302,$A273,工数明細!$I$3:$I$302,Q$212))</f>
        <v/>
      </c>
      <c r="R273" s="51" t="str">
        <f aca="false">IF($A273="","",SUMIFS(工数明細!$G$3:$G$302,工数明細!$B$3:$B$302,$A273,工数明細!$I$3:$I$302,R$212))</f>
        <v/>
      </c>
      <c r="S273" s="51" t="str">
        <f aca="false">IF($A273="","",SUMIFS(工数明細!$G$3:$G$302,工数明細!$B$3:$B$302,$A273,工数明細!$I$3:$I$302,S$212))</f>
        <v/>
      </c>
      <c r="T273" s="51" t="str">
        <f aca="false">IF($A273="","",SUMIFS(工数明細!$G$3:$G$302,工数明細!$B$3:$B$302,$A273,工数明細!$I$3:$I$302,T$212))</f>
        <v/>
      </c>
      <c r="U273" s="51" t="str">
        <f aca="false">IF($A273="","",SUMIFS(工数明細!$G$3:$G$302,工数明細!$B$3:$B$302,$A273,工数明細!$I$3:$I$302,U$212))</f>
        <v/>
      </c>
      <c r="V273" s="51" t="str">
        <f aca="false">IF($A273="","",SUMIFS(工数明細!$G$3:$G$302,工数明細!$B$3:$B$302,$A273,工数明細!$I$3:$I$302,V$212))</f>
        <v/>
      </c>
      <c r="W273" s="51" t="str">
        <f aca="false">IF($A273="","",SUMIFS(工数明細!$G$3:$G$302,工数明細!$B$3:$B$302,$A273,工数明細!$I$3:$I$302,W$212))</f>
        <v/>
      </c>
      <c r="X273" s="51" t="str">
        <f aca="false">IF($A273="","",SUMIFS(工数明細!$G$3:$G$302,工数明細!$B$3:$B$302,$A273,工数明細!$I$3:$I$302,X$212))</f>
        <v/>
      </c>
      <c r="Y273" s="51" t="str">
        <f aca="false">IF($A273="","",SUMIFS(工数明細!$G$3:$G$302,工数明細!$B$3:$B$302,$A273,工数明細!$I$3:$I$302,Y$212))</f>
        <v/>
      </c>
      <c r="Z273" s="51" t="str">
        <f aca="false">IF($A273="","",SUMIFS(工数明細!$G$3:$G$302,工数明細!$B$3:$B$302,$A273,工数明細!$I$3:$I$302,Z$212))</f>
        <v/>
      </c>
      <c r="AA273" s="51" t="str">
        <f aca="false">IF($A273="","",SUMIFS(工数明細!$G$3:$G$302,工数明細!$B$3:$B$302,$A273,工数明細!$I$3:$I$302,AA$212))</f>
        <v/>
      </c>
      <c r="AB273" s="51" t="str">
        <f aca="false">IF($A273="","",SUMIFS(工数明細!$G$3:$G$302,工数明細!$B$3:$B$302,$A273,工数明細!$I$3:$I$302,AB$212))</f>
        <v/>
      </c>
      <c r="AC273" s="51" t="str">
        <f aca="false">IF($A273="","",SUMIFS(工数明細!$G$3:$G$302,工数明細!$B$3:$B$302,$A273,工数明細!$I$3:$I$302,AC$212))</f>
        <v/>
      </c>
      <c r="AD273" s="51" t="str">
        <f aca="false">IF($A273="","",SUMIFS(工数明細!$G$3:$G$302,工数明細!$B$3:$B$302,$A273,工数明細!$I$3:$I$302,AD$212))</f>
        <v/>
      </c>
    </row>
    <row r="274" customFormat="false" ht="15.75" hidden="false" customHeight="true" outlineLevel="0" collapsed="false">
      <c r="A274" s="28" t="str">
        <f aca="false">IF(案件管理!$A$63:$A$63="","",案件管理!$A$63:$A$63)</f>
        <v/>
      </c>
      <c r="B274" s="10" t="str">
        <f aca="false">IF($A274="","",案件管理!$B$63:$B$63)</f>
        <v/>
      </c>
      <c r="C274" s="10" t="str">
        <f aca="false">IF($A274="","",案件管理!$D$63:$D$63)</f>
        <v/>
      </c>
      <c r="D274" s="30" t="str">
        <f aca="false">IF($A274="","",案件管理!$AE$63:$AE$63)</f>
        <v/>
      </c>
      <c r="E274" s="30" t="str">
        <f aca="false">IF($A274="","",SUM($G274:$AD274))</f>
        <v/>
      </c>
      <c r="F274" s="51" t="str">
        <f aca="false">IF($A274="","",N($E68)-N($E274))</f>
        <v/>
      </c>
      <c r="G274" s="51" t="str">
        <f aca="false">IF($A274="","",SUMIFS(工数明細!$G$3:$G$302,工数明細!$B$3:$B$302,$A274,工数明細!$I$3:$I$302,G$212))</f>
        <v/>
      </c>
      <c r="H274" s="51" t="str">
        <f aca="false">IF($A274="","",SUMIFS(工数明細!$G$3:$G$302,工数明細!$B$3:$B$302,$A274,工数明細!$I$3:$I$302,H$212))</f>
        <v/>
      </c>
      <c r="I274" s="51" t="str">
        <f aca="false">IF($A274="","",SUMIFS(工数明細!$G$3:$G$302,工数明細!$B$3:$B$302,$A274,工数明細!$I$3:$I$302,I$212))</f>
        <v/>
      </c>
      <c r="J274" s="51" t="str">
        <f aca="false">IF($A274="","",SUMIFS(工数明細!$G$3:$G$302,工数明細!$B$3:$B$302,$A274,工数明細!$I$3:$I$302,J$212))</f>
        <v/>
      </c>
      <c r="K274" s="51" t="str">
        <f aca="false">IF($A274="","",SUMIFS(工数明細!$G$3:$G$302,工数明細!$B$3:$B$302,$A274,工数明細!$I$3:$I$302,K$212))</f>
        <v/>
      </c>
      <c r="L274" s="51" t="str">
        <f aca="false">IF($A274="","",SUMIFS(工数明細!$G$3:$G$302,工数明細!$B$3:$B$302,$A274,工数明細!$I$3:$I$302,L$212))</f>
        <v/>
      </c>
      <c r="M274" s="51" t="str">
        <f aca="false">IF($A274="","",SUMIFS(工数明細!$G$3:$G$302,工数明細!$B$3:$B$302,$A274,工数明細!$I$3:$I$302,M$212))</f>
        <v/>
      </c>
      <c r="N274" s="51" t="str">
        <f aca="false">IF($A274="","",SUMIFS(工数明細!$G$3:$G$302,工数明細!$B$3:$B$302,$A274,工数明細!$I$3:$I$302,N$212))</f>
        <v/>
      </c>
      <c r="O274" s="51" t="str">
        <f aca="false">IF($A274="","",SUMIFS(工数明細!$G$3:$G$302,工数明細!$B$3:$B$302,$A274,工数明細!$I$3:$I$302,O$212))</f>
        <v/>
      </c>
      <c r="P274" s="51" t="str">
        <f aca="false">IF($A274="","",SUMIFS(工数明細!$G$3:$G$302,工数明細!$B$3:$B$302,$A274,工数明細!$I$3:$I$302,P$212))</f>
        <v/>
      </c>
      <c r="Q274" s="51" t="str">
        <f aca="false">IF($A274="","",SUMIFS(工数明細!$G$3:$G$302,工数明細!$B$3:$B$302,$A274,工数明細!$I$3:$I$302,Q$212))</f>
        <v/>
      </c>
      <c r="R274" s="51" t="str">
        <f aca="false">IF($A274="","",SUMIFS(工数明細!$G$3:$G$302,工数明細!$B$3:$B$302,$A274,工数明細!$I$3:$I$302,R$212))</f>
        <v/>
      </c>
      <c r="S274" s="51" t="str">
        <f aca="false">IF($A274="","",SUMIFS(工数明細!$G$3:$G$302,工数明細!$B$3:$B$302,$A274,工数明細!$I$3:$I$302,S$212))</f>
        <v/>
      </c>
      <c r="T274" s="51" t="str">
        <f aca="false">IF($A274="","",SUMIFS(工数明細!$G$3:$G$302,工数明細!$B$3:$B$302,$A274,工数明細!$I$3:$I$302,T$212))</f>
        <v/>
      </c>
      <c r="U274" s="51" t="str">
        <f aca="false">IF($A274="","",SUMIFS(工数明細!$G$3:$G$302,工数明細!$B$3:$B$302,$A274,工数明細!$I$3:$I$302,U$212))</f>
        <v/>
      </c>
      <c r="V274" s="51" t="str">
        <f aca="false">IF($A274="","",SUMIFS(工数明細!$G$3:$G$302,工数明細!$B$3:$B$302,$A274,工数明細!$I$3:$I$302,V$212))</f>
        <v/>
      </c>
      <c r="W274" s="51" t="str">
        <f aca="false">IF($A274="","",SUMIFS(工数明細!$G$3:$G$302,工数明細!$B$3:$B$302,$A274,工数明細!$I$3:$I$302,W$212))</f>
        <v/>
      </c>
      <c r="X274" s="51" t="str">
        <f aca="false">IF($A274="","",SUMIFS(工数明細!$G$3:$G$302,工数明細!$B$3:$B$302,$A274,工数明細!$I$3:$I$302,X$212))</f>
        <v/>
      </c>
      <c r="Y274" s="51" t="str">
        <f aca="false">IF($A274="","",SUMIFS(工数明細!$G$3:$G$302,工数明細!$B$3:$B$302,$A274,工数明細!$I$3:$I$302,Y$212))</f>
        <v/>
      </c>
      <c r="Z274" s="51" t="str">
        <f aca="false">IF($A274="","",SUMIFS(工数明細!$G$3:$G$302,工数明細!$B$3:$B$302,$A274,工数明細!$I$3:$I$302,Z$212))</f>
        <v/>
      </c>
      <c r="AA274" s="51" t="str">
        <f aca="false">IF($A274="","",SUMIFS(工数明細!$G$3:$G$302,工数明細!$B$3:$B$302,$A274,工数明細!$I$3:$I$302,AA$212))</f>
        <v/>
      </c>
      <c r="AB274" s="51" t="str">
        <f aca="false">IF($A274="","",SUMIFS(工数明細!$G$3:$G$302,工数明細!$B$3:$B$302,$A274,工数明細!$I$3:$I$302,AB$212))</f>
        <v/>
      </c>
      <c r="AC274" s="51" t="str">
        <f aca="false">IF($A274="","",SUMIFS(工数明細!$G$3:$G$302,工数明細!$B$3:$B$302,$A274,工数明細!$I$3:$I$302,AC$212))</f>
        <v/>
      </c>
      <c r="AD274" s="51" t="str">
        <f aca="false">IF($A274="","",SUMIFS(工数明細!$G$3:$G$302,工数明細!$B$3:$B$302,$A274,工数明細!$I$3:$I$302,AD$212))</f>
        <v/>
      </c>
    </row>
    <row r="275" customFormat="false" ht="15.75" hidden="false" customHeight="true" outlineLevel="0" collapsed="false">
      <c r="A275" s="28" t="str">
        <f aca="false">IF(案件管理!$A$64:$A$64="","",案件管理!$A$64:$A$64)</f>
        <v/>
      </c>
      <c r="B275" s="10" t="str">
        <f aca="false">IF($A275="","",案件管理!$B$64:$B$64)</f>
        <v/>
      </c>
      <c r="C275" s="10" t="str">
        <f aca="false">IF($A275="","",案件管理!$D$64:$D$64)</f>
        <v/>
      </c>
      <c r="D275" s="30" t="str">
        <f aca="false">IF($A275="","",案件管理!$AE$64:$AE$64)</f>
        <v/>
      </c>
      <c r="E275" s="30" t="str">
        <f aca="false">IF($A275="","",SUM($G275:$AD275))</f>
        <v/>
      </c>
      <c r="F275" s="51" t="str">
        <f aca="false">IF($A275="","",N($E69)-N($E275))</f>
        <v/>
      </c>
      <c r="G275" s="51" t="str">
        <f aca="false">IF($A275="","",SUMIFS(工数明細!$G$3:$G$302,工数明細!$B$3:$B$302,$A275,工数明細!$I$3:$I$302,G$212))</f>
        <v/>
      </c>
      <c r="H275" s="51" t="str">
        <f aca="false">IF($A275="","",SUMIFS(工数明細!$G$3:$G$302,工数明細!$B$3:$B$302,$A275,工数明細!$I$3:$I$302,H$212))</f>
        <v/>
      </c>
      <c r="I275" s="51" t="str">
        <f aca="false">IF($A275="","",SUMIFS(工数明細!$G$3:$G$302,工数明細!$B$3:$B$302,$A275,工数明細!$I$3:$I$302,I$212))</f>
        <v/>
      </c>
      <c r="J275" s="51" t="str">
        <f aca="false">IF($A275="","",SUMIFS(工数明細!$G$3:$G$302,工数明細!$B$3:$B$302,$A275,工数明細!$I$3:$I$302,J$212))</f>
        <v/>
      </c>
      <c r="K275" s="51" t="str">
        <f aca="false">IF($A275="","",SUMIFS(工数明細!$G$3:$G$302,工数明細!$B$3:$B$302,$A275,工数明細!$I$3:$I$302,K$212))</f>
        <v/>
      </c>
      <c r="L275" s="51" t="str">
        <f aca="false">IF($A275="","",SUMIFS(工数明細!$G$3:$G$302,工数明細!$B$3:$B$302,$A275,工数明細!$I$3:$I$302,L$212))</f>
        <v/>
      </c>
      <c r="M275" s="51" t="str">
        <f aca="false">IF($A275="","",SUMIFS(工数明細!$G$3:$G$302,工数明細!$B$3:$B$302,$A275,工数明細!$I$3:$I$302,M$212))</f>
        <v/>
      </c>
      <c r="N275" s="51" t="str">
        <f aca="false">IF($A275="","",SUMIFS(工数明細!$G$3:$G$302,工数明細!$B$3:$B$302,$A275,工数明細!$I$3:$I$302,N$212))</f>
        <v/>
      </c>
      <c r="O275" s="51" t="str">
        <f aca="false">IF($A275="","",SUMIFS(工数明細!$G$3:$G$302,工数明細!$B$3:$B$302,$A275,工数明細!$I$3:$I$302,O$212))</f>
        <v/>
      </c>
      <c r="P275" s="51" t="str">
        <f aca="false">IF($A275="","",SUMIFS(工数明細!$G$3:$G$302,工数明細!$B$3:$B$302,$A275,工数明細!$I$3:$I$302,P$212))</f>
        <v/>
      </c>
      <c r="Q275" s="51" t="str">
        <f aca="false">IF($A275="","",SUMIFS(工数明細!$G$3:$G$302,工数明細!$B$3:$B$302,$A275,工数明細!$I$3:$I$302,Q$212))</f>
        <v/>
      </c>
      <c r="R275" s="51" t="str">
        <f aca="false">IF($A275="","",SUMIFS(工数明細!$G$3:$G$302,工数明細!$B$3:$B$302,$A275,工数明細!$I$3:$I$302,R$212))</f>
        <v/>
      </c>
      <c r="S275" s="51" t="str">
        <f aca="false">IF($A275="","",SUMIFS(工数明細!$G$3:$G$302,工数明細!$B$3:$B$302,$A275,工数明細!$I$3:$I$302,S$212))</f>
        <v/>
      </c>
      <c r="T275" s="51" t="str">
        <f aca="false">IF($A275="","",SUMIFS(工数明細!$G$3:$G$302,工数明細!$B$3:$B$302,$A275,工数明細!$I$3:$I$302,T$212))</f>
        <v/>
      </c>
      <c r="U275" s="51" t="str">
        <f aca="false">IF($A275="","",SUMIFS(工数明細!$G$3:$G$302,工数明細!$B$3:$B$302,$A275,工数明細!$I$3:$I$302,U$212))</f>
        <v/>
      </c>
      <c r="V275" s="51" t="str">
        <f aca="false">IF($A275="","",SUMIFS(工数明細!$G$3:$G$302,工数明細!$B$3:$B$302,$A275,工数明細!$I$3:$I$302,V$212))</f>
        <v/>
      </c>
      <c r="W275" s="51" t="str">
        <f aca="false">IF($A275="","",SUMIFS(工数明細!$G$3:$G$302,工数明細!$B$3:$B$302,$A275,工数明細!$I$3:$I$302,W$212))</f>
        <v/>
      </c>
      <c r="X275" s="51" t="str">
        <f aca="false">IF($A275="","",SUMIFS(工数明細!$G$3:$G$302,工数明細!$B$3:$B$302,$A275,工数明細!$I$3:$I$302,X$212))</f>
        <v/>
      </c>
      <c r="Y275" s="51" t="str">
        <f aca="false">IF($A275="","",SUMIFS(工数明細!$G$3:$G$302,工数明細!$B$3:$B$302,$A275,工数明細!$I$3:$I$302,Y$212))</f>
        <v/>
      </c>
      <c r="Z275" s="51" t="str">
        <f aca="false">IF($A275="","",SUMIFS(工数明細!$G$3:$G$302,工数明細!$B$3:$B$302,$A275,工数明細!$I$3:$I$302,Z$212))</f>
        <v/>
      </c>
      <c r="AA275" s="51" t="str">
        <f aca="false">IF($A275="","",SUMIFS(工数明細!$G$3:$G$302,工数明細!$B$3:$B$302,$A275,工数明細!$I$3:$I$302,AA$212))</f>
        <v/>
      </c>
      <c r="AB275" s="51" t="str">
        <f aca="false">IF($A275="","",SUMIFS(工数明細!$G$3:$G$302,工数明細!$B$3:$B$302,$A275,工数明細!$I$3:$I$302,AB$212))</f>
        <v/>
      </c>
      <c r="AC275" s="51" t="str">
        <f aca="false">IF($A275="","",SUMIFS(工数明細!$G$3:$G$302,工数明細!$B$3:$B$302,$A275,工数明細!$I$3:$I$302,AC$212))</f>
        <v/>
      </c>
      <c r="AD275" s="51" t="str">
        <f aca="false">IF($A275="","",SUMIFS(工数明細!$G$3:$G$302,工数明細!$B$3:$B$302,$A275,工数明細!$I$3:$I$302,AD$212))</f>
        <v/>
      </c>
    </row>
    <row r="276" customFormat="false" ht="15.75" hidden="false" customHeight="true" outlineLevel="0" collapsed="false">
      <c r="A276" s="28" t="str">
        <f aca="false">IF(案件管理!$A$65:$A$65="","",案件管理!$A$65:$A$65)</f>
        <v/>
      </c>
      <c r="B276" s="10" t="str">
        <f aca="false">IF($A276="","",案件管理!$B$65:$B$65)</f>
        <v/>
      </c>
      <c r="C276" s="10" t="str">
        <f aca="false">IF($A276="","",案件管理!$D$65:$D$65)</f>
        <v/>
      </c>
      <c r="D276" s="30" t="str">
        <f aca="false">IF($A276="","",案件管理!$AE$65:$AE$65)</f>
        <v/>
      </c>
      <c r="E276" s="30" t="str">
        <f aca="false">IF($A276="","",SUM($G276:$AD276))</f>
        <v/>
      </c>
      <c r="F276" s="51" t="str">
        <f aca="false">IF($A276="","",N($E70)-N($E276))</f>
        <v/>
      </c>
      <c r="G276" s="51" t="str">
        <f aca="false">IF($A276="","",SUMIFS(工数明細!$G$3:$G$302,工数明細!$B$3:$B$302,$A276,工数明細!$I$3:$I$302,G$212))</f>
        <v/>
      </c>
      <c r="H276" s="51" t="str">
        <f aca="false">IF($A276="","",SUMIFS(工数明細!$G$3:$G$302,工数明細!$B$3:$B$302,$A276,工数明細!$I$3:$I$302,H$212))</f>
        <v/>
      </c>
      <c r="I276" s="51" t="str">
        <f aca="false">IF($A276="","",SUMIFS(工数明細!$G$3:$G$302,工数明細!$B$3:$B$302,$A276,工数明細!$I$3:$I$302,I$212))</f>
        <v/>
      </c>
      <c r="J276" s="51" t="str">
        <f aca="false">IF($A276="","",SUMIFS(工数明細!$G$3:$G$302,工数明細!$B$3:$B$302,$A276,工数明細!$I$3:$I$302,J$212))</f>
        <v/>
      </c>
      <c r="K276" s="51" t="str">
        <f aca="false">IF($A276="","",SUMIFS(工数明細!$G$3:$G$302,工数明細!$B$3:$B$302,$A276,工数明細!$I$3:$I$302,K$212))</f>
        <v/>
      </c>
      <c r="L276" s="51" t="str">
        <f aca="false">IF($A276="","",SUMIFS(工数明細!$G$3:$G$302,工数明細!$B$3:$B$302,$A276,工数明細!$I$3:$I$302,L$212))</f>
        <v/>
      </c>
      <c r="M276" s="51" t="str">
        <f aca="false">IF($A276="","",SUMIFS(工数明細!$G$3:$G$302,工数明細!$B$3:$B$302,$A276,工数明細!$I$3:$I$302,M$212))</f>
        <v/>
      </c>
      <c r="N276" s="51" t="str">
        <f aca="false">IF($A276="","",SUMIFS(工数明細!$G$3:$G$302,工数明細!$B$3:$B$302,$A276,工数明細!$I$3:$I$302,N$212))</f>
        <v/>
      </c>
      <c r="O276" s="51" t="str">
        <f aca="false">IF($A276="","",SUMIFS(工数明細!$G$3:$G$302,工数明細!$B$3:$B$302,$A276,工数明細!$I$3:$I$302,O$212))</f>
        <v/>
      </c>
      <c r="P276" s="51" t="str">
        <f aca="false">IF($A276="","",SUMIFS(工数明細!$G$3:$G$302,工数明細!$B$3:$B$302,$A276,工数明細!$I$3:$I$302,P$212))</f>
        <v/>
      </c>
      <c r="Q276" s="51" t="str">
        <f aca="false">IF($A276="","",SUMIFS(工数明細!$G$3:$G$302,工数明細!$B$3:$B$302,$A276,工数明細!$I$3:$I$302,Q$212))</f>
        <v/>
      </c>
      <c r="R276" s="51" t="str">
        <f aca="false">IF($A276="","",SUMIFS(工数明細!$G$3:$G$302,工数明細!$B$3:$B$302,$A276,工数明細!$I$3:$I$302,R$212))</f>
        <v/>
      </c>
      <c r="S276" s="51" t="str">
        <f aca="false">IF($A276="","",SUMIFS(工数明細!$G$3:$G$302,工数明細!$B$3:$B$302,$A276,工数明細!$I$3:$I$302,S$212))</f>
        <v/>
      </c>
      <c r="T276" s="51" t="str">
        <f aca="false">IF($A276="","",SUMIFS(工数明細!$G$3:$G$302,工数明細!$B$3:$B$302,$A276,工数明細!$I$3:$I$302,T$212))</f>
        <v/>
      </c>
      <c r="U276" s="51" t="str">
        <f aca="false">IF($A276="","",SUMIFS(工数明細!$G$3:$G$302,工数明細!$B$3:$B$302,$A276,工数明細!$I$3:$I$302,U$212))</f>
        <v/>
      </c>
      <c r="V276" s="51" t="str">
        <f aca="false">IF($A276="","",SUMIFS(工数明細!$G$3:$G$302,工数明細!$B$3:$B$302,$A276,工数明細!$I$3:$I$302,V$212))</f>
        <v/>
      </c>
      <c r="W276" s="51" t="str">
        <f aca="false">IF($A276="","",SUMIFS(工数明細!$G$3:$G$302,工数明細!$B$3:$B$302,$A276,工数明細!$I$3:$I$302,W$212))</f>
        <v/>
      </c>
      <c r="X276" s="51" t="str">
        <f aca="false">IF($A276="","",SUMIFS(工数明細!$G$3:$G$302,工数明細!$B$3:$B$302,$A276,工数明細!$I$3:$I$302,X$212))</f>
        <v/>
      </c>
      <c r="Y276" s="51" t="str">
        <f aca="false">IF($A276="","",SUMIFS(工数明細!$G$3:$G$302,工数明細!$B$3:$B$302,$A276,工数明細!$I$3:$I$302,Y$212))</f>
        <v/>
      </c>
      <c r="Z276" s="51" t="str">
        <f aca="false">IF($A276="","",SUMIFS(工数明細!$G$3:$G$302,工数明細!$B$3:$B$302,$A276,工数明細!$I$3:$I$302,Z$212))</f>
        <v/>
      </c>
      <c r="AA276" s="51" t="str">
        <f aca="false">IF($A276="","",SUMIFS(工数明細!$G$3:$G$302,工数明細!$B$3:$B$302,$A276,工数明細!$I$3:$I$302,AA$212))</f>
        <v/>
      </c>
      <c r="AB276" s="51" t="str">
        <f aca="false">IF($A276="","",SUMIFS(工数明細!$G$3:$G$302,工数明細!$B$3:$B$302,$A276,工数明細!$I$3:$I$302,AB$212))</f>
        <v/>
      </c>
      <c r="AC276" s="51" t="str">
        <f aca="false">IF($A276="","",SUMIFS(工数明細!$G$3:$G$302,工数明細!$B$3:$B$302,$A276,工数明細!$I$3:$I$302,AC$212))</f>
        <v/>
      </c>
      <c r="AD276" s="51" t="str">
        <f aca="false">IF($A276="","",SUMIFS(工数明細!$G$3:$G$302,工数明細!$B$3:$B$302,$A276,工数明細!$I$3:$I$302,AD$212))</f>
        <v/>
      </c>
    </row>
    <row r="277" customFormat="false" ht="15.75" hidden="false" customHeight="true" outlineLevel="0" collapsed="false">
      <c r="A277" s="28" t="str">
        <f aca="false">IF(案件管理!$A$66:$A$66="","",案件管理!$A$66:$A$66)</f>
        <v/>
      </c>
      <c r="B277" s="10" t="str">
        <f aca="false">IF($A277="","",案件管理!$B$66:$B$66)</f>
        <v/>
      </c>
      <c r="C277" s="10" t="str">
        <f aca="false">IF($A277="","",案件管理!$D$66:$D$66)</f>
        <v/>
      </c>
      <c r="D277" s="30" t="str">
        <f aca="false">IF($A277="","",案件管理!$AE$66:$AE$66)</f>
        <v/>
      </c>
      <c r="E277" s="30" t="str">
        <f aca="false">IF($A277="","",SUM($G277:$AD277))</f>
        <v/>
      </c>
      <c r="F277" s="51" t="str">
        <f aca="false">IF($A277="","",N($E71)-N($E277))</f>
        <v/>
      </c>
      <c r="G277" s="51" t="str">
        <f aca="false">IF($A277="","",SUMIFS(工数明細!$G$3:$G$302,工数明細!$B$3:$B$302,$A277,工数明細!$I$3:$I$302,G$212))</f>
        <v/>
      </c>
      <c r="H277" s="51" t="str">
        <f aca="false">IF($A277="","",SUMIFS(工数明細!$G$3:$G$302,工数明細!$B$3:$B$302,$A277,工数明細!$I$3:$I$302,H$212))</f>
        <v/>
      </c>
      <c r="I277" s="51" t="str">
        <f aca="false">IF($A277="","",SUMIFS(工数明細!$G$3:$G$302,工数明細!$B$3:$B$302,$A277,工数明細!$I$3:$I$302,I$212))</f>
        <v/>
      </c>
      <c r="J277" s="51" t="str">
        <f aca="false">IF($A277="","",SUMIFS(工数明細!$G$3:$G$302,工数明細!$B$3:$B$302,$A277,工数明細!$I$3:$I$302,J$212))</f>
        <v/>
      </c>
      <c r="K277" s="51" t="str">
        <f aca="false">IF($A277="","",SUMIFS(工数明細!$G$3:$G$302,工数明細!$B$3:$B$302,$A277,工数明細!$I$3:$I$302,K$212))</f>
        <v/>
      </c>
      <c r="L277" s="51" t="str">
        <f aca="false">IF($A277="","",SUMIFS(工数明細!$G$3:$G$302,工数明細!$B$3:$B$302,$A277,工数明細!$I$3:$I$302,L$212))</f>
        <v/>
      </c>
      <c r="M277" s="51" t="str">
        <f aca="false">IF($A277="","",SUMIFS(工数明細!$G$3:$G$302,工数明細!$B$3:$B$302,$A277,工数明細!$I$3:$I$302,M$212))</f>
        <v/>
      </c>
      <c r="N277" s="51" t="str">
        <f aca="false">IF($A277="","",SUMIFS(工数明細!$G$3:$G$302,工数明細!$B$3:$B$302,$A277,工数明細!$I$3:$I$302,N$212))</f>
        <v/>
      </c>
      <c r="O277" s="51" t="str">
        <f aca="false">IF($A277="","",SUMIFS(工数明細!$G$3:$G$302,工数明細!$B$3:$B$302,$A277,工数明細!$I$3:$I$302,O$212))</f>
        <v/>
      </c>
      <c r="P277" s="51" t="str">
        <f aca="false">IF($A277="","",SUMIFS(工数明細!$G$3:$G$302,工数明細!$B$3:$B$302,$A277,工数明細!$I$3:$I$302,P$212))</f>
        <v/>
      </c>
      <c r="Q277" s="51" t="str">
        <f aca="false">IF($A277="","",SUMIFS(工数明細!$G$3:$G$302,工数明細!$B$3:$B$302,$A277,工数明細!$I$3:$I$302,Q$212))</f>
        <v/>
      </c>
      <c r="R277" s="51" t="str">
        <f aca="false">IF($A277="","",SUMIFS(工数明細!$G$3:$G$302,工数明細!$B$3:$B$302,$A277,工数明細!$I$3:$I$302,R$212))</f>
        <v/>
      </c>
      <c r="S277" s="51" t="str">
        <f aca="false">IF($A277="","",SUMIFS(工数明細!$G$3:$G$302,工数明細!$B$3:$B$302,$A277,工数明細!$I$3:$I$302,S$212))</f>
        <v/>
      </c>
      <c r="T277" s="51" t="str">
        <f aca="false">IF($A277="","",SUMIFS(工数明細!$G$3:$G$302,工数明細!$B$3:$B$302,$A277,工数明細!$I$3:$I$302,T$212))</f>
        <v/>
      </c>
      <c r="U277" s="51" t="str">
        <f aca="false">IF($A277="","",SUMIFS(工数明細!$G$3:$G$302,工数明細!$B$3:$B$302,$A277,工数明細!$I$3:$I$302,U$212))</f>
        <v/>
      </c>
      <c r="V277" s="51" t="str">
        <f aca="false">IF($A277="","",SUMIFS(工数明細!$G$3:$G$302,工数明細!$B$3:$B$302,$A277,工数明細!$I$3:$I$302,V$212))</f>
        <v/>
      </c>
      <c r="W277" s="51" t="str">
        <f aca="false">IF($A277="","",SUMIFS(工数明細!$G$3:$G$302,工数明細!$B$3:$B$302,$A277,工数明細!$I$3:$I$302,W$212))</f>
        <v/>
      </c>
      <c r="X277" s="51" t="str">
        <f aca="false">IF($A277="","",SUMIFS(工数明細!$G$3:$G$302,工数明細!$B$3:$B$302,$A277,工数明細!$I$3:$I$302,X$212))</f>
        <v/>
      </c>
      <c r="Y277" s="51" t="str">
        <f aca="false">IF($A277="","",SUMIFS(工数明細!$G$3:$G$302,工数明細!$B$3:$B$302,$A277,工数明細!$I$3:$I$302,Y$212))</f>
        <v/>
      </c>
      <c r="Z277" s="51" t="str">
        <f aca="false">IF($A277="","",SUMIFS(工数明細!$G$3:$G$302,工数明細!$B$3:$B$302,$A277,工数明細!$I$3:$I$302,Z$212))</f>
        <v/>
      </c>
      <c r="AA277" s="51" t="str">
        <f aca="false">IF($A277="","",SUMIFS(工数明細!$G$3:$G$302,工数明細!$B$3:$B$302,$A277,工数明細!$I$3:$I$302,AA$212))</f>
        <v/>
      </c>
      <c r="AB277" s="51" t="str">
        <f aca="false">IF($A277="","",SUMIFS(工数明細!$G$3:$G$302,工数明細!$B$3:$B$302,$A277,工数明細!$I$3:$I$302,AB$212))</f>
        <v/>
      </c>
      <c r="AC277" s="51" t="str">
        <f aca="false">IF($A277="","",SUMIFS(工数明細!$G$3:$G$302,工数明細!$B$3:$B$302,$A277,工数明細!$I$3:$I$302,AC$212))</f>
        <v/>
      </c>
      <c r="AD277" s="51" t="str">
        <f aca="false">IF($A277="","",SUMIFS(工数明細!$G$3:$G$302,工数明細!$B$3:$B$302,$A277,工数明細!$I$3:$I$302,AD$212))</f>
        <v/>
      </c>
    </row>
    <row r="278" customFormat="false" ht="15.75" hidden="false" customHeight="true" outlineLevel="0" collapsed="false">
      <c r="A278" s="28" t="str">
        <f aca="false">IF(案件管理!$A$67:$A$67="","",案件管理!$A$67:$A$67)</f>
        <v/>
      </c>
      <c r="B278" s="10" t="str">
        <f aca="false">IF($A278="","",案件管理!$B$67:$B$67)</f>
        <v/>
      </c>
      <c r="C278" s="10" t="str">
        <f aca="false">IF($A278="","",案件管理!$D$67:$D$67)</f>
        <v/>
      </c>
      <c r="D278" s="30" t="str">
        <f aca="false">IF($A278="","",案件管理!$AE$67:$AE$67)</f>
        <v/>
      </c>
      <c r="E278" s="30" t="str">
        <f aca="false">IF($A278="","",SUM($G278:$AD278))</f>
        <v/>
      </c>
      <c r="F278" s="51" t="str">
        <f aca="false">IF($A278="","",N($E72)-N($E278))</f>
        <v/>
      </c>
      <c r="G278" s="51" t="str">
        <f aca="false">IF($A278="","",SUMIFS(工数明細!$G$3:$G$302,工数明細!$B$3:$B$302,$A278,工数明細!$I$3:$I$302,G$212))</f>
        <v/>
      </c>
      <c r="H278" s="51" t="str">
        <f aca="false">IF($A278="","",SUMIFS(工数明細!$G$3:$G$302,工数明細!$B$3:$B$302,$A278,工数明細!$I$3:$I$302,H$212))</f>
        <v/>
      </c>
      <c r="I278" s="51" t="str">
        <f aca="false">IF($A278="","",SUMIFS(工数明細!$G$3:$G$302,工数明細!$B$3:$B$302,$A278,工数明細!$I$3:$I$302,I$212))</f>
        <v/>
      </c>
      <c r="J278" s="51" t="str">
        <f aca="false">IF($A278="","",SUMIFS(工数明細!$G$3:$G$302,工数明細!$B$3:$B$302,$A278,工数明細!$I$3:$I$302,J$212))</f>
        <v/>
      </c>
      <c r="K278" s="51" t="str">
        <f aca="false">IF($A278="","",SUMIFS(工数明細!$G$3:$G$302,工数明細!$B$3:$B$302,$A278,工数明細!$I$3:$I$302,K$212))</f>
        <v/>
      </c>
      <c r="L278" s="51" t="str">
        <f aca="false">IF($A278="","",SUMIFS(工数明細!$G$3:$G$302,工数明細!$B$3:$B$302,$A278,工数明細!$I$3:$I$302,L$212))</f>
        <v/>
      </c>
      <c r="M278" s="51" t="str">
        <f aca="false">IF($A278="","",SUMIFS(工数明細!$G$3:$G$302,工数明細!$B$3:$B$302,$A278,工数明細!$I$3:$I$302,M$212))</f>
        <v/>
      </c>
      <c r="N278" s="51" t="str">
        <f aca="false">IF($A278="","",SUMIFS(工数明細!$G$3:$G$302,工数明細!$B$3:$B$302,$A278,工数明細!$I$3:$I$302,N$212))</f>
        <v/>
      </c>
      <c r="O278" s="51" t="str">
        <f aca="false">IF($A278="","",SUMIFS(工数明細!$G$3:$G$302,工数明細!$B$3:$B$302,$A278,工数明細!$I$3:$I$302,O$212))</f>
        <v/>
      </c>
      <c r="P278" s="51" t="str">
        <f aca="false">IF($A278="","",SUMIFS(工数明細!$G$3:$G$302,工数明細!$B$3:$B$302,$A278,工数明細!$I$3:$I$302,P$212))</f>
        <v/>
      </c>
      <c r="Q278" s="51" t="str">
        <f aca="false">IF($A278="","",SUMIFS(工数明細!$G$3:$G$302,工数明細!$B$3:$B$302,$A278,工数明細!$I$3:$I$302,Q$212))</f>
        <v/>
      </c>
      <c r="R278" s="51" t="str">
        <f aca="false">IF($A278="","",SUMIFS(工数明細!$G$3:$G$302,工数明細!$B$3:$B$302,$A278,工数明細!$I$3:$I$302,R$212))</f>
        <v/>
      </c>
      <c r="S278" s="51" t="str">
        <f aca="false">IF($A278="","",SUMIFS(工数明細!$G$3:$G$302,工数明細!$B$3:$B$302,$A278,工数明細!$I$3:$I$302,S$212))</f>
        <v/>
      </c>
      <c r="T278" s="51" t="str">
        <f aca="false">IF($A278="","",SUMIFS(工数明細!$G$3:$G$302,工数明細!$B$3:$B$302,$A278,工数明細!$I$3:$I$302,T$212))</f>
        <v/>
      </c>
      <c r="U278" s="51" t="str">
        <f aca="false">IF($A278="","",SUMIFS(工数明細!$G$3:$G$302,工数明細!$B$3:$B$302,$A278,工数明細!$I$3:$I$302,U$212))</f>
        <v/>
      </c>
      <c r="V278" s="51" t="str">
        <f aca="false">IF($A278="","",SUMIFS(工数明細!$G$3:$G$302,工数明細!$B$3:$B$302,$A278,工数明細!$I$3:$I$302,V$212))</f>
        <v/>
      </c>
      <c r="W278" s="51" t="str">
        <f aca="false">IF($A278="","",SUMIFS(工数明細!$G$3:$G$302,工数明細!$B$3:$B$302,$A278,工数明細!$I$3:$I$302,W$212))</f>
        <v/>
      </c>
      <c r="X278" s="51" t="str">
        <f aca="false">IF($A278="","",SUMIFS(工数明細!$G$3:$G$302,工数明細!$B$3:$B$302,$A278,工数明細!$I$3:$I$302,X$212))</f>
        <v/>
      </c>
      <c r="Y278" s="51" t="str">
        <f aca="false">IF($A278="","",SUMIFS(工数明細!$G$3:$G$302,工数明細!$B$3:$B$302,$A278,工数明細!$I$3:$I$302,Y$212))</f>
        <v/>
      </c>
      <c r="Z278" s="51" t="str">
        <f aca="false">IF($A278="","",SUMIFS(工数明細!$G$3:$G$302,工数明細!$B$3:$B$302,$A278,工数明細!$I$3:$I$302,Z$212))</f>
        <v/>
      </c>
      <c r="AA278" s="51" t="str">
        <f aca="false">IF($A278="","",SUMIFS(工数明細!$G$3:$G$302,工数明細!$B$3:$B$302,$A278,工数明細!$I$3:$I$302,AA$212))</f>
        <v/>
      </c>
      <c r="AB278" s="51" t="str">
        <f aca="false">IF($A278="","",SUMIFS(工数明細!$G$3:$G$302,工数明細!$B$3:$B$302,$A278,工数明細!$I$3:$I$302,AB$212))</f>
        <v/>
      </c>
      <c r="AC278" s="51" t="str">
        <f aca="false">IF($A278="","",SUMIFS(工数明細!$G$3:$G$302,工数明細!$B$3:$B$302,$A278,工数明細!$I$3:$I$302,AC$212))</f>
        <v/>
      </c>
      <c r="AD278" s="51" t="str">
        <f aca="false">IF($A278="","",SUMIFS(工数明細!$G$3:$G$302,工数明細!$B$3:$B$302,$A278,工数明細!$I$3:$I$302,AD$212))</f>
        <v/>
      </c>
    </row>
    <row r="279" customFormat="false" ht="15.75" hidden="false" customHeight="true" outlineLevel="0" collapsed="false">
      <c r="A279" s="28" t="str">
        <f aca="false">IF(案件管理!$A$68:$A$68="","",案件管理!$A$68:$A$68)</f>
        <v/>
      </c>
      <c r="B279" s="10" t="str">
        <f aca="false">IF($A279="","",案件管理!$B$68:$B$68)</f>
        <v/>
      </c>
      <c r="C279" s="10" t="str">
        <f aca="false">IF($A279="","",案件管理!$D$68:$D$68)</f>
        <v/>
      </c>
      <c r="D279" s="30" t="str">
        <f aca="false">IF($A279="","",案件管理!$AE$68:$AE$68)</f>
        <v/>
      </c>
      <c r="E279" s="30" t="str">
        <f aca="false">IF($A279="","",SUM($G279:$AD279))</f>
        <v/>
      </c>
      <c r="F279" s="51" t="str">
        <f aca="false">IF($A279="","",N($E73)-N($E279))</f>
        <v/>
      </c>
      <c r="G279" s="51" t="str">
        <f aca="false">IF($A279="","",SUMIFS(工数明細!$G$3:$G$302,工数明細!$B$3:$B$302,$A279,工数明細!$I$3:$I$302,G$212))</f>
        <v/>
      </c>
      <c r="H279" s="51" t="str">
        <f aca="false">IF($A279="","",SUMIFS(工数明細!$G$3:$G$302,工数明細!$B$3:$B$302,$A279,工数明細!$I$3:$I$302,H$212))</f>
        <v/>
      </c>
      <c r="I279" s="51" t="str">
        <f aca="false">IF($A279="","",SUMIFS(工数明細!$G$3:$G$302,工数明細!$B$3:$B$302,$A279,工数明細!$I$3:$I$302,I$212))</f>
        <v/>
      </c>
      <c r="J279" s="51" t="str">
        <f aca="false">IF($A279="","",SUMIFS(工数明細!$G$3:$G$302,工数明細!$B$3:$B$302,$A279,工数明細!$I$3:$I$302,J$212))</f>
        <v/>
      </c>
      <c r="K279" s="51" t="str">
        <f aca="false">IF($A279="","",SUMIFS(工数明細!$G$3:$G$302,工数明細!$B$3:$B$302,$A279,工数明細!$I$3:$I$302,K$212))</f>
        <v/>
      </c>
      <c r="L279" s="51" t="str">
        <f aca="false">IF($A279="","",SUMIFS(工数明細!$G$3:$G$302,工数明細!$B$3:$B$302,$A279,工数明細!$I$3:$I$302,L$212))</f>
        <v/>
      </c>
      <c r="M279" s="51" t="str">
        <f aca="false">IF($A279="","",SUMIFS(工数明細!$G$3:$G$302,工数明細!$B$3:$B$302,$A279,工数明細!$I$3:$I$302,M$212))</f>
        <v/>
      </c>
      <c r="N279" s="51" t="str">
        <f aca="false">IF($A279="","",SUMIFS(工数明細!$G$3:$G$302,工数明細!$B$3:$B$302,$A279,工数明細!$I$3:$I$302,N$212))</f>
        <v/>
      </c>
      <c r="O279" s="51" t="str">
        <f aca="false">IF($A279="","",SUMIFS(工数明細!$G$3:$G$302,工数明細!$B$3:$B$302,$A279,工数明細!$I$3:$I$302,O$212))</f>
        <v/>
      </c>
      <c r="P279" s="51" t="str">
        <f aca="false">IF($A279="","",SUMIFS(工数明細!$G$3:$G$302,工数明細!$B$3:$B$302,$A279,工数明細!$I$3:$I$302,P$212))</f>
        <v/>
      </c>
      <c r="Q279" s="51" t="str">
        <f aca="false">IF($A279="","",SUMIFS(工数明細!$G$3:$G$302,工数明細!$B$3:$B$302,$A279,工数明細!$I$3:$I$302,Q$212))</f>
        <v/>
      </c>
      <c r="R279" s="51" t="str">
        <f aca="false">IF($A279="","",SUMIFS(工数明細!$G$3:$G$302,工数明細!$B$3:$B$302,$A279,工数明細!$I$3:$I$302,R$212))</f>
        <v/>
      </c>
      <c r="S279" s="51" t="str">
        <f aca="false">IF($A279="","",SUMIFS(工数明細!$G$3:$G$302,工数明細!$B$3:$B$302,$A279,工数明細!$I$3:$I$302,S$212))</f>
        <v/>
      </c>
      <c r="T279" s="51" t="str">
        <f aca="false">IF($A279="","",SUMIFS(工数明細!$G$3:$G$302,工数明細!$B$3:$B$302,$A279,工数明細!$I$3:$I$302,T$212))</f>
        <v/>
      </c>
      <c r="U279" s="51" t="str">
        <f aca="false">IF($A279="","",SUMIFS(工数明細!$G$3:$G$302,工数明細!$B$3:$B$302,$A279,工数明細!$I$3:$I$302,U$212))</f>
        <v/>
      </c>
      <c r="V279" s="51" t="str">
        <f aca="false">IF($A279="","",SUMIFS(工数明細!$G$3:$G$302,工数明細!$B$3:$B$302,$A279,工数明細!$I$3:$I$302,V$212))</f>
        <v/>
      </c>
      <c r="W279" s="51" t="str">
        <f aca="false">IF($A279="","",SUMIFS(工数明細!$G$3:$G$302,工数明細!$B$3:$B$302,$A279,工数明細!$I$3:$I$302,W$212))</f>
        <v/>
      </c>
      <c r="X279" s="51" t="str">
        <f aca="false">IF($A279="","",SUMIFS(工数明細!$G$3:$G$302,工数明細!$B$3:$B$302,$A279,工数明細!$I$3:$I$302,X$212))</f>
        <v/>
      </c>
      <c r="Y279" s="51" t="str">
        <f aca="false">IF($A279="","",SUMIFS(工数明細!$G$3:$G$302,工数明細!$B$3:$B$302,$A279,工数明細!$I$3:$I$302,Y$212))</f>
        <v/>
      </c>
      <c r="Z279" s="51" t="str">
        <f aca="false">IF($A279="","",SUMIFS(工数明細!$G$3:$G$302,工数明細!$B$3:$B$302,$A279,工数明細!$I$3:$I$302,Z$212))</f>
        <v/>
      </c>
      <c r="AA279" s="51" t="str">
        <f aca="false">IF($A279="","",SUMIFS(工数明細!$G$3:$G$302,工数明細!$B$3:$B$302,$A279,工数明細!$I$3:$I$302,AA$212))</f>
        <v/>
      </c>
      <c r="AB279" s="51" t="str">
        <f aca="false">IF($A279="","",SUMIFS(工数明細!$G$3:$G$302,工数明細!$B$3:$B$302,$A279,工数明細!$I$3:$I$302,AB$212))</f>
        <v/>
      </c>
      <c r="AC279" s="51" t="str">
        <f aca="false">IF($A279="","",SUMIFS(工数明細!$G$3:$G$302,工数明細!$B$3:$B$302,$A279,工数明細!$I$3:$I$302,AC$212))</f>
        <v/>
      </c>
      <c r="AD279" s="51" t="str">
        <f aca="false">IF($A279="","",SUMIFS(工数明細!$G$3:$G$302,工数明細!$B$3:$B$302,$A279,工数明細!$I$3:$I$302,AD$212))</f>
        <v/>
      </c>
    </row>
    <row r="280" customFormat="false" ht="15.75" hidden="false" customHeight="true" outlineLevel="0" collapsed="false">
      <c r="A280" s="28" t="str">
        <f aca="false">IF(案件管理!$A$69:$A$69="","",案件管理!$A$69:$A$69)</f>
        <v/>
      </c>
      <c r="B280" s="10" t="str">
        <f aca="false">IF($A280="","",案件管理!$B$69:$B$69)</f>
        <v/>
      </c>
      <c r="C280" s="10" t="str">
        <f aca="false">IF($A280="","",案件管理!$D$69:$D$69)</f>
        <v/>
      </c>
      <c r="D280" s="30" t="str">
        <f aca="false">IF($A280="","",案件管理!$AE$69:$AE$69)</f>
        <v/>
      </c>
      <c r="E280" s="30" t="str">
        <f aca="false">IF($A280="","",SUM($G280:$AD280))</f>
        <v/>
      </c>
      <c r="F280" s="51" t="str">
        <f aca="false">IF($A280="","",N($E74)-N($E280))</f>
        <v/>
      </c>
      <c r="G280" s="51" t="str">
        <f aca="false">IF($A280="","",SUMIFS(工数明細!$G$3:$G$302,工数明細!$B$3:$B$302,$A280,工数明細!$I$3:$I$302,G$212))</f>
        <v/>
      </c>
      <c r="H280" s="51" t="str">
        <f aca="false">IF($A280="","",SUMIFS(工数明細!$G$3:$G$302,工数明細!$B$3:$B$302,$A280,工数明細!$I$3:$I$302,H$212))</f>
        <v/>
      </c>
      <c r="I280" s="51" t="str">
        <f aca="false">IF($A280="","",SUMIFS(工数明細!$G$3:$G$302,工数明細!$B$3:$B$302,$A280,工数明細!$I$3:$I$302,I$212))</f>
        <v/>
      </c>
      <c r="J280" s="51" t="str">
        <f aca="false">IF($A280="","",SUMIFS(工数明細!$G$3:$G$302,工数明細!$B$3:$B$302,$A280,工数明細!$I$3:$I$302,J$212))</f>
        <v/>
      </c>
      <c r="K280" s="51" t="str">
        <f aca="false">IF($A280="","",SUMIFS(工数明細!$G$3:$G$302,工数明細!$B$3:$B$302,$A280,工数明細!$I$3:$I$302,K$212))</f>
        <v/>
      </c>
      <c r="L280" s="51" t="str">
        <f aca="false">IF($A280="","",SUMIFS(工数明細!$G$3:$G$302,工数明細!$B$3:$B$302,$A280,工数明細!$I$3:$I$302,L$212))</f>
        <v/>
      </c>
      <c r="M280" s="51" t="str">
        <f aca="false">IF($A280="","",SUMIFS(工数明細!$G$3:$G$302,工数明細!$B$3:$B$302,$A280,工数明細!$I$3:$I$302,M$212))</f>
        <v/>
      </c>
      <c r="N280" s="51" t="str">
        <f aca="false">IF($A280="","",SUMIFS(工数明細!$G$3:$G$302,工数明細!$B$3:$B$302,$A280,工数明細!$I$3:$I$302,N$212))</f>
        <v/>
      </c>
      <c r="O280" s="51" t="str">
        <f aca="false">IF($A280="","",SUMIFS(工数明細!$G$3:$G$302,工数明細!$B$3:$B$302,$A280,工数明細!$I$3:$I$302,O$212))</f>
        <v/>
      </c>
      <c r="P280" s="51" t="str">
        <f aca="false">IF($A280="","",SUMIFS(工数明細!$G$3:$G$302,工数明細!$B$3:$B$302,$A280,工数明細!$I$3:$I$302,P$212))</f>
        <v/>
      </c>
      <c r="Q280" s="51" t="str">
        <f aca="false">IF($A280="","",SUMIFS(工数明細!$G$3:$G$302,工数明細!$B$3:$B$302,$A280,工数明細!$I$3:$I$302,Q$212))</f>
        <v/>
      </c>
      <c r="R280" s="51" t="str">
        <f aca="false">IF($A280="","",SUMIFS(工数明細!$G$3:$G$302,工数明細!$B$3:$B$302,$A280,工数明細!$I$3:$I$302,R$212))</f>
        <v/>
      </c>
      <c r="S280" s="51" t="str">
        <f aca="false">IF($A280="","",SUMIFS(工数明細!$G$3:$G$302,工数明細!$B$3:$B$302,$A280,工数明細!$I$3:$I$302,S$212))</f>
        <v/>
      </c>
      <c r="T280" s="51" t="str">
        <f aca="false">IF($A280="","",SUMIFS(工数明細!$G$3:$G$302,工数明細!$B$3:$B$302,$A280,工数明細!$I$3:$I$302,T$212))</f>
        <v/>
      </c>
      <c r="U280" s="51" t="str">
        <f aca="false">IF($A280="","",SUMIFS(工数明細!$G$3:$G$302,工数明細!$B$3:$B$302,$A280,工数明細!$I$3:$I$302,U$212))</f>
        <v/>
      </c>
      <c r="V280" s="51" t="str">
        <f aca="false">IF($A280="","",SUMIFS(工数明細!$G$3:$G$302,工数明細!$B$3:$B$302,$A280,工数明細!$I$3:$I$302,V$212))</f>
        <v/>
      </c>
      <c r="W280" s="51" t="str">
        <f aca="false">IF($A280="","",SUMIFS(工数明細!$G$3:$G$302,工数明細!$B$3:$B$302,$A280,工数明細!$I$3:$I$302,W$212))</f>
        <v/>
      </c>
      <c r="X280" s="51" t="str">
        <f aca="false">IF($A280="","",SUMIFS(工数明細!$G$3:$G$302,工数明細!$B$3:$B$302,$A280,工数明細!$I$3:$I$302,X$212))</f>
        <v/>
      </c>
      <c r="Y280" s="51" t="str">
        <f aca="false">IF($A280="","",SUMIFS(工数明細!$G$3:$G$302,工数明細!$B$3:$B$302,$A280,工数明細!$I$3:$I$302,Y$212))</f>
        <v/>
      </c>
      <c r="Z280" s="51" t="str">
        <f aca="false">IF($A280="","",SUMIFS(工数明細!$G$3:$G$302,工数明細!$B$3:$B$302,$A280,工数明細!$I$3:$I$302,Z$212))</f>
        <v/>
      </c>
      <c r="AA280" s="51" t="str">
        <f aca="false">IF($A280="","",SUMIFS(工数明細!$G$3:$G$302,工数明細!$B$3:$B$302,$A280,工数明細!$I$3:$I$302,AA$212))</f>
        <v/>
      </c>
      <c r="AB280" s="51" t="str">
        <f aca="false">IF($A280="","",SUMIFS(工数明細!$G$3:$G$302,工数明細!$B$3:$B$302,$A280,工数明細!$I$3:$I$302,AB$212))</f>
        <v/>
      </c>
      <c r="AC280" s="51" t="str">
        <f aca="false">IF($A280="","",SUMIFS(工数明細!$G$3:$G$302,工数明細!$B$3:$B$302,$A280,工数明細!$I$3:$I$302,AC$212))</f>
        <v/>
      </c>
      <c r="AD280" s="51" t="str">
        <f aca="false">IF($A280="","",SUMIFS(工数明細!$G$3:$G$302,工数明細!$B$3:$B$302,$A280,工数明細!$I$3:$I$302,AD$212))</f>
        <v/>
      </c>
    </row>
    <row r="281" customFormat="false" ht="15.75" hidden="false" customHeight="true" outlineLevel="0" collapsed="false">
      <c r="A281" s="28" t="str">
        <f aca="false">IF(案件管理!$A$70:$A$70="","",案件管理!$A$70:$A$70)</f>
        <v/>
      </c>
      <c r="B281" s="10" t="str">
        <f aca="false">IF($A281="","",案件管理!$B$70:$B$70)</f>
        <v/>
      </c>
      <c r="C281" s="10" t="str">
        <f aca="false">IF($A281="","",案件管理!$D$70:$D$70)</f>
        <v/>
      </c>
      <c r="D281" s="30" t="str">
        <f aca="false">IF($A281="","",案件管理!$AE$70:$AE$70)</f>
        <v/>
      </c>
      <c r="E281" s="30" t="str">
        <f aca="false">IF($A281="","",SUM($G281:$AD281))</f>
        <v/>
      </c>
      <c r="F281" s="51" t="str">
        <f aca="false">IF($A281="","",N($E75)-N($E281))</f>
        <v/>
      </c>
      <c r="G281" s="51" t="str">
        <f aca="false">IF($A281="","",SUMIFS(工数明細!$G$3:$G$302,工数明細!$B$3:$B$302,$A281,工数明細!$I$3:$I$302,G$212))</f>
        <v/>
      </c>
      <c r="H281" s="51" t="str">
        <f aca="false">IF($A281="","",SUMIFS(工数明細!$G$3:$G$302,工数明細!$B$3:$B$302,$A281,工数明細!$I$3:$I$302,H$212))</f>
        <v/>
      </c>
      <c r="I281" s="51" t="str">
        <f aca="false">IF($A281="","",SUMIFS(工数明細!$G$3:$G$302,工数明細!$B$3:$B$302,$A281,工数明細!$I$3:$I$302,I$212))</f>
        <v/>
      </c>
      <c r="J281" s="51" t="str">
        <f aca="false">IF($A281="","",SUMIFS(工数明細!$G$3:$G$302,工数明細!$B$3:$B$302,$A281,工数明細!$I$3:$I$302,J$212))</f>
        <v/>
      </c>
      <c r="K281" s="51" t="str">
        <f aca="false">IF($A281="","",SUMIFS(工数明細!$G$3:$G$302,工数明細!$B$3:$B$302,$A281,工数明細!$I$3:$I$302,K$212))</f>
        <v/>
      </c>
      <c r="L281" s="51" t="str">
        <f aca="false">IF($A281="","",SUMIFS(工数明細!$G$3:$G$302,工数明細!$B$3:$B$302,$A281,工数明細!$I$3:$I$302,L$212))</f>
        <v/>
      </c>
      <c r="M281" s="51" t="str">
        <f aca="false">IF($A281="","",SUMIFS(工数明細!$G$3:$G$302,工数明細!$B$3:$B$302,$A281,工数明細!$I$3:$I$302,M$212))</f>
        <v/>
      </c>
      <c r="N281" s="51" t="str">
        <f aca="false">IF($A281="","",SUMIFS(工数明細!$G$3:$G$302,工数明細!$B$3:$B$302,$A281,工数明細!$I$3:$I$302,N$212))</f>
        <v/>
      </c>
      <c r="O281" s="51" t="str">
        <f aca="false">IF($A281="","",SUMIFS(工数明細!$G$3:$G$302,工数明細!$B$3:$B$302,$A281,工数明細!$I$3:$I$302,O$212))</f>
        <v/>
      </c>
      <c r="P281" s="51" t="str">
        <f aca="false">IF($A281="","",SUMIFS(工数明細!$G$3:$G$302,工数明細!$B$3:$B$302,$A281,工数明細!$I$3:$I$302,P$212))</f>
        <v/>
      </c>
      <c r="Q281" s="51" t="str">
        <f aca="false">IF($A281="","",SUMIFS(工数明細!$G$3:$G$302,工数明細!$B$3:$B$302,$A281,工数明細!$I$3:$I$302,Q$212))</f>
        <v/>
      </c>
      <c r="R281" s="51" t="str">
        <f aca="false">IF($A281="","",SUMIFS(工数明細!$G$3:$G$302,工数明細!$B$3:$B$302,$A281,工数明細!$I$3:$I$302,R$212))</f>
        <v/>
      </c>
      <c r="S281" s="51" t="str">
        <f aca="false">IF($A281="","",SUMIFS(工数明細!$G$3:$G$302,工数明細!$B$3:$B$302,$A281,工数明細!$I$3:$I$302,S$212))</f>
        <v/>
      </c>
      <c r="T281" s="51" t="str">
        <f aca="false">IF($A281="","",SUMIFS(工数明細!$G$3:$G$302,工数明細!$B$3:$B$302,$A281,工数明細!$I$3:$I$302,T$212))</f>
        <v/>
      </c>
      <c r="U281" s="51" t="str">
        <f aca="false">IF($A281="","",SUMIFS(工数明細!$G$3:$G$302,工数明細!$B$3:$B$302,$A281,工数明細!$I$3:$I$302,U$212))</f>
        <v/>
      </c>
      <c r="V281" s="51" t="str">
        <f aca="false">IF($A281="","",SUMIFS(工数明細!$G$3:$G$302,工数明細!$B$3:$B$302,$A281,工数明細!$I$3:$I$302,V$212))</f>
        <v/>
      </c>
      <c r="W281" s="51" t="str">
        <f aca="false">IF($A281="","",SUMIFS(工数明細!$G$3:$G$302,工数明細!$B$3:$B$302,$A281,工数明細!$I$3:$I$302,W$212))</f>
        <v/>
      </c>
      <c r="X281" s="51" t="str">
        <f aca="false">IF($A281="","",SUMIFS(工数明細!$G$3:$G$302,工数明細!$B$3:$B$302,$A281,工数明細!$I$3:$I$302,X$212))</f>
        <v/>
      </c>
      <c r="Y281" s="51" t="str">
        <f aca="false">IF($A281="","",SUMIFS(工数明細!$G$3:$G$302,工数明細!$B$3:$B$302,$A281,工数明細!$I$3:$I$302,Y$212))</f>
        <v/>
      </c>
      <c r="Z281" s="51" t="str">
        <f aca="false">IF($A281="","",SUMIFS(工数明細!$G$3:$G$302,工数明細!$B$3:$B$302,$A281,工数明細!$I$3:$I$302,Z$212))</f>
        <v/>
      </c>
      <c r="AA281" s="51" t="str">
        <f aca="false">IF($A281="","",SUMIFS(工数明細!$G$3:$G$302,工数明細!$B$3:$B$302,$A281,工数明細!$I$3:$I$302,AA$212))</f>
        <v/>
      </c>
      <c r="AB281" s="51" t="str">
        <f aca="false">IF($A281="","",SUMIFS(工数明細!$G$3:$G$302,工数明細!$B$3:$B$302,$A281,工数明細!$I$3:$I$302,AB$212))</f>
        <v/>
      </c>
      <c r="AC281" s="51" t="str">
        <f aca="false">IF($A281="","",SUMIFS(工数明細!$G$3:$G$302,工数明細!$B$3:$B$302,$A281,工数明細!$I$3:$I$302,AC$212))</f>
        <v/>
      </c>
      <c r="AD281" s="51" t="str">
        <f aca="false">IF($A281="","",SUMIFS(工数明細!$G$3:$G$302,工数明細!$B$3:$B$302,$A281,工数明細!$I$3:$I$302,AD$212))</f>
        <v/>
      </c>
    </row>
    <row r="282" customFormat="false" ht="15.75" hidden="false" customHeight="true" outlineLevel="0" collapsed="false">
      <c r="A282" s="28" t="str">
        <f aca="false">IF(案件管理!$A$71:$A$71="","",案件管理!$A$71:$A$71)</f>
        <v/>
      </c>
      <c r="B282" s="10" t="str">
        <f aca="false">IF($A282="","",案件管理!$B$71:$B$71)</f>
        <v/>
      </c>
      <c r="C282" s="10" t="str">
        <f aca="false">IF($A282="","",案件管理!$D$71:$D$71)</f>
        <v/>
      </c>
      <c r="D282" s="30" t="str">
        <f aca="false">IF($A282="","",案件管理!$AE$71:$AE$71)</f>
        <v/>
      </c>
      <c r="E282" s="30" t="str">
        <f aca="false">IF($A282="","",SUM($G282:$AD282))</f>
        <v/>
      </c>
      <c r="F282" s="51" t="str">
        <f aca="false">IF($A282="","",N($E76)-N($E282))</f>
        <v/>
      </c>
      <c r="G282" s="51" t="str">
        <f aca="false">IF($A282="","",SUMIFS(工数明細!$G$3:$G$302,工数明細!$B$3:$B$302,$A282,工数明細!$I$3:$I$302,G$212))</f>
        <v/>
      </c>
      <c r="H282" s="51" t="str">
        <f aca="false">IF($A282="","",SUMIFS(工数明細!$G$3:$G$302,工数明細!$B$3:$B$302,$A282,工数明細!$I$3:$I$302,H$212))</f>
        <v/>
      </c>
      <c r="I282" s="51" t="str">
        <f aca="false">IF($A282="","",SUMIFS(工数明細!$G$3:$G$302,工数明細!$B$3:$B$302,$A282,工数明細!$I$3:$I$302,I$212))</f>
        <v/>
      </c>
      <c r="J282" s="51" t="str">
        <f aca="false">IF($A282="","",SUMIFS(工数明細!$G$3:$G$302,工数明細!$B$3:$B$302,$A282,工数明細!$I$3:$I$302,J$212))</f>
        <v/>
      </c>
      <c r="K282" s="51" t="str">
        <f aca="false">IF($A282="","",SUMIFS(工数明細!$G$3:$G$302,工数明細!$B$3:$B$302,$A282,工数明細!$I$3:$I$302,K$212))</f>
        <v/>
      </c>
      <c r="L282" s="51" t="str">
        <f aca="false">IF($A282="","",SUMIFS(工数明細!$G$3:$G$302,工数明細!$B$3:$B$302,$A282,工数明細!$I$3:$I$302,L$212))</f>
        <v/>
      </c>
      <c r="M282" s="51" t="str">
        <f aca="false">IF($A282="","",SUMIFS(工数明細!$G$3:$G$302,工数明細!$B$3:$B$302,$A282,工数明細!$I$3:$I$302,M$212))</f>
        <v/>
      </c>
      <c r="N282" s="51" t="str">
        <f aca="false">IF($A282="","",SUMIFS(工数明細!$G$3:$G$302,工数明細!$B$3:$B$302,$A282,工数明細!$I$3:$I$302,N$212))</f>
        <v/>
      </c>
      <c r="O282" s="51" t="str">
        <f aca="false">IF($A282="","",SUMIFS(工数明細!$G$3:$G$302,工数明細!$B$3:$B$302,$A282,工数明細!$I$3:$I$302,O$212))</f>
        <v/>
      </c>
      <c r="P282" s="51" t="str">
        <f aca="false">IF($A282="","",SUMIFS(工数明細!$G$3:$G$302,工数明細!$B$3:$B$302,$A282,工数明細!$I$3:$I$302,P$212))</f>
        <v/>
      </c>
      <c r="Q282" s="51" t="str">
        <f aca="false">IF($A282="","",SUMIFS(工数明細!$G$3:$G$302,工数明細!$B$3:$B$302,$A282,工数明細!$I$3:$I$302,Q$212))</f>
        <v/>
      </c>
      <c r="R282" s="51" t="str">
        <f aca="false">IF($A282="","",SUMIFS(工数明細!$G$3:$G$302,工数明細!$B$3:$B$302,$A282,工数明細!$I$3:$I$302,R$212))</f>
        <v/>
      </c>
      <c r="S282" s="51" t="str">
        <f aca="false">IF($A282="","",SUMIFS(工数明細!$G$3:$G$302,工数明細!$B$3:$B$302,$A282,工数明細!$I$3:$I$302,S$212))</f>
        <v/>
      </c>
      <c r="T282" s="51" t="str">
        <f aca="false">IF($A282="","",SUMIFS(工数明細!$G$3:$G$302,工数明細!$B$3:$B$302,$A282,工数明細!$I$3:$I$302,T$212))</f>
        <v/>
      </c>
      <c r="U282" s="51" t="str">
        <f aca="false">IF($A282="","",SUMIFS(工数明細!$G$3:$G$302,工数明細!$B$3:$B$302,$A282,工数明細!$I$3:$I$302,U$212))</f>
        <v/>
      </c>
      <c r="V282" s="51" t="str">
        <f aca="false">IF($A282="","",SUMIFS(工数明細!$G$3:$G$302,工数明細!$B$3:$B$302,$A282,工数明細!$I$3:$I$302,V$212))</f>
        <v/>
      </c>
      <c r="W282" s="51" t="str">
        <f aca="false">IF($A282="","",SUMIFS(工数明細!$G$3:$G$302,工数明細!$B$3:$B$302,$A282,工数明細!$I$3:$I$302,W$212))</f>
        <v/>
      </c>
      <c r="X282" s="51" t="str">
        <f aca="false">IF($A282="","",SUMIFS(工数明細!$G$3:$G$302,工数明細!$B$3:$B$302,$A282,工数明細!$I$3:$I$302,X$212))</f>
        <v/>
      </c>
      <c r="Y282" s="51" t="str">
        <f aca="false">IF($A282="","",SUMIFS(工数明細!$G$3:$G$302,工数明細!$B$3:$B$302,$A282,工数明細!$I$3:$I$302,Y$212))</f>
        <v/>
      </c>
      <c r="Z282" s="51" t="str">
        <f aca="false">IF($A282="","",SUMIFS(工数明細!$G$3:$G$302,工数明細!$B$3:$B$302,$A282,工数明細!$I$3:$I$302,Z$212))</f>
        <v/>
      </c>
      <c r="AA282" s="51" t="str">
        <f aca="false">IF($A282="","",SUMIFS(工数明細!$G$3:$G$302,工数明細!$B$3:$B$302,$A282,工数明細!$I$3:$I$302,AA$212))</f>
        <v/>
      </c>
      <c r="AB282" s="51" t="str">
        <f aca="false">IF($A282="","",SUMIFS(工数明細!$G$3:$G$302,工数明細!$B$3:$B$302,$A282,工数明細!$I$3:$I$302,AB$212))</f>
        <v/>
      </c>
      <c r="AC282" s="51" t="str">
        <f aca="false">IF($A282="","",SUMIFS(工数明細!$G$3:$G$302,工数明細!$B$3:$B$302,$A282,工数明細!$I$3:$I$302,AC$212))</f>
        <v/>
      </c>
      <c r="AD282" s="51" t="str">
        <f aca="false">IF($A282="","",SUMIFS(工数明細!$G$3:$G$302,工数明細!$B$3:$B$302,$A282,工数明細!$I$3:$I$302,AD$212))</f>
        <v/>
      </c>
    </row>
    <row r="283" customFormat="false" ht="15.75" hidden="false" customHeight="true" outlineLevel="0" collapsed="false">
      <c r="A283" s="28" t="str">
        <f aca="false">IF(案件管理!$A$72:$A$72="","",案件管理!$A$72:$A$72)</f>
        <v/>
      </c>
      <c r="B283" s="10" t="str">
        <f aca="false">IF($A283="","",案件管理!$B$72:$B$72)</f>
        <v/>
      </c>
      <c r="C283" s="10" t="str">
        <f aca="false">IF($A283="","",案件管理!$D$72:$D$72)</f>
        <v/>
      </c>
      <c r="D283" s="30" t="str">
        <f aca="false">IF($A283="","",案件管理!$AE$72:$AE$72)</f>
        <v/>
      </c>
      <c r="E283" s="30" t="str">
        <f aca="false">IF($A283="","",SUM($G283:$AD283))</f>
        <v/>
      </c>
      <c r="F283" s="51" t="str">
        <f aca="false">IF($A283="","",N($E77)-N($E283))</f>
        <v/>
      </c>
      <c r="G283" s="51" t="str">
        <f aca="false">IF($A283="","",SUMIFS(工数明細!$G$3:$G$302,工数明細!$B$3:$B$302,$A283,工数明細!$I$3:$I$302,G$212))</f>
        <v/>
      </c>
      <c r="H283" s="51" t="str">
        <f aca="false">IF($A283="","",SUMIFS(工数明細!$G$3:$G$302,工数明細!$B$3:$B$302,$A283,工数明細!$I$3:$I$302,H$212))</f>
        <v/>
      </c>
      <c r="I283" s="51" t="str">
        <f aca="false">IF($A283="","",SUMIFS(工数明細!$G$3:$G$302,工数明細!$B$3:$B$302,$A283,工数明細!$I$3:$I$302,I$212))</f>
        <v/>
      </c>
      <c r="J283" s="51" t="str">
        <f aca="false">IF($A283="","",SUMIFS(工数明細!$G$3:$G$302,工数明細!$B$3:$B$302,$A283,工数明細!$I$3:$I$302,J$212))</f>
        <v/>
      </c>
      <c r="K283" s="51" t="str">
        <f aca="false">IF($A283="","",SUMIFS(工数明細!$G$3:$G$302,工数明細!$B$3:$B$302,$A283,工数明細!$I$3:$I$302,K$212))</f>
        <v/>
      </c>
      <c r="L283" s="51" t="str">
        <f aca="false">IF($A283="","",SUMIFS(工数明細!$G$3:$G$302,工数明細!$B$3:$B$302,$A283,工数明細!$I$3:$I$302,L$212))</f>
        <v/>
      </c>
      <c r="M283" s="51" t="str">
        <f aca="false">IF($A283="","",SUMIFS(工数明細!$G$3:$G$302,工数明細!$B$3:$B$302,$A283,工数明細!$I$3:$I$302,M$212))</f>
        <v/>
      </c>
      <c r="N283" s="51" t="str">
        <f aca="false">IF($A283="","",SUMIFS(工数明細!$G$3:$G$302,工数明細!$B$3:$B$302,$A283,工数明細!$I$3:$I$302,N$212))</f>
        <v/>
      </c>
      <c r="O283" s="51" t="str">
        <f aca="false">IF($A283="","",SUMIFS(工数明細!$G$3:$G$302,工数明細!$B$3:$B$302,$A283,工数明細!$I$3:$I$302,O$212))</f>
        <v/>
      </c>
      <c r="P283" s="51" t="str">
        <f aca="false">IF($A283="","",SUMIFS(工数明細!$G$3:$G$302,工数明細!$B$3:$B$302,$A283,工数明細!$I$3:$I$302,P$212))</f>
        <v/>
      </c>
      <c r="Q283" s="51" t="str">
        <f aca="false">IF($A283="","",SUMIFS(工数明細!$G$3:$G$302,工数明細!$B$3:$B$302,$A283,工数明細!$I$3:$I$302,Q$212))</f>
        <v/>
      </c>
      <c r="R283" s="51" t="str">
        <f aca="false">IF($A283="","",SUMIFS(工数明細!$G$3:$G$302,工数明細!$B$3:$B$302,$A283,工数明細!$I$3:$I$302,R$212))</f>
        <v/>
      </c>
      <c r="S283" s="51" t="str">
        <f aca="false">IF($A283="","",SUMIFS(工数明細!$G$3:$G$302,工数明細!$B$3:$B$302,$A283,工数明細!$I$3:$I$302,S$212))</f>
        <v/>
      </c>
      <c r="T283" s="51" t="str">
        <f aca="false">IF($A283="","",SUMIFS(工数明細!$G$3:$G$302,工数明細!$B$3:$B$302,$A283,工数明細!$I$3:$I$302,T$212))</f>
        <v/>
      </c>
      <c r="U283" s="51" t="str">
        <f aca="false">IF($A283="","",SUMIFS(工数明細!$G$3:$G$302,工数明細!$B$3:$B$302,$A283,工数明細!$I$3:$I$302,U$212))</f>
        <v/>
      </c>
      <c r="V283" s="51" t="str">
        <f aca="false">IF($A283="","",SUMIFS(工数明細!$G$3:$G$302,工数明細!$B$3:$B$302,$A283,工数明細!$I$3:$I$302,V$212))</f>
        <v/>
      </c>
      <c r="W283" s="51" t="str">
        <f aca="false">IF($A283="","",SUMIFS(工数明細!$G$3:$G$302,工数明細!$B$3:$B$302,$A283,工数明細!$I$3:$I$302,W$212))</f>
        <v/>
      </c>
      <c r="X283" s="51" t="str">
        <f aca="false">IF($A283="","",SUMIFS(工数明細!$G$3:$G$302,工数明細!$B$3:$B$302,$A283,工数明細!$I$3:$I$302,X$212))</f>
        <v/>
      </c>
      <c r="Y283" s="51" t="str">
        <f aca="false">IF($A283="","",SUMIFS(工数明細!$G$3:$G$302,工数明細!$B$3:$B$302,$A283,工数明細!$I$3:$I$302,Y$212))</f>
        <v/>
      </c>
      <c r="Z283" s="51" t="str">
        <f aca="false">IF($A283="","",SUMIFS(工数明細!$G$3:$G$302,工数明細!$B$3:$B$302,$A283,工数明細!$I$3:$I$302,Z$212))</f>
        <v/>
      </c>
      <c r="AA283" s="51" t="str">
        <f aca="false">IF($A283="","",SUMIFS(工数明細!$G$3:$G$302,工数明細!$B$3:$B$302,$A283,工数明細!$I$3:$I$302,AA$212))</f>
        <v/>
      </c>
      <c r="AB283" s="51" t="str">
        <f aca="false">IF($A283="","",SUMIFS(工数明細!$G$3:$G$302,工数明細!$B$3:$B$302,$A283,工数明細!$I$3:$I$302,AB$212))</f>
        <v/>
      </c>
      <c r="AC283" s="51" t="str">
        <f aca="false">IF($A283="","",SUMIFS(工数明細!$G$3:$G$302,工数明細!$B$3:$B$302,$A283,工数明細!$I$3:$I$302,AC$212))</f>
        <v/>
      </c>
      <c r="AD283" s="51" t="str">
        <f aca="false">IF($A283="","",SUMIFS(工数明細!$G$3:$G$302,工数明細!$B$3:$B$302,$A283,工数明細!$I$3:$I$302,AD$212))</f>
        <v/>
      </c>
    </row>
    <row r="284" customFormat="false" ht="15.75" hidden="false" customHeight="true" outlineLevel="0" collapsed="false">
      <c r="A284" s="28" t="str">
        <f aca="false">IF(案件管理!$A$73:$A$73="","",案件管理!$A$73:$A$73)</f>
        <v/>
      </c>
      <c r="B284" s="10" t="str">
        <f aca="false">IF($A284="","",案件管理!$B$73:$B$73)</f>
        <v/>
      </c>
      <c r="C284" s="10" t="str">
        <f aca="false">IF($A284="","",案件管理!$D$73:$D$73)</f>
        <v/>
      </c>
      <c r="D284" s="30" t="str">
        <f aca="false">IF($A284="","",案件管理!$AE$73:$AE$73)</f>
        <v/>
      </c>
      <c r="E284" s="30" t="str">
        <f aca="false">IF($A284="","",SUM($G284:$AD284))</f>
        <v/>
      </c>
      <c r="F284" s="51" t="str">
        <f aca="false">IF($A284="","",N($E78)-N($E284))</f>
        <v/>
      </c>
      <c r="G284" s="51" t="str">
        <f aca="false">IF($A284="","",SUMIFS(工数明細!$G$3:$G$302,工数明細!$B$3:$B$302,$A284,工数明細!$I$3:$I$302,G$212))</f>
        <v/>
      </c>
      <c r="H284" s="51" t="str">
        <f aca="false">IF($A284="","",SUMIFS(工数明細!$G$3:$G$302,工数明細!$B$3:$B$302,$A284,工数明細!$I$3:$I$302,H$212))</f>
        <v/>
      </c>
      <c r="I284" s="51" t="str">
        <f aca="false">IF($A284="","",SUMIFS(工数明細!$G$3:$G$302,工数明細!$B$3:$B$302,$A284,工数明細!$I$3:$I$302,I$212))</f>
        <v/>
      </c>
      <c r="J284" s="51" t="str">
        <f aca="false">IF($A284="","",SUMIFS(工数明細!$G$3:$G$302,工数明細!$B$3:$B$302,$A284,工数明細!$I$3:$I$302,J$212))</f>
        <v/>
      </c>
      <c r="K284" s="51" t="str">
        <f aca="false">IF($A284="","",SUMIFS(工数明細!$G$3:$G$302,工数明細!$B$3:$B$302,$A284,工数明細!$I$3:$I$302,K$212))</f>
        <v/>
      </c>
      <c r="L284" s="51" t="str">
        <f aca="false">IF($A284="","",SUMIFS(工数明細!$G$3:$G$302,工数明細!$B$3:$B$302,$A284,工数明細!$I$3:$I$302,L$212))</f>
        <v/>
      </c>
      <c r="M284" s="51" t="str">
        <f aca="false">IF($A284="","",SUMIFS(工数明細!$G$3:$G$302,工数明細!$B$3:$B$302,$A284,工数明細!$I$3:$I$302,M$212))</f>
        <v/>
      </c>
      <c r="N284" s="51" t="str">
        <f aca="false">IF($A284="","",SUMIFS(工数明細!$G$3:$G$302,工数明細!$B$3:$B$302,$A284,工数明細!$I$3:$I$302,N$212))</f>
        <v/>
      </c>
      <c r="O284" s="51" t="str">
        <f aca="false">IF($A284="","",SUMIFS(工数明細!$G$3:$G$302,工数明細!$B$3:$B$302,$A284,工数明細!$I$3:$I$302,O$212))</f>
        <v/>
      </c>
      <c r="P284" s="51" t="str">
        <f aca="false">IF($A284="","",SUMIFS(工数明細!$G$3:$G$302,工数明細!$B$3:$B$302,$A284,工数明細!$I$3:$I$302,P$212))</f>
        <v/>
      </c>
      <c r="Q284" s="51" t="str">
        <f aca="false">IF($A284="","",SUMIFS(工数明細!$G$3:$G$302,工数明細!$B$3:$B$302,$A284,工数明細!$I$3:$I$302,Q$212))</f>
        <v/>
      </c>
      <c r="R284" s="51" t="str">
        <f aca="false">IF($A284="","",SUMIFS(工数明細!$G$3:$G$302,工数明細!$B$3:$B$302,$A284,工数明細!$I$3:$I$302,R$212))</f>
        <v/>
      </c>
      <c r="S284" s="51" t="str">
        <f aca="false">IF($A284="","",SUMIFS(工数明細!$G$3:$G$302,工数明細!$B$3:$B$302,$A284,工数明細!$I$3:$I$302,S$212))</f>
        <v/>
      </c>
      <c r="T284" s="51" t="str">
        <f aca="false">IF($A284="","",SUMIFS(工数明細!$G$3:$G$302,工数明細!$B$3:$B$302,$A284,工数明細!$I$3:$I$302,T$212))</f>
        <v/>
      </c>
      <c r="U284" s="51" t="str">
        <f aca="false">IF($A284="","",SUMIFS(工数明細!$G$3:$G$302,工数明細!$B$3:$B$302,$A284,工数明細!$I$3:$I$302,U$212))</f>
        <v/>
      </c>
      <c r="V284" s="51" t="str">
        <f aca="false">IF($A284="","",SUMIFS(工数明細!$G$3:$G$302,工数明細!$B$3:$B$302,$A284,工数明細!$I$3:$I$302,V$212))</f>
        <v/>
      </c>
      <c r="W284" s="51" t="str">
        <f aca="false">IF($A284="","",SUMIFS(工数明細!$G$3:$G$302,工数明細!$B$3:$B$302,$A284,工数明細!$I$3:$I$302,W$212))</f>
        <v/>
      </c>
      <c r="X284" s="51" t="str">
        <f aca="false">IF($A284="","",SUMIFS(工数明細!$G$3:$G$302,工数明細!$B$3:$B$302,$A284,工数明細!$I$3:$I$302,X$212))</f>
        <v/>
      </c>
      <c r="Y284" s="51" t="str">
        <f aca="false">IF($A284="","",SUMIFS(工数明細!$G$3:$G$302,工数明細!$B$3:$B$302,$A284,工数明細!$I$3:$I$302,Y$212))</f>
        <v/>
      </c>
      <c r="Z284" s="51" t="str">
        <f aca="false">IF($A284="","",SUMIFS(工数明細!$G$3:$G$302,工数明細!$B$3:$B$302,$A284,工数明細!$I$3:$I$302,Z$212))</f>
        <v/>
      </c>
      <c r="AA284" s="51" t="str">
        <f aca="false">IF($A284="","",SUMIFS(工数明細!$G$3:$G$302,工数明細!$B$3:$B$302,$A284,工数明細!$I$3:$I$302,AA$212))</f>
        <v/>
      </c>
      <c r="AB284" s="51" t="str">
        <f aca="false">IF($A284="","",SUMIFS(工数明細!$G$3:$G$302,工数明細!$B$3:$B$302,$A284,工数明細!$I$3:$I$302,AB$212))</f>
        <v/>
      </c>
      <c r="AC284" s="51" t="str">
        <f aca="false">IF($A284="","",SUMIFS(工数明細!$G$3:$G$302,工数明細!$B$3:$B$302,$A284,工数明細!$I$3:$I$302,AC$212))</f>
        <v/>
      </c>
      <c r="AD284" s="51" t="str">
        <f aca="false">IF($A284="","",SUMIFS(工数明細!$G$3:$G$302,工数明細!$B$3:$B$302,$A284,工数明細!$I$3:$I$302,AD$212))</f>
        <v/>
      </c>
    </row>
    <row r="285" customFormat="false" ht="15.75" hidden="false" customHeight="true" outlineLevel="0" collapsed="false">
      <c r="A285" s="28" t="str">
        <f aca="false">IF(案件管理!$A$74:$A$74="","",案件管理!$A$74:$A$74)</f>
        <v/>
      </c>
      <c r="B285" s="10" t="str">
        <f aca="false">IF($A285="","",案件管理!$B$74:$B$74)</f>
        <v/>
      </c>
      <c r="C285" s="10" t="str">
        <f aca="false">IF($A285="","",案件管理!$D$74:$D$74)</f>
        <v/>
      </c>
      <c r="D285" s="30" t="str">
        <f aca="false">IF($A285="","",案件管理!$AE$74:$AE$74)</f>
        <v/>
      </c>
      <c r="E285" s="30" t="str">
        <f aca="false">IF($A285="","",SUM($G285:$AD285))</f>
        <v/>
      </c>
      <c r="F285" s="51" t="str">
        <f aca="false">IF($A285="","",N($E79)-N($E285))</f>
        <v/>
      </c>
      <c r="G285" s="51" t="str">
        <f aca="false">IF($A285="","",SUMIFS(工数明細!$G$3:$G$302,工数明細!$B$3:$B$302,$A285,工数明細!$I$3:$I$302,G$212))</f>
        <v/>
      </c>
      <c r="H285" s="51" t="str">
        <f aca="false">IF($A285="","",SUMIFS(工数明細!$G$3:$G$302,工数明細!$B$3:$B$302,$A285,工数明細!$I$3:$I$302,H$212))</f>
        <v/>
      </c>
      <c r="I285" s="51" t="str">
        <f aca="false">IF($A285="","",SUMIFS(工数明細!$G$3:$G$302,工数明細!$B$3:$B$302,$A285,工数明細!$I$3:$I$302,I$212))</f>
        <v/>
      </c>
      <c r="J285" s="51" t="str">
        <f aca="false">IF($A285="","",SUMIFS(工数明細!$G$3:$G$302,工数明細!$B$3:$B$302,$A285,工数明細!$I$3:$I$302,J$212))</f>
        <v/>
      </c>
      <c r="K285" s="51" t="str">
        <f aca="false">IF($A285="","",SUMIFS(工数明細!$G$3:$G$302,工数明細!$B$3:$B$302,$A285,工数明細!$I$3:$I$302,K$212))</f>
        <v/>
      </c>
      <c r="L285" s="51" t="str">
        <f aca="false">IF($A285="","",SUMIFS(工数明細!$G$3:$G$302,工数明細!$B$3:$B$302,$A285,工数明細!$I$3:$I$302,L$212))</f>
        <v/>
      </c>
      <c r="M285" s="51" t="str">
        <f aca="false">IF($A285="","",SUMIFS(工数明細!$G$3:$G$302,工数明細!$B$3:$B$302,$A285,工数明細!$I$3:$I$302,M$212))</f>
        <v/>
      </c>
      <c r="N285" s="51" t="str">
        <f aca="false">IF($A285="","",SUMIFS(工数明細!$G$3:$G$302,工数明細!$B$3:$B$302,$A285,工数明細!$I$3:$I$302,N$212))</f>
        <v/>
      </c>
      <c r="O285" s="51" t="str">
        <f aca="false">IF($A285="","",SUMIFS(工数明細!$G$3:$G$302,工数明細!$B$3:$B$302,$A285,工数明細!$I$3:$I$302,O$212))</f>
        <v/>
      </c>
      <c r="P285" s="51" t="str">
        <f aca="false">IF($A285="","",SUMIFS(工数明細!$G$3:$G$302,工数明細!$B$3:$B$302,$A285,工数明細!$I$3:$I$302,P$212))</f>
        <v/>
      </c>
      <c r="Q285" s="51" t="str">
        <f aca="false">IF($A285="","",SUMIFS(工数明細!$G$3:$G$302,工数明細!$B$3:$B$302,$A285,工数明細!$I$3:$I$302,Q$212))</f>
        <v/>
      </c>
      <c r="R285" s="51" t="str">
        <f aca="false">IF($A285="","",SUMIFS(工数明細!$G$3:$G$302,工数明細!$B$3:$B$302,$A285,工数明細!$I$3:$I$302,R$212))</f>
        <v/>
      </c>
      <c r="S285" s="51" t="str">
        <f aca="false">IF($A285="","",SUMIFS(工数明細!$G$3:$G$302,工数明細!$B$3:$B$302,$A285,工数明細!$I$3:$I$302,S$212))</f>
        <v/>
      </c>
      <c r="T285" s="51" t="str">
        <f aca="false">IF($A285="","",SUMIFS(工数明細!$G$3:$G$302,工数明細!$B$3:$B$302,$A285,工数明細!$I$3:$I$302,T$212))</f>
        <v/>
      </c>
      <c r="U285" s="51" t="str">
        <f aca="false">IF($A285="","",SUMIFS(工数明細!$G$3:$G$302,工数明細!$B$3:$B$302,$A285,工数明細!$I$3:$I$302,U$212))</f>
        <v/>
      </c>
      <c r="V285" s="51" t="str">
        <f aca="false">IF($A285="","",SUMIFS(工数明細!$G$3:$G$302,工数明細!$B$3:$B$302,$A285,工数明細!$I$3:$I$302,V$212))</f>
        <v/>
      </c>
      <c r="W285" s="51" t="str">
        <f aca="false">IF($A285="","",SUMIFS(工数明細!$G$3:$G$302,工数明細!$B$3:$B$302,$A285,工数明細!$I$3:$I$302,W$212))</f>
        <v/>
      </c>
      <c r="X285" s="51" t="str">
        <f aca="false">IF($A285="","",SUMIFS(工数明細!$G$3:$G$302,工数明細!$B$3:$B$302,$A285,工数明細!$I$3:$I$302,X$212))</f>
        <v/>
      </c>
      <c r="Y285" s="51" t="str">
        <f aca="false">IF($A285="","",SUMIFS(工数明細!$G$3:$G$302,工数明細!$B$3:$B$302,$A285,工数明細!$I$3:$I$302,Y$212))</f>
        <v/>
      </c>
      <c r="Z285" s="51" t="str">
        <f aca="false">IF($A285="","",SUMIFS(工数明細!$G$3:$G$302,工数明細!$B$3:$B$302,$A285,工数明細!$I$3:$I$302,Z$212))</f>
        <v/>
      </c>
      <c r="AA285" s="51" t="str">
        <f aca="false">IF($A285="","",SUMIFS(工数明細!$G$3:$G$302,工数明細!$B$3:$B$302,$A285,工数明細!$I$3:$I$302,AA$212))</f>
        <v/>
      </c>
      <c r="AB285" s="51" t="str">
        <f aca="false">IF($A285="","",SUMIFS(工数明細!$G$3:$G$302,工数明細!$B$3:$B$302,$A285,工数明細!$I$3:$I$302,AB$212))</f>
        <v/>
      </c>
      <c r="AC285" s="51" t="str">
        <f aca="false">IF($A285="","",SUMIFS(工数明細!$G$3:$G$302,工数明細!$B$3:$B$302,$A285,工数明細!$I$3:$I$302,AC$212))</f>
        <v/>
      </c>
      <c r="AD285" s="51" t="str">
        <f aca="false">IF($A285="","",SUMIFS(工数明細!$G$3:$G$302,工数明細!$B$3:$B$302,$A285,工数明細!$I$3:$I$302,AD$212))</f>
        <v/>
      </c>
    </row>
    <row r="286" customFormat="false" ht="15.75" hidden="false" customHeight="true" outlineLevel="0" collapsed="false">
      <c r="A286" s="28" t="str">
        <f aca="false">IF(案件管理!$A$75:$A$75="","",案件管理!$A$75:$A$75)</f>
        <v/>
      </c>
      <c r="B286" s="10" t="str">
        <f aca="false">IF($A286="","",案件管理!$B$75:$B$75)</f>
        <v/>
      </c>
      <c r="C286" s="10" t="str">
        <f aca="false">IF($A286="","",案件管理!$D$75:$D$75)</f>
        <v/>
      </c>
      <c r="D286" s="30" t="str">
        <f aca="false">IF($A286="","",案件管理!$AE$75:$AE$75)</f>
        <v/>
      </c>
      <c r="E286" s="30" t="str">
        <f aca="false">IF($A286="","",SUM($G286:$AD286))</f>
        <v/>
      </c>
      <c r="F286" s="51" t="str">
        <f aca="false">IF($A286="","",N($E80)-N($E286))</f>
        <v/>
      </c>
      <c r="G286" s="51" t="str">
        <f aca="false">IF($A286="","",SUMIFS(工数明細!$G$3:$G$302,工数明細!$B$3:$B$302,$A286,工数明細!$I$3:$I$302,G$212))</f>
        <v/>
      </c>
      <c r="H286" s="51" t="str">
        <f aca="false">IF($A286="","",SUMIFS(工数明細!$G$3:$G$302,工数明細!$B$3:$B$302,$A286,工数明細!$I$3:$I$302,H$212))</f>
        <v/>
      </c>
      <c r="I286" s="51" t="str">
        <f aca="false">IF($A286="","",SUMIFS(工数明細!$G$3:$G$302,工数明細!$B$3:$B$302,$A286,工数明細!$I$3:$I$302,I$212))</f>
        <v/>
      </c>
      <c r="J286" s="51" t="str">
        <f aca="false">IF($A286="","",SUMIFS(工数明細!$G$3:$G$302,工数明細!$B$3:$B$302,$A286,工数明細!$I$3:$I$302,J$212))</f>
        <v/>
      </c>
      <c r="K286" s="51" t="str">
        <f aca="false">IF($A286="","",SUMIFS(工数明細!$G$3:$G$302,工数明細!$B$3:$B$302,$A286,工数明細!$I$3:$I$302,K$212))</f>
        <v/>
      </c>
      <c r="L286" s="51" t="str">
        <f aca="false">IF($A286="","",SUMIFS(工数明細!$G$3:$G$302,工数明細!$B$3:$B$302,$A286,工数明細!$I$3:$I$302,L$212))</f>
        <v/>
      </c>
      <c r="M286" s="51" t="str">
        <f aca="false">IF($A286="","",SUMIFS(工数明細!$G$3:$G$302,工数明細!$B$3:$B$302,$A286,工数明細!$I$3:$I$302,M$212))</f>
        <v/>
      </c>
      <c r="N286" s="51" t="str">
        <f aca="false">IF($A286="","",SUMIFS(工数明細!$G$3:$G$302,工数明細!$B$3:$B$302,$A286,工数明細!$I$3:$I$302,N$212))</f>
        <v/>
      </c>
      <c r="O286" s="51" t="str">
        <f aca="false">IF($A286="","",SUMIFS(工数明細!$G$3:$G$302,工数明細!$B$3:$B$302,$A286,工数明細!$I$3:$I$302,O$212))</f>
        <v/>
      </c>
      <c r="P286" s="51" t="str">
        <f aca="false">IF($A286="","",SUMIFS(工数明細!$G$3:$G$302,工数明細!$B$3:$B$302,$A286,工数明細!$I$3:$I$302,P$212))</f>
        <v/>
      </c>
      <c r="Q286" s="51" t="str">
        <f aca="false">IF($A286="","",SUMIFS(工数明細!$G$3:$G$302,工数明細!$B$3:$B$302,$A286,工数明細!$I$3:$I$302,Q$212))</f>
        <v/>
      </c>
      <c r="R286" s="51" t="str">
        <f aca="false">IF($A286="","",SUMIFS(工数明細!$G$3:$G$302,工数明細!$B$3:$B$302,$A286,工数明細!$I$3:$I$302,R$212))</f>
        <v/>
      </c>
      <c r="S286" s="51" t="str">
        <f aca="false">IF($A286="","",SUMIFS(工数明細!$G$3:$G$302,工数明細!$B$3:$B$302,$A286,工数明細!$I$3:$I$302,S$212))</f>
        <v/>
      </c>
      <c r="T286" s="51" t="str">
        <f aca="false">IF($A286="","",SUMIFS(工数明細!$G$3:$G$302,工数明細!$B$3:$B$302,$A286,工数明細!$I$3:$I$302,T$212))</f>
        <v/>
      </c>
      <c r="U286" s="51" t="str">
        <f aca="false">IF($A286="","",SUMIFS(工数明細!$G$3:$G$302,工数明細!$B$3:$B$302,$A286,工数明細!$I$3:$I$302,U$212))</f>
        <v/>
      </c>
      <c r="V286" s="51" t="str">
        <f aca="false">IF($A286="","",SUMIFS(工数明細!$G$3:$G$302,工数明細!$B$3:$B$302,$A286,工数明細!$I$3:$I$302,V$212))</f>
        <v/>
      </c>
      <c r="W286" s="51" t="str">
        <f aca="false">IF($A286="","",SUMIFS(工数明細!$G$3:$G$302,工数明細!$B$3:$B$302,$A286,工数明細!$I$3:$I$302,W$212))</f>
        <v/>
      </c>
      <c r="X286" s="51" t="str">
        <f aca="false">IF($A286="","",SUMIFS(工数明細!$G$3:$G$302,工数明細!$B$3:$B$302,$A286,工数明細!$I$3:$I$302,X$212))</f>
        <v/>
      </c>
      <c r="Y286" s="51" t="str">
        <f aca="false">IF($A286="","",SUMIFS(工数明細!$G$3:$G$302,工数明細!$B$3:$B$302,$A286,工数明細!$I$3:$I$302,Y$212))</f>
        <v/>
      </c>
      <c r="Z286" s="51" t="str">
        <f aca="false">IF($A286="","",SUMIFS(工数明細!$G$3:$G$302,工数明細!$B$3:$B$302,$A286,工数明細!$I$3:$I$302,Z$212))</f>
        <v/>
      </c>
      <c r="AA286" s="51" t="str">
        <f aca="false">IF($A286="","",SUMIFS(工数明細!$G$3:$G$302,工数明細!$B$3:$B$302,$A286,工数明細!$I$3:$I$302,AA$212))</f>
        <v/>
      </c>
      <c r="AB286" s="51" t="str">
        <f aca="false">IF($A286="","",SUMIFS(工数明細!$G$3:$G$302,工数明細!$B$3:$B$302,$A286,工数明細!$I$3:$I$302,AB$212))</f>
        <v/>
      </c>
      <c r="AC286" s="51" t="str">
        <f aca="false">IF($A286="","",SUMIFS(工数明細!$G$3:$G$302,工数明細!$B$3:$B$302,$A286,工数明細!$I$3:$I$302,AC$212))</f>
        <v/>
      </c>
      <c r="AD286" s="51" t="str">
        <f aca="false">IF($A286="","",SUMIFS(工数明細!$G$3:$G$302,工数明細!$B$3:$B$302,$A286,工数明細!$I$3:$I$302,AD$212))</f>
        <v/>
      </c>
    </row>
    <row r="287" customFormat="false" ht="15.75" hidden="false" customHeight="true" outlineLevel="0" collapsed="false">
      <c r="A287" s="28" t="str">
        <f aca="false">IF(案件管理!$A$76:$A$76="","",案件管理!$A$76:$A$76)</f>
        <v/>
      </c>
      <c r="B287" s="10" t="str">
        <f aca="false">IF($A287="","",案件管理!$B$76:$B$76)</f>
        <v/>
      </c>
      <c r="C287" s="10" t="str">
        <f aca="false">IF($A287="","",案件管理!$D$76:$D$76)</f>
        <v/>
      </c>
      <c r="D287" s="30" t="str">
        <f aca="false">IF($A287="","",案件管理!$AE$76:$AE$76)</f>
        <v/>
      </c>
      <c r="E287" s="30" t="str">
        <f aca="false">IF($A287="","",SUM($G287:$AD287))</f>
        <v/>
      </c>
      <c r="F287" s="51" t="str">
        <f aca="false">IF($A287="","",N($E81)-N($E287))</f>
        <v/>
      </c>
      <c r="G287" s="51" t="str">
        <f aca="false">IF($A287="","",SUMIFS(工数明細!$G$3:$G$302,工数明細!$B$3:$B$302,$A287,工数明細!$I$3:$I$302,G$212))</f>
        <v/>
      </c>
      <c r="H287" s="51" t="str">
        <f aca="false">IF($A287="","",SUMIFS(工数明細!$G$3:$G$302,工数明細!$B$3:$B$302,$A287,工数明細!$I$3:$I$302,H$212))</f>
        <v/>
      </c>
      <c r="I287" s="51" t="str">
        <f aca="false">IF($A287="","",SUMIFS(工数明細!$G$3:$G$302,工数明細!$B$3:$B$302,$A287,工数明細!$I$3:$I$302,I$212))</f>
        <v/>
      </c>
      <c r="J287" s="51" t="str">
        <f aca="false">IF($A287="","",SUMIFS(工数明細!$G$3:$G$302,工数明細!$B$3:$B$302,$A287,工数明細!$I$3:$I$302,J$212))</f>
        <v/>
      </c>
      <c r="K287" s="51" t="str">
        <f aca="false">IF($A287="","",SUMIFS(工数明細!$G$3:$G$302,工数明細!$B$3:$B$302,$A287,工数明細!$I$3:$I$302,K$212))</f>
        <v/>
      </c>
      <c r="L287" s="51" t="str">
        <f aca="false">IF($A287="","",SUMIFS(工数明細!$G$3:$G$302,工数明細!$B$3:$B$302,$A287,工数明細!$I$3:$I$302,L$212))</f>
        <v/>
      </c>
      <c r="M287" s="51" t="str">
        <f aca="false">IF($A287="","",SUMIFS(工数明細!$G$3:$G$302,工数明細!$B$3:$B$302,$A287,工数明細!$I$3:$I$302,M$212))</f>
        <v/>
      </c>
      <c r="N287" s="51" t="str">
        <f aca="false">IF($A287="","",SUMIFS(工数明細!$G$3:$G$302,工数明細!$B$3:$B$302,$A287,工数明細!$I$3:$I$302,N$212))</f>
        <v/>
      </c>
      <c r="O287" s="51" t="str">
        <f aca="false">IF($A287="","",SUMIFS(工数明細!$G$3:$G$302,工数明細!$B$3:$B$302,$A287,工数明細!$I$3:$I$302,O$212))</f>
        <v/>
      </c>
      <c r="P287" s="51" t="str">
        <f aca="false">IF($A287="","",SUMIFS(工数明細!$G$3:$G$302,工数明細!$B$3:$B$302,$A287,工数明細!$I$3:$I$302,P$212))</f>
        <v/>
      </c>
      <c r="Q287" s="51" t="str">
        <f aca="false">IF($A287="","",SUMIFS(工数明細!$G$3:$G$302,工数明細!$B$3:$B$302,$A287,工数明細!$I$3:$I$302,Q$212))</f>
        <v/>
      </c>
      <c r="R287" s="51" t="str">
        <f aca="false">IF($A287="","",SUMIFS(工数明細!$G$3:$G$302,工数明細!$B$3:$B$302,$A287,工数明細!$I$3:$I$302,R$212))</f>
        <v/>
      </c>
      <c r="S287" s="51" t="str">
        <f aca="false">IF($A287="","",SUMIFS(工数明細!$G$3:$G$302,工数明細!$B$3:$B$302,$A287,工数明細!$I$3:$I$302,S$212))</f>
        <v/>
      </c>
      <c r="T287" s="51" t="str">
        <f aca="false">IF($A287="","",SUMIFS(工数明細!$G$3:$G$302,工数明細!$B$3:$B$302,$A287,工数明細!$I$3:$I$302,T$212))</f>
        <v/>
      </c>
      <c r="U287" s="51" t="str">
        <f aca="false">IF($A287="","",SUMIFS(工数明細!$G$3:$G$302,工数明細!$B$3:$B$302,$A287,工数明細!$I$3:$I$302,U$212))</f>
        <v/>
      </c>
      <c r="V287" s="51" t="str">
        <f aca="false">IF($A287="","",SUMIFS(工数明細!$G$3:$G$302,工数明細!$B$3:$B$302,$A287,工数明細!$I$3:$I$302,V$212))</f>
        <v/>
      </c>
      <c r="W287" s="51" t="str">
        <f aca="false">IF($A287="","",SUMIFS(工数明細!$G$3:$G$302,工数明細!$B$3:$B$302,$A287,工数明細!$I$3:$I$302,W$212))</f>
        <v/>
      </c>
      <c r="X287" s="51" t="str">
        <f aca="false">IF($A287="","",SUMIFS(工数明細!$G$3:$G$302,工数明細!$B$3:$B$302,$A287,工数明細!$I$3:$I$302,X$212))</f>
        <v/>
      </c>
      <c r="Y287" s="51" t="str">
        <f aca="false">IF($A287="","",SUMIFS(工数明細!$G$3:$G$302,工数明細!$B$3:$B$302,$A287,工数明細!$I$3:$I$302,Y$212))</f>
        <v/>
      </c>
      <c r="Z287" s="51" t="str">
        <f aca="false">IF($A287="","",SUMIFS(工数明細!$G$3:$G$302,工数明細!$B$3:$B$302,$A287,工数明細!$I$3:$I$302,Z$212))</f>
        <v/>
      </c>
      <c r="AA287" s="51" t="str">
        <f aca="false">IF($A287="","",SUMIFS(工数明細!$G$3:$G$302,工数明細!$B$3:$B$302,$A287,工数明細!$I$3:$I$302,AA$212))</f>
        <v/>
      </c>
      <c r="AB287" s="51" t="str">
        <f aca="false">IF($A287="","",SUMIFS(工数明細!$G$3:$G$302,工数明細!$B$3:$B$302,$A287,工数明細!$I$3:$I$302,AB$212))</f>
        <v/>
      </c>
      <c r="AC287" s="51" t="str">
        <f aca="false">IF($A287="","",SUMIFS(工数明細!$G$3:$G$302,工数明細!$B$3:$B$302,$A287,工数明細!$I$3:$I$302,AC$212))</f>
        <v/>
      </c>
      <c r="AD287" s="51" t="str">
        <f aca="false">IF($A287="","",SUMIFS(工数明細!$G$3:$G$302,工数明細!$B$3:$B$302,$A287,工数明細!$I$3:$I$302,AD$212))</f>
        <v/>
      </c>
    </row>
    <row r="288" customFormat="false" ht="15.75" hidden="false" customHeight="true" outlineLevel="0" collapsed="false">
      <c r="A288" s="28" t="str">
        <f aca="false">IF(案件管理!$A$77:$A$77="","",案件管理!$A$77:$A$77)</f>
        <v/>
      </c>
      <c r="B288" s="10" t="str">
        <f aca="false">IF($A288="","",案件管理!$B$77:$B$77)</f>
        <v/>
      </c>
      <c r="C288" s="10" t="str">
        <f aca="false">IF($A288="","",案件管理!$D$77:$D$77)</f>
        <v/>
      </c>
      <c r="D288" s="30" t="str">
        <f aca="false">IF($A288="","",案件管理!$AE$77:$AE$77)</f>
        <v/>
      </c>
      <c r="E288" s="30" t="str">
        <f aca="false">IF($A288="","",SUM($G288:$AD288))</f>
        <v/>
      </c>
      <c r="F288" s="51" t="str">
        <f aca="false">IF($A288="","",N($E82)-N($E288))</f>
        <v/>
      </c>
      <c r="G288" s="51" t="str">
        <f aca="false">IF($A288="","",SUMIFS(工数明細!$G$3:$G$302,工数明細!$B$3:$B$302,$A288,工数明細!$I$3:$I$302,G$212))</f>
        <v/>
      </c>
      <c r="H288" s="51" t="str">
        <f aca="false">IF($A288="","",SUMIFS(工数明細!$G$3:$G$302,工数明細!$B$3:$B$302,$A288,工数明細!$I$3:$I$302,H$212))</f>
        <v/>
      </c>
      <c r="I288" s="51" t="str">
        <f aca="false">IF($A288="","",SUMIFS(工数明細!$G$3:$G$302,工数明細!$B$3:$B$302,$A288,工数明細!$I$3:$I$302,I$212))</f>
        <v/>
      </c>
      <c r="J288" s="51" t="str">
        <f aca="false">IF($A288="","",SUMIFS(工数明細!$G$3:$G$302,工数明細!$B$3:$B$302,$A288,工数明細!$I$3:$I$302,J$212))</f>
        <v/>
      </c>
      <c r="K288" s="51" t="str">
        <f aca="false">IF($A288="","",SUMIFS(工数明細!$G$3:$G$302,工数明細!$B$3:$B$302,$A288,工数明細!$I$3:$I$302,K$212))</f>
        <v/>
      </c>
      <c r="L288" s="51" t="str">
        <f aca="false">IF($A288="","",SUMIFS(工数明細!$G$3:$G$302,工数明細!$B$3:$B$302,$A288,工数明細!$I$3:$I$302,L$212))</f>
        <v/>
      </c>
      <c r="M288" s="51" t="str">
        <f aca="false">IF($A288="","",SUMIFS(工数明細!$G$3:$G$302,工数明細!$B$3:$B$302,$A288,工数明細!$I$3:$I$302,M$212))</f>
        <v/>
      </c>
      <c r="N288" s="51" t="str">
        <f aca="false">IF($A288="","",SUMIFS(工数明細!$G$3:$G$302,工数明細!$B$3:$B$302,$A288,工数明細!$I$3:$I$302,N$212))</f>
        <v/>
      </c>
      <c r="O288" s="51" t="str">
        <f aca="false">IF($A288="","",SUMIFS(工数明細!$G$3:$G$302,工数明細!$B$3:$B$302,$A288,工数明細!$I$3:$I$302,O$212))</f>
        <v/>
      </c>
      <c r="P288" s="51" t="str">
        <f aca="false">IF($A288="","",SUMIFS(工数明細!$G$3:$G$302,工数明細!$B$3:$B$302,$A288,工数明細!$I$3:$I$302,P$212))</f>
        <v/>
      </c>
      <c r="Q288" s="51" t="str">
        <f aca="false">IF($A288="","",SUMIFS(工数明細!$G$3:$G$302,工数明細!$B$3:$B$302,$A288,工数明細!$I$3:$I$302,Q$212))</f>
        <v/>
      </c>
      <c r="R288" s="51" t="str">
        <f aca="false">IF($A288="","",SUMIFS(工数明細!$G$3:$G$302,工数明細!$B$3:$B$302,$A288,工数明細!$I$3:$I$302,R$212))</f>
        <v/>
      </c>
      <c r="S288" s="51" t="str">
        <f aca="false">IF($A288="","",SUMIFS(工数明細!$G$3:$G$302,工数明細!$B$3:$B$302,$A288,工数明細!$I$3:$I$302,S$212))</f>
        <v/>
      </c>
      <c r="T288" s="51" t="str">
        <f aca="false">IF($A288="","",SUMIFS(工数明細!$G$3:$G$302,工数明細!$B$3:$B$302,$A288,工数明細!$I$3:$I$302,T$212))</f>
        <v/>
      </c>
      <c r="U288" s="51" t="str">
        <f aca="false">IF($A288="","",SUMIFS(工数明細!$G$3:$G$302,工数明細!$B$3:$B$302,$A288,工数明細!$I$3:$I$302,U$212))</f>
        <v/>
      </c>
      <c r="V288" s="51" t="str">
        <f aca="false">IF($A288="","",SUMIFS(工数明細!$G$3:$G$302,工数明細!$B$3:$B$302,$A288,工数明細!$I$3:$I$302,V$212))</f>
        <v/>
      </c>
      <c r="W288" s="51" t="str">
        <f aca="false">IF($A288="","",SUMIFS(工数明細!$G$3:$G$302,工数明細!$B$3:$B$302,$A288,工数明細!$I$3:$I$302,W$212))</f>
        <v/>
      </c>
      <c r="X288" s="51" t="str">
        <f aca="false">IF($A288="","",SUMIFS(工数明細!$G$3:$G$302,工数明細!$B$3:$B$302,$A288,工数明細!$I$3:$I$302,X$212))</f>
        <v/>
      </c>
      <c r="Y288" s="51" t="str">
        <f aca="false">IF($A288="","",SUMIFS(工数明細!$G$3:$G$302,工数明細!$B$3:$B$302,$A288,工数明細!$I$3:$I$302,Y$212))</f>
        <v/>
      </c>
      <c r="Z288" s="51" t="str">
        <f aca="false">IF($A288="","",SUMIFS(工数明細!$G$3:$G$302,工数明細!$B$3:$B$302,$A288,工数明細!$I$3:$I$302,Z$212))</f>
        <v/>
      </c>
      <c r="AA288" s="51" t="str">
        <f aca="false">IF($A288="","",SUMIFS(工数明細!$G$3:$G$302,工数明細!$B$3:$B$302,$A288,工数明細!$I$3:$I$302,AA$212))</f>
        <v/>
      </c>
      <c r="AB288" s="51" t="str">
        <f aca="false">IF($A288="","",SUMIFS(工数明細!$G$3:$G$302,工数明細!$B$3:$B$302,$A288,工数明細!$I$3:$I$302,AB$212))</f>
        <v/>
      </c>
      <c r="AC288" s="51" t="str">
        <f aca="false">IF($A288="","",SUMIFS(工数明細!$G$3:$G$302,工数明細!$B$3:$B$302,$A288,工数明細!$I$3:$I$302,AC$212))</f>
        <v/>
      </c>
      <c r="AD288" s="51" t="str">
        <f aca="false">IF($A288="","",SUMIFS(工数明細!$G$3:$G$302,工数明細!$B$3:$B$302,$A288,工数明細!$I$3:$I$302,AD$212))</f>
        <v/>
      </c>
    </row>
    <row r="289" customFormat="false" ht="15.75" hidden="false" customHeight="true" outlineLevel="0" collapsed="false">
      <c r="A289" s="28" t="str">
        <f aca="false">IF(案件管理!$A$78:$A$78="","",案件管理!$A$78:$A$78)</f>
        <v/>
      </c>
      <c r="B289" s="10" t="str">
        <f aca="false">IF($A289="","",案件管理!$B$78:$B$78)</f>
        <v/>
      </c>
      <c r="C289" s="10" t="str">
        <f aca="false">IF($A289="","",案件管理!$D$78:$D$78)</f>
        <v/>
      </c>
      <c r="D289" s="30" t="str">
        <f aca="false">IF($A289="","",案件管理!$AE$78:$AE$78)</f>
        <v/>
      </c>
      <c r="E289" s="30" t="str">
        <f aca="false">IF($A289="","",SUM($G289:$AD289))</f>
        <v/>
      </c>
      <c r="F289" s="51" t="str">
        <f aca="false">IF($A289="","",N($E83)-N($E289))</f>
        <v/>
      </c>
      <c r="G289" s="51" t="str">
        <f aca="false">IF($A289="","",SUMIFS(工数明細!$G$3:$G$302,工数明細!$B$3:$B$302,$A289,工数明細!$I$3:$I$302,G$212))</f>
        <v/>
      </c>
      <c r="H289" s="51" t="str">
        <f aca="false">IF($A289="","",SUMIFS(工数明細!$G$3:$G$302,工数明細!$B$3:$B$302,$A289,工数明細!$I$3:$I$302,H$212))</f>
        <v/>
      </c>
      <c r="I289" s="51" t="str">
        <f aca="false">IF($A289="","",SUMIFS(工数明細!$G$3:$G$302,工数明細!$B$3:$B$302,$A289,工数明細!$I$3:$I$302,I$212))</f>
        <v/>
      </c>
      <c r="J289" s="51" t="str">
        <f aca="false">IF($A289="","",SUMIFS(工数明細!$G$3:$G$302,工数明細!$B$3:$B$302,$A289,工数明細!$I$3:$I$302,J$212))</f>
        <v/>
      </c>
      <c r="K289" s="51" t="str">
        <f aca="false">IF($A289="","",SUMIFS(工数明細!$G$3:$G$302,工数明細!$B$3:$B$302,$A289,工数明細!$I$3:$I$302,K$212))</f>
        <v/>
      </c>
      <c r="L289" s="51" t="str">
        <f aca="false">IF($A289="","",SUMIFS(工数明細!$G$3:$G$302,工数明細!$B$3:$B$302,$A289,工数明細!$I$3:$I$302,L$212))</f>
        <v/>
      </c>
      <c r="M289" s="51" t="str">
        <f aca="false">IF($A289="","",SUMIFS(工数明細!$G$3:$G$302,工数明細!$B$3:$B$302,$A289,工数明細!$I$3:$I$302,M$212))</f>
        <v/>
      </c>
      <c r="N289" s="51" t="str">
        <f aca="false">IF($A289="","",SUMIFS(工数明細!$G$3:$G$302,工数明細!$B$3:$B$302,$A289,工数明細!$I$3:$I$302,N$212))</f>
        <v/>
      </c>
      <c r="O289" s="51" t="str">
        <f aca="false">IF($A289="","",SUMIFS(工数明細!$G$3:$G$302,工数明細!$B$3:$B$302,$A289,工数明細!$I$3:$I$302,O$212))</f>
        <v/>
      </c>
      <c r="P289" s="51" t="str">
        <f aca="false">IF($A289="","",SUMIFS(工数明細!$G$3:$G$302,工数明細!$B$3:$B$302,$A289,工数明細!$I$3:$I$302,P$212))</f>
        <v/>
      </c>
      <c r="Q289" s="51" t="str">
        <f aca="false">IF($A289="","",SUMIFS(工数明細!$G$3:$G$302,工数明細!$B$3:$B$302,$A289,工数明細!$I$3:$I$302,Q$212))</f>
        <v/>
      </c>
      <c r="R289" s="51" t="str">
        <f aca="false">IF($A289="","",SUMIFS(工数明細!$G$3:$G$302,工数明細!$B$3:$B$302,$A289,工数明細!$I$3:$I$302,R$212))</f>
        <v/>
      </c>
      <c r="S289" s="51" t="str">
        <f aca="false">IF($A289="","",SUMIFS(工数明細!$G$3:$G$302,工数明細!$B$3:$B$302,$A289,工数明細!$I$3:$I$302,S$212))</f>
        <v/>
      </c>
      <c r="T289" s="51" t="str">
        <f aca="false">IF($A289="","",SUMIFS(工数明細!$G$3:$G$302,工数明細!$B$3:$B$302,$A289,工数明細!$I$3:$I$302,T$212))</f>
        <v/>
      </c>
      <c r="U289" s="51" t="str">
        <f aca="false">IF($A289="","",SUMIFS(工数明細!$G$3:$G$302,工数明細!$B$3:$B$302,$A289,工数明細!$I$3:$I$302,U$212))</f>
        <v/>
      </c>
      <c r="V289" s="51" t="str">
        <f aca="false">IF($A289="","",SUMIFS(工数明細!$G$3:$G$302,工数明細!$B$3:$B$302,$A289,工数明細!$I$3:$I$302,V$212))</f>
        <v/>
      </c>
      <c r="W289" s="51" t="str">
        <f aca="false">IF($A289="","",SUMIFS(工数明細!$G$3:$G$302,工数明細!$B$3:$B$302,$A289,工数明細!$I$3:$I$302,W$212))</f>
        <v/>
      </c>
      <c r="X289" s="51" t="str">
        <f aca="false">IF($A289="","",SUMIFS(工数明細!$G$3:$G$302,工数明細!$B$3:$B$302,$A289,工数明細!$I$3:$I$302,X$212))</f>
        <v/>
      </c>
      <c r="Y289" s="51" t="str">
        <f aca="false">IF($A289="","",SUMIFS(工数明細!$G$3:$G$302,工数明細!$B$3:$B$302,$A289,工数明細!$I$3:$I$302,Y$212))</f>
        <v/>
      </c>
      <c r="Z289" s="51" t="str">
        <f aca="false">IF($A289="","",SUMIFS(工数明細!$G$3:$G$302,工数明細!$B$3:$B$302,$A289,工数明細!$I$3:$I$302,Z$212))</f>
        <v/>
      </c>
      <c r="AA289" s="51" t="str">
        <f aca="false">IF($A289="","",SUMIFS(工数明細!$G$3:$G$302,工数明細!$B$3:$B$302,$A289,工数明細!$I$3:$I$302,AA$212))</f>
        <v/>
      </c>
      <c r="AB289" s="51" t="str">
        <f aca="false">IF($A289="","",SUMIFS(工数明細!$G$3:$G$302,工数明細!$B$3:$B$302,$A289,工数明細!$I$3:$I$302,AB$212))</f>
        <v/>
      </c>
      <c r="AC289" s="51" t="str">
        <f aca="false">IF($A289="","",SUMIFS(工数明細!$G$3:$G$302,工数明細!$B$3:$B$302,$A289,工数明細!$I$3:$I$302,AC$212))</f>
        <v/>
      </c>
      <c r="AD289" s="51" t="str">
        <f aca="false">IF($A289="","",SUMIFS(工数明細!$G$3:$G$302,工数明細!$B$3:$B$302,$A289,工数明細!$I$3:$I$302,AD$212))</f>
        <v/>
      </c>
    </row>
    <row r="290" customFormat="false" ht="15.75" hidden="false" customHeight="true" outlineLevel="0" collapsed="false">
      <c r="A290" s="28" t="str">
        <f aca="false">IF(案件管理!$A$79:$A$79="","",案件管理!$A$79:$A$79)</f>
        <v/>
      </c>
      <c r="B290" s="10" t="str">
        <f aca="false">IF($A290="","",案件管理!$B$79:$B$79)</f>
        <v/>
      </c>
      <c r="C290" s="10" t="str">
        <f aca="false">IF($A290="","",案件管理!$D$79:$D$79)</f>
        <v/>
      </c>
      <c r="D290" s="30" t="str">
        <f aca="false">IF($A290="","",案件管理!$AE$79:$AE$79)</f>
        <v/>
      </c>
      <c r="E290" s="30" t="str">
        <f aca="false">IF($A290="","",SUM($G290:$AD290))</f>
        <v/>
      </c>
      <c r="F290" s="51" t="str">
        <f aca="false">IF($A290="","",N($E84)-N($E290))</f>
        <v/>
      </c>
      <c r="G290" s="51" t="str">
        <f aca="false">IF($A290="","",SUMIFS(工数明細!$G$3:$G$302,工数明細!$B$3:$B$302,$A290,工数明細!$I$3:$I$302,G$212))</f>
        <v/>
      </c>
      <c r="H290" s="51" t="str">
        <f aca="false">IF($A290="","",SUMIFS(工数明細!$G$3:$G$302,工数明細!$B$3:$B$302,$A290,工数明細!$I$3:$I$302,H$212))</f>
        <v/>
      </c>
      <c r="I290" s="51" t="str">
        <f aca="false">IF($A290="","",SUMIFS(工数明細!$G$3:$G$302,工数明細!$B$3:$B$302,$A290,工数明細!$I$3:$I$302,I$212))</f>
        <v/>
      </c>
      <c r="J290" s="51" t="str">
        <f aca="false">IF($A290="","",SUMIFS(工数明細!$G$3:$G$302,工数明細!$B$3:$B$302,$A290,工数明細!$I$3:$I$302,J$212))</f>
        <v/>
      </c>
      <c r="K290" s="51" t="str">
        <f aca="false">IF($A290="","",SUMIFS(工数明細!$G$3:$G$302,工数明細!$B$3:$B$302,$A290,工数明細!$I$3:$I$302,K$212))</f>
        <v/>
      </c>
      <c r="L290" s="51" t="str">
        <f aca="false">IF($A290="","",SUMIFS(工数明細!$G$3:$G$302,工数明細!$B$3:$B$302,$A290,工数明細!$I$3:$I$302,L$212))</f>
        <v/>
      </c>
      <c r="M290" s="51" t="str">
        <f aca="false">IF($A290="","",SUMIFS(工数明細!$G$3:$G$302,工数明細!$B$3:$B$302,$A290,工数明細!$I$3:$I$302,M$212))</f>
        <v/>
      </c>
      <c r="N290" s="51" t="str">
        <f aca="false">IF($A290="","",SUMIFS(工数明細!$G$3:$G$302,工数明細!$B$3:$B$302,$A290,工数明細!$I$3:$I$302,N$212))</f>
        <v/>
      </c>
      <c r="O290" s="51" t="str">
        <f aca="false">IF($A290="","",SUMIFS(工数明細!$G$3:$G$302,工数明細!$B$3:$B$302,$A290,工数明細!$I$3:$I$302,O$212))</f>
        <v/>
      </c>
      <c r="P290" s="51" t="str">
        <f aca="false">IF($A290="","",SUMIFS(工数明細!$G$3:$G$302,工数明細!$B$3:$B$302,$A290,工数明細!$I$3:$I$302,P$212))</f>
        <v/>
      </c>
      <c r="Q290" s="51" t="str">
        <f aca="false">IF($A290="","",SUMIFS(工数明細!$G$3:$G$302,工数明細!$B$3:$B$302,$A290,工数明細!$I$3:$I$302,Q$212))</f>
        <v/>
      </c>
      <c r="R290" s="51" t="str">
        <f aca="false">IF($A290="","",SUMIFS(工数明細!$G$3:$G$302,工数明細!$B$3:$B$302,$A290,工数明細!$I$3:$I$302,R$212))</f>
        <v/>
      </c>
      <c r="S290" s="51" t="str">
        <f aca="false">IF($A290="","",SUMIFS(工数明細!$G$3:$G$302,工数明細!$B$3:$B$302,$A290,工数明細!$I$3:$I$302,S$212))</f>
        <v/>
      </c>
      <c r="T290" s="51" t="str">
        <f aca="false">IF($A290="","",SUMIFS(工数明細!$G$3:$G$302,工数明細!$B$3:$B$302,$A290,工数明細!$I$3:$I$302,T$212))</f>
        <v/>
      </c>
      <c r="U290" s="51" t="str">
        <f aca="false">IF($A290="","",SUMIFS(工数明細!$G$3:$G$302,工数明細!$B$3:$B$302,$A290,工数明細!$I$3:$I$302,U$212))</f>
        <v/>
      </c>
      <c r="V290" s="51" t="str">
        <f aca="false">IF($A290="","",SUMIFS(工数明細!$G$3:$G$302,工数明細!$B$3:$B$302,$A290,工数明細!$I$3:$I$302,V$212))</f>
        <v/>
      </c>
      <c r="W290" s="51" t="str">
        <f aca="false">IF($A290="","",SUMIFS(工数明細!$G$3:$G$302,工数明細!$B$3:$B$302,$A290,工数明細!$I$3:$I$302,W$212))</f>
        <v/>
      </c>
      <c r="X290" s="51" t="str">
        <f aca="false">IF($A290="","",SUMIFS(工数明細!$G$3:$G$302,工数明細!$B$3:$B$302,$A290,工数明細!$I$3:$I$302,X$212))</f>
        <v/>
      </c>
      <c r="Y290" s="51" t="str">
        <f aca="false">IF($A290="","",SUMIFS(工数明細!$G$3:$G$302,工数明細!$B$3:$B$302,$A290,工数明細!$I$3:$I$302,Y$212))</f>
        <v/>
      </c>
      <c r="Z290" s="51" t="str">
        <f aca="false">IF($A290="","",SUMIFS(工数明細!$G$3:$G$302,工数明細!$B$3:$B$302,$A290,工数明細!$I$3:$I$302,Z$212))</f>
        <v/>
      </c>
      <c r="AA290" s="51" t="str">
        <f aca="false">IF($A290="","",SUMIFS(工数明細!$G$3:$G$302,工数明細!$B$3:$B$302,$A290,工数明細!$I$3:$I$302,AA$212))</f>
        <v/>
      </c>
      <c r="AB290" s="51" t="str">
        <f aca="false">IF($A290="","",SUMIFS(工数明細!$G$3:$G$302,工数明細!$B$3:$B$302,$A290,工数明細!$I$3:$I$302,AB$212))</f>
        <v/>
      </c>
      <c r="AC290" s="51" t="str">
        <f aca="false">IF($A290="","",SUMIFS(工数明細!$G$3:$G$302,工数明細!$B$3:$B$302,$A290,工数明細!$I$3:$I$302,AC$212))</f>
        <v/>
      </c>
      <c r="AD290" s="51" t="str">
        <f aca="false">IF($A290="","",SUMIFS(工数明細!$G$3:$G$302,工数明細!$B$3:$B$302,$A290,工数明細!$I$3:$I$302,AD$212))</f>
        <v/>
      </c>
    </row>
    <row r="291" customFormat="false" ht="15.75" hidden="false" customHeight="true" outlineLevel="0" collapsed="false">
      <c r="A291" s="28" t="str">
        <f aca="false">IF(案件管理!$A$80:$A$80="","",案件管理!$A$80:$A$80)</f>
        <v/>
      </c>
      <c r="B291" s="10" t="str">
        <f aca="false">IF($A291="","",案件管理!$B$80:$B$80)</f>
        <v/>
      </c>
      <c r="C291" s="10" t="str">
        <f aca="false">IF($A291="","",案件管理!$D$80:$D$80)</f>
        <v/>
      </c>
      <c r="D291" s="30" t="str">
        <f aca="false">IF($A291="","",案件管理!$AE$80:$AE$80)</f>
        <v/>
      </c>
      <c r="E291" s="30" t="str">
        <f aca="false">IF($A291="","",SUM($G291:$AD291))</f>
        <v/>
      </c>
      <c r="F291" s="51" t="str">
        <f aca="false">IF($A291="","",N($E85)-N($E291))</f>
        <v/>
      </c>
      <c r="G291" s="51" t="str">
        <f aca="false">IF($A291="","",SUMIFS(工数明細!$G$3:$G$302,工数明細!$B$3:$B$302,$A291,工数明細!$I$3:$I$302,G$212))</f>
        <v/>
      </c>
      <c r="H291" s="51" t="str">
        <f aca="false">IF($A291="","",SUMIFS(工数明細!$G$3:$G$302,工数明細!$B$3:$B$302,$A291,工数明細!$I$3:$I$302,H$212))</f>
        <v/>
      </c>
      <c r="I291" s="51" t="str">
        <f aca="false">IF($A291="","",SUMIFS(工数明細!$G$3:$G$302,工数明細!$B$3:$B$302,$A291,工数明細!$I$3:$I$302,I$212))</f>
        <v/>
      </c>
      <c r="J291" s="51" t="str">
        <f aca="false">IF($A291="","",SUMIFS(工数明細!$G$3:$G$302,工数明細!$B$3:$B$302,$A291,工数明細!$I$3:$I$302,J$212))</f>
        <v/>
      </c>
      <c r="K291" s="51" t="str">
        <f aca="false">IF($A291="","",SUMIFS(工数明細!$G$3:$G$302,工数明細!$B$3:$B$302,$A291,工数明細!$I$3:$I$302,K$212))</f>
        <v/>
      </c>
      <c r="L291" s="51" t="str">
        <f aca="false">IF($A291="","",SUMIFS(工数明細!$G$3:$G$302,工数明細!$B$3:$B$302,$A291,工数明細!$I$3:$I$302,L$212))</f>
        <v/>
      </c>
      <c r="M291" s="51" t="str">
        <f aca="false">IF($A291="","",SUMIFS(工数明細!$G$3:$G$302,工数明細!$B$3:$B$302,$A291,工数明細!$I$3:$I$302,M$212))</f>
        <v/>
      </c>
      <c r="N291" s="51" t="str">
        <f aca="false">IF($A291="","",SUMIFS(工数明細!$G$3:$G$302,工数明細!$B$3:$B$302,$A291,工数明細!$I$3:$I$302,N$212))</f>
        <v/>
      </c>
      <c r="O291" s="51" t="str">
        <f aca="false">IF($A291="","",SUMIFS(工数明細!$G$3:$G$302,工数明細!$B$3:$B$302,$A291,工数明細!$I$3:$I$302,O$212))</f>
        <v/>
      </c>
      <c r="P291" s="51" t="str">
        <f aca="false">IF($A291="","",SUMIFS(工数明細!$G$3:$G$302,工数明細!$B$3:$B$302,$A291,工数明細!$I$3:$I$302,P$212))</f>
        <v/>
      </c>
      <c r="Q291" s="51" t="str">
        <f aca="false">IF($A291="","",SUMIFS(工数明細!$G$3:$G$302,工数明細!$B$3:$B$302,$A291,工数明細!$I$3:$I$302,Q$212))</f>
        <v/>
      </c>
      <c r="R291" s="51" t="str">
        <f aca="false">IF($A291="","",SUMIFS(工数明細!$G$3:$G$302,工数明細!$B$3:$B$302,$A291,工数明細!$I$3:$I$302,R$212))</f>
        <v/>
      </c>
      <c r="S291" s="51" t="str">
        <f aca="false">IF($A291="","",SUMIFS(工数明細!$G$3:$G$302,工数明細!$B$3:$B$302,$A291,工数明細!$I$3:$I$302,S$212))</f>
        <v/>
      </c>
      <c r="T291" s="51" t="str">
        <f aca="false">IF($A291="","",SUMIFS(工数明細!$G$3:$G$302,工数明細!$B$3:$B$302,$A291,工数明細!$I$3:$I$302,T$212))</f>
        <v/>
      </c>
      <c r="U291" s="51" t="str">
        <f aca="false">IF($A291="","",SUMIFS(工数明細!$G$3:$G$302,工数明細!$B$3:$B$302,$A291,工数明細!$I$3:$I$302,U$212))</f>
        <v/>
      </c>
      <c r="V291" s="51" t="str">
        <f aca="false">IF($A291="","",SUMIFS(工数明細!$G$3:$G$302,工数明細!$B$3:$B$302,$A291,工数明細!$I$3:$I$302,V$212))</f>
        <v/>
      </c>
      <c r="W291" s="51" t="str">
        <f aca="false">IF($A291="","",SUMIFS(工数明細!$G$3:$G$302,工数明細!$B$3:$B$302,$A291,工数明細!$I$3:$I$302,W$212))</f>
        <v/>
      </c>
      <c r="X291" s="51" t="str">
        <f aca="false">IF($A291="","",SUMIFS(工数明細!$G$3:$G$302,工数明細!$B$3:$B$302,$A291,工数明細!$I$3:$I$302,X$212))</f>
        <v/>
      </c>
      <c r="Y291" s="51" t="str">
        <f aca="false">IF($A291="","",SUMIFS(工数明細!$G$3:$G$302,工数明細!$B$3:$B$302,$A291,工数明細!$I$3:$I$302,Y$212))</f>
        <v/>
      </c>
      <c r="Z291" s="51" t="str">
        <f aca="false">IF($A291="","",SUMIFS(工数明細!$G$3:$G$302,工数明細!$B$3:$B$302,$A291,工数明細!$I$3:$I$302,Z$212))</f>
        <v/>
      </c>
      <c r="AA291" s="51" t="str">
        <f aca="false">IF($A291="","",SUMIFS(工数明細!$G$3:$G$302,工数明細!$B$3:$B$302,$A291,工数明細!$I$3:$I$302,AA$212))</f>
        <v/>
      </c>
      <c r="AB291" s="51" t="str">
        <f aca="false">IF($A291="","",SUMIFS(工数明細!$G$3:$G$302,工数明細!$B$3:$B$302,$A291,工数明細!$I$3:$I$302,AB$212))</f>
        <v/>
      </c>
      <c r="AC291" s="51" t="str">
        <f aca="false">IF($A291="","",SUMIFS(工数明細!$G$3:$G$302,工数明細!$B$3:$B$302,$A291,工数明細!$I$3:$I$302,AC$212))</f>
        <v/>
      </c>
      <c r="AD291" s="51" t="str">
        <f aca="false">IF($A291="","",SUMIFS(工数明細!$G$3:$G$302,工数明細!$B$3:$B$302,$A291,工数明細!$I$3:$I$302,AD$212))</f>
        <v/>
      </c>
    </row>
    <row r="292" customFormat="false" ht="15.75" hidden="false" customHeight="true" outlineLevel="0" collapsed="false">
      <c r="A292" s="28" t="str">
        <f aca="false">IF(案件管理!$A$81:$A$81="","",案件管理!$A$81:$A$81)</f>
        <v/>
      </c>
      <c r="B292" s="10" t="str">
        <f aca="false">IF($A292="","",案件管理!$B$81:$B$81)</f>
        <v/>
      </c>
      <c r="C292" s="10" t="str">
        <f aca="false">IF($A292="","",案件管理!$D$81:$D$81)</f>
        <v/>
      </c>
      <c r="D292" s="30" t="str">
        <f aca="false">IF($A292="","",案件管理!$AE$81:$AE$81)</f>
        <v/>
      </c>
      <c r="E292" s="30" t="str">
        <f aca="false">IF($A292="","",SUM($G292:$AD292))</f>
        <v/>
      </c>
      <c r="F292" s="51" t="str">
        <f aca="false">IF($A292="","",N($E86)-N($E292))</f>
        <v/>
      </c>
      <c r="G292" s="51" t="str">
        <f aca="false">IF($A292="","",SUMIFS(工数明細!$G$3:$G$302,工数明細!$B$3:$B$302,$A292,工数明細!$I$3:$I$302,G$212))</f>
        <v/>
      </c>
      <c r="H292" s="51" t="str">
        <f aca="false">IF($A292="","",SUMIFS(工数明細!$G$3:$G$302,工数明細!$B$3:$B$302,$A292,工数明細!$I$3:$I$302,H$212))</f>
        <v/>
      </c>
      <c r="I292" s="51" t="str">
        <f aca="false">IF($A292="","",SUMIFS(工数明細!$G$3:$G$302,工数明細!$B$3:$B$302,$A292,工数明細!$I$3:$I$302,I$212))</f>
        <v/>
      </c>
      <c r="J292" s="51" t="str">
        <f aca="false">IF($A292="","",SUMIFS(工数明細!$G$3:$G$302,工数明細!$B$3:$B$302,$A292,工数明細!$I$3:$I$302,J$212))</f>
        <v/>
      </c>
      <c r="K292" s="51" t="str">
        <f aca="false">IF($A292="","",SUMIFS(工数明細!$G$3:$G$302,工数明細!$B$3:$B$302,$A292,工数明細!$I$3:$I$302,K$212))</f>
        <v/>
      </c>
      <c r="L292" s="51" t="str">
        <f aca="false">IF($A292="","",SUMIFS(工数明細!$G$3:$G$302,工数明細!$B$3:$B$302,$A292,工数明細!$I$3:$I$302,L$212))</f>
        <v/>
      </c>
      <c r="M292" s="51" t="str">
        <f aca="false">IF($A292="","",SUMIFS(工数明細!$G$3:$G$302,工数明細!$B$3:$B$302,$A292,工数明細!$I$3:$I$302,M$212))</f>
        <v/>
      </c>
      <c r="N292" s="51" t="str">
        <f aca="false">IF($A292="","",SUMIFS(工数明細!$G$3:$G$302,工数明細!$B$3:$B$302,$A292,工数明細!$I$3:$I$302,N$212))</f>
        <v/>
      </c>
      <c r="O292" s="51" t="str">
        <f aca="false">IF($A292="","",SUMIFS(工数明細!$G$3:$G$302,工数明細!$B$3:$B$302,$A292,工数明細!$I$3:$I$302,O$212))</f>
        <v/>
      </c>
      <c r="P292" s="51" t="str">
        <f aca="false">IF($A292="","",SUMIFS(工数明細!$G$3:$G$302,工数明細!$B$3:$B$302,$A292,工数明細!$I$3:$I$302,P$212))</f>
        <v/>
      </c>
      <c r="Q292" s="51" t="str">
        <f aca="false">IF($A292="","",SUMIFS(工数明細!$G$3:$G$302,工数明細!$B$3:$B$302,$A292,工数明細!$I$3:$I$302,Q$212))</f>
        <v/>
      </c>
      <c r="R292" s="51" t="str">
        <f aca="false">IF($A292="","",SUMIFS(工数明細!$G$3:$G$302,工数明細!$B$3:$B$302,$A292,工数明細!$I$3:$I$302,R$212))</f>
        <v/>
      </c>
      <c r="S292" s="51" t="str">
        <f aca="false">IF($A292="","",SUMIFS(工数明細!$G$3:$G$302,工数明細!$B$3:$B$302,$A292,工数明細!$I$3:$I$302,S$212))</f>
        <v/>
      </c>
      <c r="T292" s="51" t="str">
        <f aca="false">IF($A292="","",SUMIFS(工数明細!$G$3:$G$302,工数明細!$B$3:$B$302,$A292,工数明細!$I$3:$I$302,T$212))</f>
        <v/>
      </c>
      <c r="U292" s="51" t="str">
        <f aca="false">IF($A292="","",SUMIFS(工数明細!$G$3:$G$302,工数明細!$B$3:$B$302,$A292,工数明細!$I$3:$I$302,U$212))</f>
        <v/>
      </c>
      <c r="V292" s="51" t="str">
        <f aca="false">IF($A292="","",SUMIFS(工数明細!$G$3:$G$302,工数明細!$B$3:$B$302,$A292,工数明細!$I$3:$I$302,V$212))</f>
        <v/>
      </c>
      <c r="W292" s="51" t="str">
        <f aca="false">IF($A292="","",SUMIFS(工数明細!$G$3:$G$302,工数明細!$B$3:$B$302,$A292,工数明細!$I$3:$I$302,W$212))</f>
        <v/>
      </c>
      <c r="X292" s="51" t="str">
        <f aca="false">IF($A292="","",SUMIFS(工数明細!$G$3:$G$302,工数明細!$B$3:$B$302,$A292,工数明細!$I$3:$I$302,X$212))</f>
        <v/>
      </c>
      <c r="Y292" s="51" t="str">
        <f aca="false">IF($A292="","",SUMIFS(工数明細!$G$3:$G$302,工数明細!$B$3:$B$302,$A292,工数明細!$I$3:$I$302,Y$212))</f>
        <v/>
      </c>
      <c r="Z292" s="51" t="str">
        <f aca="false">IF($A292="","",SUMIFS(工数明細!$G$3:$G$302,工数明細!$B$3:$B$302,$A292,工数明細!$I$3:$I$302,Z$212))</f>
        <v/>
      </c>
      <c r="AA292" s="51" t="str">
        <f aca="false">IF($A292="","",SUMIFS(工数明細!$G$3:$G$302,工数明細!$B$3:$B$302,$A292,工数明細!$I$3:$I$302,AA$212))</f>
        <v/>
      </c>
      <c r="AB292" s="51" t="str">
        <f aca="false">IF($A292="","",SUMIFS(工数明細!$G$3:$G$302,工数明細!$B$3:$B$302,$A292,工数明細!$I$3:$I$302,AB$212))</f>
        <v/>
      </c>
      <c r="AC292" s="51" t="str">
        <f aca="false">IF($A292="","",SUMIFS(工数明細!$G$3:$G$302,工数明細!$B$3:$B$302,$A292,工数明細!$I$3:$I$302,AC$212))</f>
        <v/>
      </c>
      <c r="AD292" s="51" t="str">
        <f aca="false">IF($A292="","",SUMIFS(工数明細!$G$3:$G$302,工数明細!$B$3:$B$302,$A292,工数明細!$I$3:$I$302,AD$212))</f>
        <v/>
      </c>
    </row>
    <row r="293" customFormat="false" ht="15.75" hidden="false" customHeight="true" outlineLevel="0" collapsed="false">
      <c r="A293" s="28" t="str">
        <f aca="false">IF(案件管理!$A$82:$A$82="","",案件管理!$A$82:$A$82)</f>
        <v/>
      </c>
      <c r="B293" s="10" t="str">
        <f aca="false">IF($A293="","",案件管理!$B$82:$B$82)</f>
        <v/>
      </c>
      <c r="C293" s="10" t="str">
        <f aca="false">IF($A293="","",案件管理!$D$82:$D$82)</f>
        <v/>
      </c>
      <c r="D293" s="30" t="str">
        <f aca="false">IF($A293="","",案件管理!$AE$82:$AE$82)</f>
        <v/>
      </c>
      <c r="E293" s="30" t="str">
        <f aca="false">IF($A293="","",SUM($G293:$AD293))</f>
        <v/>
      </c>
      <c r="F293" s="51" t="str">
        <f aca="false">IF($A293="","",N($E87)-N($E293))</f>
        <v/>
      </c>
      <c r="G293" s="51" t="str">
        <f aca="false">IF($A293="","",SUMIFS(工数明細!$G$3:$G$302,工数明細!$B$3:$B$302,$A293,工数明細!$I$3:$I$302,G$212))</f>
        <v/>
      </c>
      <c r="H293" s="51" t="str">
        <f aca="false">IF($A293="","",SUMIFS(工数明細!$G$3:$G$302,工数明細!$B$3:$B$302,$A293,工数明細!$I$3:$I$302,H$212))</f>
        <v/>
      </c>
      <c r="I293" s="51" t="str">
        <f aca="false">IF($A293="","",SUMIFS(工数明細!$G$3:$G$302,工数明細!$B$3:$B$302,$A293,工数明細!$I$3:$I$302,I$212))</f>
        <v/>
      </c>
      <c r="J293" s="51" t="str">
        <f aca="false">IF($A293="","",SUMIFS(工数明細!$G$3:$G$302,工数明細!$B$3:$B$302,$A293,工数明細!$I$3:$I$302,J$212))</f>
        <v/>
      </c>
      <c r="K293" s="51" t="str">
        <f aca="false">IF($A293="","",SUMIFS(工数明細!$G$3:$G$302,工数明細!$B$3:$B$302,$A293,工数明細!$I$3:$I$302,K$212))</f>
        <v/>
      </c>
      <c r="L293" s="51" t="str">
        <f aca="false">IF($A293="","",SUMIFS(工数明細!$G$3:$G$302,工数明細!$B$3:$B$302,$A293,工数明細!$I$3:$I$302,L$212))</f>
        <v/>
      </c>
      <c r="M293" s="51" t="str">
        <f aca="false">IF($A293="","",SUMIFS(工数明細!$G$3:$G$302,工数明細!$B$3:$B$302,$A293,工数明細!$I$3:$I$302,M$212))</f>
        <v/>
      </c>
      <c r="N293" s="51" t="str">
        <f aca="false">IF($A293="","",SUMIFS(工数明細!$G$3:$G$302,工数明細!$B$3:$B$302,$A293,工数明細!$I$3:$I$302,N$212))</f>
        <v/>
      </c>
      <c r="O293" s="51" t="str">
        <f aca="false">IF($A293="","",SUMIFS(工数明細!$G$3:$G$302,工数明細!$B$3:$B$302,$A293,工数明細!$I$3:$I$302,O$212))</f>
        <v/>
      </c>
      <c r="P293" s="51" t="str">
        <f aca="false">IF($A293="","",SUMIFS(工数明細!$G$3:$G$302,工数明細!$B$3:$B$302,$A293,工数明細!$I$3:$I$302,P$212))</f>
        <v/>
      </c>
      <c r="Q293" s="51" t="str">
        <f aca="false">IF($A293="","",SUMIFS(工数明細!$G$3:$G$302,工数明細!$B$3:$B$302,$A293,工数明細!$I$3:$I$302,Q$212))</f>
        <v/>
      </c>
      <c r="R293" s="51" t="str">
        <f aca="false">IF($A293="","",SUMIFS(工数明細!$G$3:$G$302,工数明細!$B$3:$B$302,$A293,工数明細!$I$3:$I$302,R$212))</f>
        <v/>
      </c>
      <c r="S293" s="51" t="str">
        <f aca="false">IF($A293="","",SUMIFS(工数明細!$G$3:$G$302,工数明細!$B$3:$B$302,$A293,工数明細!$I$3:$I$302,S$212))</f>
        <v/>
      </c>
      <c r="T293" s="51" t="str">
        <f aca="false">IF($A293="","",SUMIFS(工数明細!$G$3:$G$302,工数明細!$B$3:$B$302,$A293,工数明細!$I$3:$I$302,T$212))</f>
        <v/>
      </c>
      <c r="U293" s="51" t="str">
        <f aca="false">IF($A293="","",SUMIFS(工数明細!$G$3:$G$302,工数明細!$B$3:$B$302,$A293,工数明細!$I$3:$I$302,U$212))</f>
        <v/>
      </c>
      <c r="V293" s="51" t="str">
        <f aca="false">IF($A293="","",SUMIFS(工数明細!$G$3:$G$302,工数明細!$B$3:$B$302,$A293,工数明細!$I$3:$I$302,V$212))</f>
        <v/>
      </c>
      <c r="W293" s="51" t="str">
        <f aca="false">IF($A293="","",SUMIFS(工数明細!$G$3:$G$302,工数明細!$B$3:$B$302,$A293,工数明細!$I$3:$I$302,W$212))</f>
        <v/>
      </c>
      <c r="X293" s="51" t="str">
        <f aca="false">IF($A293="","",SUMIFS(工数明細!$G$3:$G$302,工数明細!$B$3:$B$302,$A293,工数明細!$I$3:$I$302,X$212))</f>
        <v/>
      </c>
      <c r="Y293" s="51" t="str">
        <f aca="false">IF($A293="","",SUMIFS(工数明細!$G$3:$G$302,工数明細!$B$3:$B$302,$A293,工数明細!$I$3:$I$302,Y$212))</f>
        <v/>
      </c>
      <c r="Z293" s="51" t="str">
        <f aca="false">IF($A293="","",SUMIFS(工数明細!$G$3:$G$302,工数明細!$B$3:$B$302,$A293,工数明細!$I$3:$I$302,Z$212))</f>
        <v/>
      </c>
      <c r="AA293" s="51" t="str">
        <f aca="false">IF($A293="","",SUMIFS(工数明細!$G$3:$G$302,工数明細!$B$3:$B$302,$A293,工数明細!$I$3:$I$302,AA$212))</f>
        <v/>
      </c>
      <c r="AB293" s="51" t="str">
        <f aca="false">IF($A293="","",SUMIFS(工数明細!$G$3:$G$302,工数明細!$B$3:$B$302,$A293,工数明細!$I$3:$I$302,AB$212))</f>
        <v/>
      </c>
      <c r="AC293" s="51" t="str">
        <f aca="false">IF($A293="","",SUMIFS(工数明細!$G$3:$G$302,工数明細!$B$3:$B$302,$A293,工数明細!$I$3:$I$302,AC$212))</f>
        <v/>
      </c>
      <c r="AD293" s="51" t="str">
        <f aca="false">IF($A293="","",SUMIFS(工数明細!$G$3:$G$302,工数明細!$B$3:$B$302,$A293,工数明細!$I$3:$I$302,AD$212))</f>
        <v/>
      </c>
    </row>
    <row r="294" customFormat="false" ht="15.75" hidden="false" customHeight="true" outlineLevel="0" collapsed="false">
      <c r="A294" s="28" t="str">
        <f aca="false">IF(案件管理!$A$83:$A$83="","",案件管理!$A$83:$A$83)</f>
        <v/>
      </c>
      <c r="B294" s="10" t="str">
        <f aca="false">IF($A294="","",案件管理!$B$83:$B$83)</f>
        <v/>
      </c>
      <c r="C294" s="10" t="str">
        <f aca="false">IF($A294="","",案件管理!$D$83:$D$83)</f>
        <v/>
      </c>
      <c r="D294" s="30" t="str">
        <f aca="false">IF($A294="","",案件管理!$AE$83:$AE$83)</f>
        <v/>
      </c>
      <c r="E294" s="30" t="str">
        <f aca="false">IF($A294="","",SUM($G294:$AD294))</f>
        <v/>
      </c>
      <c r="F294" s="51" t="str">
        <f aca="false">IF($A294="","",N($E88)-N($E294))</f>
        <v/>
      </c>
      <c r="G294" s="51" t="str">
        <f aca="false">IF($A294="","",SUMIFS(工数明細!$G$3:$G$302,工数明細!$B$3:$B$302,$A294,工数明細!$I$3:$I$302,G$212))</f>
        <v/>
      </c>
      <c r="H294" s="51" t="str">
        <f aca="false">IF($A294="","",SUMIFS(工数明細!$G$3:$G$302,工数明細!$B$3:$B$302,$A294,工数明細!$I$3:$I$302,H$212))</f>
        <v/>
      </c>
      <c r="I294" s="51" t="str">
        <f aca="false">IF($A294="","",SUMIFS(工数明細!$G$3:$G$302,工数明細!$B$3:$B$302,$A294,工数明細!$I$3:$I$302,I$212))</f>
        <v/>
      </c>
      <c r="J294" s="51" t="str">
        <f aca="false">IF($A294="","",SUMIFS(工数明細!$G$3:$G$302,工数明細!$B$3:$B$302,$A294,工数明細!$I$3:$I$302,J$212))</f>
        <v/>
      </c>
      <c r="K294" s="51" t="str">
        <f aca="false">IF($A294="","",SUMIFS(工数明細!$G$3:$G$302,工数明細!$B$3:$B$302,$A294,工数明細!$I$3:$I$302,K$212))</f>
        <v/>
      </c>
      <c r="L294" s="51" t="str">
        <f aca="false">IF($A294="","",SUMIFS(工数明細!$G$3:$G$302,工数明細!$B$3:$B$302,$A294,工数明細!$I$3:$I$302,L$212))</f>
        <v/>
      </c>
      <c r="M294" s="51" t="str">
        <f aca="false">IF($A294="","",SUMIFS(工数明細!$G$3:$G$302,工数明細!$B$3:$B$302,$A294,工数明細!$I$3:$I$302,M$212))</f>
        <v/>
      </c>
      <c r="N294" s="51" t="str">
        <f aca="false">IF($A294="","",SUMIFS(工数明細!$G$3:$G$302,工数明細!$B$3:$B$302,$A294,工数明細!$I$3:$I$302,N$212))</f>
        <v/>
      </c>
      <c r="O294" s="51" t="str">
        <f aca="false">IF($A294="","",SUMIFS(工数明細!$G$3:$G$302,工数明細!$B$3:$B$302,$A294,工数明細!$I$3:$I$302,O$212))</f>
        <v/>
      </c>
      <c r="P294" s="51" t="str">
        <f aca="false">IF($A294="","",SUMIFS(工数明細!$G$3:$G$302,工数明細!$B$3:$B$302,$A294,工数明細!$I$3:$I$302,P$212))</f>
        <v/>
      </c>
      <c r="Q294" s="51" t="str">
        <f aca="false">IF($A294="","",SUMIFS(工数明細!$G$3:$G$302,工数明細!$B$3:$B$302,$A294,工数明細!$I$3:$I$302,Q$212))</f>
        <v/>
      </c>
      <c r="R294" s="51" t="str">
        <f aca="false">IF($A294="","",SUMIFS(工数明細!$G$3:$G$302,工数明細!$B$3:$B$302,$A294,工数明細!$I$3:$I$302,R$212))</f>
        <v/>
      </c>
      <c r="S294" s="51" t="str">
        <f aca="false">IF($A294="","",SUMIFS(工数明細!$G$3:$G$302,工数明細!$B$3:$B$302,$A294,工数明細!$I$3:$I$302,S$212))</f>
        <v/>
      </c>
      <c r="T294" s="51" t="str">
        <f aca="false">IF($A294="","",SUMIFS(工数明細!$G$3:$G$302,工数明細!$B$3:$B$302,$A294,工数明細!$I$3:$I$302,T$212))</f>
        <v/>
      </c>
      <c r="U294" s="51" t="str">
        <f aca="false">IF($A294="","",SUMIFS(工数明細!$G$3:$G$302,工数明細!$B$3:$B$302,$A294,工数明細!$I$3:$I$302,U$212))</f>
        <v/>
      </c>
      <c r="V294" s="51" t="str">
        <f aca="false">IF($A294="","",SUMIFS(工数明細!$G$3:$G$302,工数明細!$B$3:$B$302,$A294,工数明細!$I$3:$I$302,V$212))</f>
        <v/>
      </c>
      <c r="W294" s="51" t="str">
        <f aca="false">IF($A294="","",SUMIFS(工数明細!$G$3:$G$302,工数明細!$B$3:$B$302,$A294,工数明細!$I$3:$I$302,W$212))</f>
        <v/>
      </c>
      <c r="X294" s="51" t="str">
        <f aca="false">IF($A294="","",SUMIFS(工数明細!$G$3:$G$302,工数明細!$B$3:$B$302,$A294,工数明細!$I$3:$I$302,X$212))</f>
        <v/>
      </c>
      <c r="Y294" s="51" t="str">
        <f aca="false">IF($A294="","",SUMIFS(工数明細!$G$3:$G$302,工数明細!$B$3:$B$302,$A294,工数明細!$I$3:$I$302,Y$212))</f>
        <v/>
      </c>
      <c r="Z294" s="51" t="str">
        <f aca="false">IF($A294="","",SUMIFS(工数明細!$G$3:$G$302,工数明細!$B$3:$B$302,$A294,工数明細!$I$3:$I$302,Z$212))</f>
        <v/>
      </c>
      <c r="AA294" s="51" t="str">
        <f aca="false">IF($A294="","",SUMIFS(工数明細!$G$3:$G$302,工数明細!$B$3:$B$302,$A294,工数明細!$I$3:$I$302,AA$212))</f>
        <v/>
      </c>
      <c r="AB294" s="51" t="str">
        <f aca="false">IF($A294="","",SUMIFS(工数明細!$G$3:$G$302,工数明細!$B$3:$B$302,$A294,工数明細!$I$3:$I$302,AB$212))</f>
        <v/>
      </c>
      <c r="AC294" s="51" t="str">
        <f aca="false">IF($A294="","",SUMIFS(工数明細!$G$3:$G$302,工数明細!$B$3:$B$302,$A294,工数明細!$I$3:$I$302,AC$212))</f>
        <v/>
      </c>
      <c r="AD294" s="51" t="str">
        <f aca="false">IF($A294="","",SUMIFS(工数明細!$G$3:$G$302,工数明細!$B$3:$B$302,$A294,工数明細!$I$3:$I$302,AD$212))</f>
        <v/>
      </c>
    </row>
    <row r="295" customFormat="false" ht="15.75" hidden="false" customHeight="true" outlineLevel="0" collapsed="false">
      <c r="A295" s="28" t="str">
        <f aca="false">IF(案件管理!$A$84:$A$84="","",案件管理!$A$84:$A$84)</f>
        <v/>
      </c>
      <c r="B295" s="10" t="str">
        <f aca="false">IF($A295="","",案件管理!$B$84:$B$84)</f>
        <v/>
      </c>
      <c r="C295" s="10" t="str">
        <f aca="false">IF($A295="","",案件管理!$D$84:$D$84)</f>
        <v/>
      </c>
      <c r="D295" s="30" t="str">
        <f aca="false">IF($A295="","",案件管理!$AE$84:$AE$84)</f>
        <v/>
      </c>
      <c r="E295" s="30" t="str">
        <f aca="false">IF($A295="","",SUM($G295:$AD295))</f>
        <v/>
      </c>
      <c r="F295" s="51" t="str">
        <f aca="false">IF($A295="","",N($E89)-N($E295))</f>
        <v/>
      </c>
      <c r="G295" s="51" t="str">
        <f aca="false">IF($A295="","",SUMIFS(工数明細!$G$3:$G$302,工数明細!$B$3:$B$302,$A295,工数明細!$I$3:$I$302,G$212))</f>
        <v/>
      </c>
      <c r="H295" s="51" t="str">
        <f aca="false">IF($A295="","",SUMIFS(工数明細!$G$3:$G$302,工数明細!$B$3:$B$302,$A295,工数明細!$I$3:$I$302,H$212))</f>
        <v/>
      </c>
      <c r="I295" s="51" t="str">
        <f aca="false">IF($A295="","",SUMIFS(工数明細!$G$3:$G$302,工数明細!$B$3:$B$302,$A295,工数明細!$I$3:$I$302,I$212))</f>
        <v/>
      </c>
      <c r="J295" s="51" t="str">
        <f aca="false">IF($A295="","",SUMIFS(工数明細!$G$3:$G$302,工数明細!$B$3:$B$302,$A295,工数明細!$I$3:$I$302,J$212))</f>
        <v/>
      </c>
      <c r="K295" s="51" t="str">
        <f aca="false">IF($A295="","",SUMIFS(工数明細!$G$3:$G$302,工数明細!$B$3:$B$302,$A295,工数明細!$I$3:$I$302,K$212))</f>
        <v/>
      </c>
      <c r="L295" s="51" t="str">
        <f aca="false">IF($A295="","",SUMIFS(工数明細!$G$3:$G$302,工数明細!$B$3:$B$302,$A295,工数明細!$I$3:$I$302,L$212))</f>
        <v/>
      </c>
      <c r="M295" s="51" t="str">
        <f aca="false">IF($A295="","",SUMIFS(工数明細!$G$3:$G$302,工数明細!$B$3:$B$302,$A295,工数明細!$I$3:$I$302,M$212))</f>
        <v/>
      </c>
      <c r="N295" s="51" t="str">
        <f aca="false">IF($A295="","",SUMIFS(工数明細!$G$3:$G$302,工数明細!$B$3:$B$302,$A295,工数明細!$I$3:$I$302,N$212))</f>
        <v/>
      </c>
      <c r="O295" s="51" t="str">
        <f aca="false">IF($A295="","",SUMIFS(工数明細!$G$3:$G$302,工数明細!$B$3:$B$302,$A295,工数明細!$I$3:$I$302,O$212))</f>
        <v/>
      </c>
      <c r="P295" s="51" t="str">
        <f aca="false">IF($A295="","",SUMIFS(工数明細!$G$3:$G$302,工数明細!$B$3:$B$302,$A295,工数明細!$I$3:$I$302,P$212))</f>
        <v/>
      </c>
      <c r="Q295" s="51" t="str">
        <f aca="false">IF($A295="","",SUMIFS(工数明細!$G$3:$G$302,工数明細!$B$3:$B$302,$A295,工数明細!$I$3:$I$302,Q$212))</f>
        <v/>
      </c>
      <c r="R295" s="51" t="str">
        <f aca="false">IF($A295="","",SUMIFS(工数明細!$G$3:$G$302,工数明細!$B$3:$B$302,$A295,工数明細!$I$3:$I$302,R$212))</f>
        <v/>
      </c>
      <c r="S295" s="51" t="str">
        <f aca="false">IF($A295="","",SUMIFS(工数明細!$G$3:$G$302,工数明細!$B$3:$B$302,$A295,工数明細!$I$3:$I$302,S$212))</f>
        <v/>
      </c>
      <c r="T295" s="51" t="str">
        <f aca="false">IF($A295="","",SUMIFS(工数明細!$G$3:$G$302,工数明細!$B$3:$B$302,$A295,工数明細!$I$3:$I$302,T$212))</f>
        <v/>
      </c>
      <c r="U295" s="51" t="str">
        <f aca="false">IF($A295="","",SUMIFS(工数明細!$G$3:$G$302,工数明細!$B$3:$B$302,$A295,工数明細!$I$3:$I$302,U$212))</f>
        <v/>
      </c>
      <c r="V295" s="51" t="str">
        <f aca="false">IF($A295="","",SUMIFS(工数明細!$G$3:$G$302,工数明細!$B$3:$B$302,$A295,工数明細!$I$3:$I$302,V$212))</f>
        <v/>
      </c>
      <c r="W295" s="51" t="str">
        <f aca="false">IF($A295="","",SUMIFS(工数明細!$G$3:$G$302,工数明細!$B$3:$B$302,$A295,工数明細!$I$3:$I$302,W$212))</f>
        <v/>
      </c>
      <c r="X295" s="51" t="str">
        <f aca="false">IF($A295="","",SUMIFS(工数明細!$G$3:$G$302,工数明細!$B$3:$B$302,$A295,工数明細!$I$3:$I$302,X$212))</f>
        <v/>
      </c>
      <c r="Y295" s="51" t="str">
        <f aca="false">IF($A295="","",SUMIFS(工数明細!$G$3:$G$302,工数明細!$B$3:$B$302,$A295,工数明細!$I$3:$I$302,Y$212))</f>
        <v/>
      </c>
      <c r="Z295" s="51" t="str">
        <f aca="false">IF($A295="","",SUMIFS(工数明細!$G$3:$G$302,工数明細!$B$3:$B$302,$A295,工数明細!$I$3:$I$302,Z$212))</f>
        <v/>
      </c>
      <c r="AA295" s="51" t="str">
        <f aca="false">IF($A295="","",SUMIFS(工数明細!$G$3:$G$302,工数明細!$B$3:$B$302,$A295,工数明細!$I$3:$I$302,AA$212))</f>
        <v/>
      </c>
      <c r="AB295" s="51" t="str">
        <f aca="false">IF($A295="","",SUMIFS(工数明細!$G$3:$G$302,工数明細!$B$3:$B$302,$A295,工数明細!$I$3:$I$302,AB$212))</f>
        <v/>
      </c>
      <c r="AC295" s="51" t="str">
        <f aca="false">IF($A295="","",SUMIFS(工数明細!$G$3:$G$302,工数明細!$B$3:$B$302,$A295,工数明細!$I$3:$I$302,AC$212))</f>
        <v/>
      </c>
      <c r="AD295" s="51" t="str">
        <f aca="false">IF($A295="","",SUMIFS(工数明細!$G$3:$G$302,工数明細!$B$3:$B$302,$A295,工数明細!$I$3:$I$302,AD$212))</f>
        <v/>
      </c>
    </row>
    <row r="296" customFormat="false" ht="15.75" hidden="false" customHeight="true" outlineLevel="0" collapsed="false">
      <c r="A296" s="28" t="str">
        <f aca="false">IF(案件管理!$A$85:$A$85="","",案件管理!$A$85:$A$85)</f>
        <v/>
      </c>
      <c r="B296" s="10" t="str">
        <f aca="false">IF($A296="","",案件管理!$B$85:$B$85)</f>
        <v/>
      </c>
      <c r="C296" s="10" t="str">
        <f aca="false">IF($A296="","",案件管理!$D$85:$D$85)</f>
        <v/>
      </c>
      <c r="D296" s="30" t="str">
        <f aca="false">IF($A296="","",案件管理!$AE$85:$AE$85)</f>
        <v/>
      </c>
      <c r="E296" s="30" t="str">
        <f aca="false">IF($A296="","",SUM($G296:$AD296))</f>
        <v/>
      </c>
      <c r="F296" s="51" t="str">
        <f aca="false">IF($A296="","",N($E90)-N($E296))</f>
        <v/>
      </c>
      <c r="G296" s="51" t="str">
        <f aca="false">IF($A296="","",SUMIFS(工数明細!$G$3:$G$302,工数明細!$B$3:$B$302,$A296,工数明細!$I$3:$I$302,G$212))</f>
        <v/>
      </c>
      <c r="H296" s="51" t="str">
        <f aca="false">IF($A296="","",SUMIFS(工数明細!$G$3:$G$302,工数明細!$B$3:$B$302,$A296,工数明細!$I$3:$I$302,H$212))</f>
        <v/>
      </c>
      <c r="I296" s="51" t="str">
        <f aca="false">IF($A296="","",SUMIFS(工数明細!$G$3:$G$302,工数明細!$B$3:$B$302,$A296,工数明細!$I$3:$I$302,I$212))</f>
        <v/>
      </c>
      <c r="J296" s="51" t="str">
        <f aca="false">IF($A296="","",SUMIFS(工数明細!$G$3:$G$302,工数明細!$B$3:$B$302,$A296,工数明細!$I$3:$I$302,J$212))</f>
        <v/>
      </c>
      <c r="K296" s="51" t="str">
        <f aca="false">IF($A296="","",SUMIFS(工数明細!$G$3:$G$302,工数明細!$B$3:$B$302,$A296,工数明細!$I$3:$I$302,K$212))</f>
        <v/>
      </c>
      <c r="L296" s="51" t="str">
        <f aca="false">IF($A296="","",SUMIFS(工数明細!$G$3:$G$302,工数明細!$B$3:$B$302,$A296,工数明細!$I$3:$I$302,L$212))</f>
        <v/>
      </c>
      <c r="M296" s="51" t="str">
        <f aca="false">IF($A296="","",SUMIFS(工数明細!$G$3:$G$302,工数明細!$B$3:$B$302,$A296,工数明細!$I$3:$I$302,M$212))</f>
        <v/>
      </c>
      <c r="N296" s="51" t="str">
        <f aca="false">IF($A296="","",SUMIFS(工数明細!$G$3:$G$302,工数明細!$B$3:$B$302,$A296,工数明細!$I$3:$I$302,N$212))</f>
        <v/>
      </c>
      <c r="O296" s="51" t="str">
        <f aca="false">IF($A296="","",SUMIFS(工数明細!$G$3:$G$302,工数明細!$B$3:$B$302,$A296,工数明細!$I$3:$I$302,O$212))</f>
        <v/>
      </c>
      <c r="P296" s="51" t="str">
        <f aca="false">IF($A296="","",SUMIFS(工数明細!$G$3:$G$302,工数明細!$B$3:$B$302,$A296,工数明細!$I$3:$I$302,P$212))</f>
        <v/>
      </c>
      <c r="Q296" s="51" t="str">
        <f aca="false">IF($A296="","",SUMIFS(工数明細!$G$3:$G$302,工数明細!$B$3:$B$302,$A296,工数明細!$I$3:$I$302,Q$212))</f>
        <v/>
      </c>
      <c r="R296" s="51" t="str">
        <f aca="false">IF($A296="","",SUMIFS(工数明細!$G$3:$G$302,工数明細!$B$3:$B$302,$A296,工数明細!$I$3:$I$302,R$212))</f>
        <v/>
      </c>
      <c r="S296" s="51" t="str">
        <f aca="false">IF($A296="","",SUMIFS(工数明細!$G$3:$G$302,工数明細!$B$3:$B$302,$A296,工数明細!$I$3:$I$302,S$212))</f>
        <v/>
      </c>
      <c r="T296" s="51" t="str">
        <f aca="false">IF($A296="","",SUMIFS(工数明細!$G$3:$G$302,工数明細!$B$3:$B$302,$A296,工数明細!$I$3:$I$302,T$212))</f>
        <v/>
      </c>
      <c r="U296" s="51" t="str">
        <f aca="false">IF($A296="","",SUMIFS(工数明細!$G$3:$G$302,工数明細!$B$3:$B$302,$A296,工数明細!$I$3:$I$302,U$212))</f>
        <v/>
      </c>
      <c r="V296" s="51" t="str">
        <f aca="false">IF($A296="","",SUMIFS(工数明細!$G$3:$G$302,工数明細!$B$3:$B$302,$A296,工数明細!$I$3:$I$302,V$212))</f>
        <v/>
      </c>
      <c r="W296" s="51" t="str">
        <f aca="false">IF($A296="","",SUMIFS(工数明細!$G$3:$G$302,工数明細!$B$3:$B$302,$A296,工数明細!$I$3:$I$302,W$212))</f>
        <v/>
      </c>
      <c r="X296" s="51" t="str">
        <f aca="false">IF($A296="","",SUMIFS(工数明細!$G$3:$G$302,工数明細!$B$3:$B$302,$A296,工数明細!$I$3:$I$302,X$212))</f>
        <v/>
      </c>
      <c r="Y296" s="51" t="str">
        <f aca="false">IF($A296="","",SUMIFS(工数明細!$G$3:$G$302,工数明細!$B$3:$B$302,$A296,工数明細!$I$3:$I$302,Y$212))</f>
        <v/>
      </c>
      <c r="Z296" s="51" t="str">
        <f aca="false">IF($A296="","",SUMIFS(工数明細!$G$3:$G$302,工数明細!$B$3:$B$302,$A296,工数明細!$I$3:$I$302,Z$212))</f>
        <v/>
      </c>
      <c r="AA296" s="51" t="str">
        <f aca="false">IF($A296="","",SUMIFS(工数明細!$G$3:$G$302,工数明細!$B$3:$B$302,$A296,工数明細!$I$3:$I$302,AA$212))</f>
        <v/>
      </c>
      <c r="AB296" s="51" t="str">
        <f aca="false">IF($A296="","",SUMIFS(工数明細!$G$3:$G$302,工数明細!$B$3:$B$302,$A296,工数明細!$I$3:$I$302,AB$212))</f>
        <v/>
      </c>
      <c r="AC296" s="51" t="str">
        <f aca="false">IF($A296="","",SUMIFS(工数明細!$G$3:$G$302,工数明細!$B$3:$B$302,$A296,工数明細!$I$3:$I$302,AC$212))</f>
        <v/>
      </c>
      <c r="AD296" s="51" t="str">
        <f aca="false">IF($A296="","",SUMIFS(工数明細!$G$3:$G$302,工数明細!$B$3:$B$302,$A296,工数明細!$I$3:$I$302,AD$212))</f>
        <v/>
      </c>
    </row>
    <row r="297" customFormat="false" ht="15.75" hidden="false" customHeight="true" outlineLevel="0" collapsed="false">
      <c r="A297" s="28" t="str">
        <f aca="false">IF(案件管理!$A$86:$A$86="","",案件管理!$A$86:$A$86)</f>
        <v/>
      </c>
      <c r="B297" s="10" t="str">
        <f aca="false">IF($A297="","",案件管理!$B$86:$B$86)</f>
        <v/>
      </c>
      <c r="C297" s="10" t="str">
        <f aca="false">IF($A297="","",案件管理!$D$86:$D$86)</f>
        <v/>
      </c>
      <c r="D297" s="30" t="str">
        <f aca="false">IF($A297="","",案件管理!$AE$86:$AE$86)</f>
        <v/>
      </c>
      <c r="E297" s="30" t="str">
        <f aca="false">IF($A297="","",SUM($G297:$AD297))</f>
        <v/>
      </c>
      <c r="F297" s="51" t="str">
        <f aca="false">IF($A297="","",N($E91)-N($E297))</f>
        <v/>
      </c>
      <c r="G297" s="51" t="str">
        <f aca="false">IF($A297="","",SUMIFS(工数明細!$G$3:$G$302,工数明細!$B$3:$B$302,$A297,工数明細!$I$3:$I$302,G$212))</f>
        <v/>
      </c>
      <c r="H297" s="51" t="str">
        <f aca="false">IF($A297="","",SUMIFS(工数明細!$G$3:$G$302,工数明細!$B$3:$B$302,$A297,工数明細!$I$3:$I$302,H$212))</f>
        <v/>
      </c>
      <c r="I297" s="51" t="str">
        <f aca="false">IF($A297="","",SUMIFS(工数明細!$G$3:$G$302,工数明細!$B$3:$B$302,$A297,工数明細!$I$3:$I$302,I$212))</f>
        <v/>
      </c>
      <c r="J297" s="51" t="str">
        <f aca="false">IF($A297="","",SUMIFS(工数明細!$G$3:$G$302,工数明細!$B$3:$B$302,$A297,工数明細!$I$3:$I$302,J$212))</f>
        <v/>
      </c>
      <c r="K297" s="51" t="str">
        <f aca="false">IF($A297="","",SUMIFS(工数明細!$G$3:$G$302,工数明細!$B$3:$B$302,$A297,工数明細!$I$3:$I$302,K$212))</f>
        <v/>
      </c>
      <c r="L297" s="51" t="str">
        <f aca="false">IF($A297="","",SUMIFS(工数明細!$G$3:$G$302,工数明細!$B$3:$B$302,$A297,工数明細!$I$3:$I$302,L$212))</f>
        <v/>
      </c>
      <c r="M297" s="51" t="str">
        <f aca="false">IF($A297="","",SUMIFS(工数明細!$G$3:$G$302,工数明細!$B$3:$B$302,$A297,工数明細!$I$3:$I$302,M$212))</f>
        <v/>
      </c>
      <c r="N297" s="51" t="str">
        <f aca="false">IF($A297="","",SUMIFS(工数明細!$G$3:$G$302,工数明細!$B$3:$B$302,$A297,工数明細!$I$3:$I$302,N$212))</f>
        <v/>
      </c>
      <c r="O297" s="51" t="str">
        <f aca="false">IF($A297="","",SUMIFS(工数明細!$G$3:$G$302,工数明細!$B$3:$B$302,$A297,工数明細!$I$3:$I$302,O$212))</f>
        <v/>
      </c>
      <c r="P297" s="51" t="str">
        <f aca="false">IF($A297="","",SUMIFS(工数明細!$G$3:$G$302,工数明細!$B$3:$B$302,$A297,工数明細!$I$3:$I$302,P$212))</f>
        <v/>
      </c>
      <c r="Q297" s="51" t="str">
        <f aca="false">IF($A297="","",SUMIFS(工数明細!$G$3:$G$302,工数明細!$B$3:$B$302,$A297,工数明細!$I$3:$I$302,Q$212))</f>
        <v/>
      </c>
      <c r="R297" s="51" t="str">
        <f aca="false">IF($A297="","",SUMIFS(工数明細!$G$3:$G$302,工数明細!$B$3:$B$302,$A297,工数明細!$I$3:$I$302,R$212))</f>
        <v/>
      </c>
      <c r="S297" s="51" t="str">
        <f aca="false">IF($A297="","",SUMIFS(工数明細!$G$3:$G$302,工数明細!$B$3:$B$302,$A297,工数明細!$I$3:$I$302,S$212))</f>
        <v/>
      </c>
      <c r="T297" s="51" t="str">
        <f aca="false">IF($A297="","",SUMIFS(工数明細!$G$3:$G$302,工数明細!$B$3:$B$302,$A297,工数明細!$I$3:$I$302,T$212))</f>
        <v/>
      </c>
      <c r="U297" s="51" t="str">
        <f aca="false">IF($A297="","",SUMIFS(工数明細!$G$3:$G$302,工数明細!$B$3:$B$302,$A297,工数明細!$I$3:$I$302,U$212))</f>
        <v/>
      </c>
      <c r="V297" s="51" t="str">
        <f aca="false">IF($A297="","",SUMIFS(工数明細!$G$3:$G$302,工数明細!$B$3:$B$302,$A297,工数明細!$I$3:$I$302,V$212))</f>
        <v/>
      </c>
      <c r="W297" s="51" t="str">
        <f aca="false">IF($A297="","",SUMIFS(工数明細!$G$3:$G$302,工数明細!$B$3:$B$302,$A297,工数明細!$I$3:$I$302,W$212))</f>
        <v/>
      </c>
      <c r="X297" s="51" t="str">
        <f aca="false">IF($A297="","",SUMIFS(工数明細!$G$3:$G$302,工数明細!$B$3:$B$302,$A297,工数明細!$I$3:$I$302,X$212))</f>
        <v/>
      </c>
      <c r="Y297" s="51" t="str">
        <f aca="false">IF($A297="","",SUMIFS(工数明細!$G$3:$G$302,工数明細!$B$3:$B$302,$A297,工数明細!$I$3:$I$302,Y$212))</f>
        <v/>
      </c>
      <c r="Z297" s="51" t="str">
        <f aca="false">IF($A297="","",SUMIFS(工数明細!$G$3:$G$302,工数明細!$B$3:$B$302,$A297,工数明細!$I$3:$I$302,Z$212))</f>
        <v/>
      </c>
      <c r="AA297" s="51" t="str">
        <f aca="false">IF($A297="","",SUMIFS(工数明細!$G$3:$G$302,工数明細!$B$3:$B$302,$A297,工数明細!$I$3:$I$302,AA$212))</f>
        <v/>
      </c>
      <c r="AB297" s="51" t="str">
        <f aca="false">IF($A297="","",SUMIFS(工数明細!$G$3:$G$302,工数明細!$B$3:$B$302,$A297,工数明細!$I$3:$I$302,AB$212))</f>
        <v/>
      </c>
      <c r="AC297" s="51" t="str">
        <f aca="false">IF($A297="","",SUMIFS(工数明細!$G$3:$G$302,工数明細!$B$3:$B$302,$A297,工数明細!$I$3:$I$302,AC$212))</f>
        <v/>
      </c>
      <c r="AD297" s="51" t="str">
        <f aca="false">IF($A297="","",SUMIFS(工数明細!$G$3:$G$302,工数明細!$B$3:$B$302,$A297,工数明細!$I$3:$I$302,AD$212))</f>
        <v/>
      </c>
    </row>
    <row r="298" customFormat="false" ht="15.75" hidden="false" customHeight="true" outlineLevel="0" collapsed="false">
      <c r="A298" s="28" t="str">
        <f aca="false">IF(案件管理!$A$87:$A$87="","",案件管理!$A$87:$A$87)</f>
        <v/>
      </c>
      <c r="B298" s="10" t="str">
        <f aca="false">IF($A298="","",案件管理!$B$87:$B$87)</f>
        <v/>
      </c>
      <c r="C298" s="10" t="str">
        <f aca="false">IF($A298="","",案件管理!$D$87:$D$87)</f>
        <v/>
      </c>
      <c r="D298" s="30" t="str">
        <f aca="false">IF($A298="","",案件管理!$AE$87:$AE$87)</f>
        <v/>
      </c>
      <c r="E298" s="30" t="str">
        <f aca="false">IF($A298="","",SUM($G298:$AD298))</f>
        <v/>
      </c>
      <c r="F298" s="51" t="str">
        <f aca="false">IF($A298="","",N($E92)-N($E298))</f>
        <v/>
      </c>
      <c r="G298" s="51" t="str">
        <f aca="false">IF($A298="","",SUMIFS(工数明細!$G$3:$G$302,工数明細!$B$3:$B$302,$A298,工数明細!$I$3:$I$302,G$212))</f>
        <v/>
      </c>
      <c r="H298" s="51" t="str">
        <f aca="false">IF($A298="","",SUMIFS(工数明細!$G$3:$G$302,工数明細!$B$3:$B$302,$A298,工数明細!$I$3:$I$302,H$212))</f>
        <v/>
      </c>
      <c r="I298" s="51" t="str">
        <f aca="false">IF($A298="","",SUMIFS(工数明細!$G$3:$G$302,工数明細!$B$3:$B$302,$A298,工数明細!$I$3:$I$302,I$212))</f>
        <v/>
      </c>
      <c r="J298" s="51" t="str">
        <f aca="false">IF($A298="","",SUMIFS(工数明細!$G$3:$G$302,工数明細!$B$3:$B$302,$A298,工数明細!$I$3:$I$302,J$212))</f>
        <v/>
      </c>
      <c r="K298" s="51" t="str">
        <f aca="false">IF($A298="","",SUMIFS(工数明細!$G$3:$G$302,工数明細!$B$3:$B$302,$A298,工数明細!$I$3:$I$302,K$212))</f>
        <v/>
      </c>
      <c r="L298" s="51" t="str">
        <f aca="false">IF($A298="","",SUMIFS(工数明細!$G$3:$G$302,工数明細!$B$3:$B$302,$A298,工数明細!$I$3:$I$302,L$212))</f>
        <v/>
      </c>
      <c r="M298" s="51" t="str">
        <f aca="false">IF($A298="","",SUMIFS(工数明細!$G$3:$G$302,工数明細!$B$3:$B$302,$A298,工数明細!$I$3:$I$302,M$212))</f>
        <v/>
      </c>
      <c r="N298" s="51" t="str">
        <f aca="false">IF($A298="","",SUMIFS(工数明細!$G$3:$G$302,工数明細!$B$3:$B$302,$A298,工数明細!$I$3:$I$302,N$212))</f>
        <v/>
      </c>
      <c r="O298" s="51" t="str">
        <f aca="false">IF($A298="","",SUMIFS(工数明細!$G$3:$G$302,工数明細!$B$3:$B$302,$A298,工数明細!$I$3:$I$302,O$212))</f>
        <v/>
      </c>
      <c r="P298" s="51" t="str">
        <f aca="false">IF($A298="","",SUMIFS(工数明細!$G$3:$G$302,工数明細!$B$3:$B$302,$A298,工数明細!$I$3:$I$302,P$212))</f>
        <v/>
      </c>
      <c r="Q298" s="51" t="str">
        <f aca="false">IF($A298="","",SUMIFS(工数明細!$G$3:$G$302,工数明細!$B$3:$B$302,$A298,工数明細!$I$3:$I$302,Q$212))</f>
        <v/>
      </c>
      <c r="R298" s="51" t="str">
        <f aca="false">IF($A298="","",SUMIFS(工数明細!$G$3:$G$302,工数明細!$B$3:$B$302,$A298,工数明細!$I$3:$I$302,R$212))</f>
        <v/>
      </c>
      <c r="S298" s="51" t="str">
        <f aca="false">IF($A298="","",SUMIFS(工数明細!$G$3:$G$302,工数明細!$B$3:$B$302,$A298,工数明細!$I$3:$I$302,S$212))</f>
        <v/>
      </c>
      <c r="T298" s="51" t="str">
        <f aca="false">IF($A298="","",SUMIFS(工数明細!$G$3:$G$302,工数明細!$B$3:$B$302,$A298,工数明細!$I$3:$I$302,T$212))</f>
        <v/>
      </c>
      <c r="U298" s="51" t="str">
        <f aca="false">IF($A298="","",SUMIFS(工数明細!$G$3:$G$302,工数明細!$B$3:$B$302,$A298,工数明細!$I$3:$I$302,U$212))</f>
        <v/>
      </c>
      <c r="V298" s="51" t="str">
        <f aca="false">IF($A298="","",SUMIFS(工数明細!$G$3:$G$302,工数明細!$B$3:$B$302,$A298,工数明細!$I$3:$I$302,V$212))</f>
        <v/>
      </c>
      <c r="W298" s="51" t="str">
        <f aca="false">IF($A298="","",SUMIFS(工数明細!$G$3:$G$302,工数明細!$B$3:$B$302,$A298,工数明細!$I$3:$I$302,W$212))</f>
        <v/>
      </c>
      <c r="X298" s="51" t="str">
        <f aca="false">IF($A298="","",SUMIFS(工数明細!$G$3:$G$302,工数明細!$B$3:$B$302,$A298,工数明細!$I$3:$I$302,X$212))</f>
        <v/>
      </c>
      <c r="Y298" s="51" t="str">
        <f aca="false">IF($A298="","",SUMIFS(工数明細!$G$3:$G$302,工数明細!$B$3:$B$302,$A298,工数明細!$I$3:$I$302,Y$212))</f>
        <v/>
      </c>
      <c r="Z298" s="51" t="str">
        <f aca="false">IF($A298="","",SUMIFS(工数明細!$G$3:$G$302,工数明細!$B$3:$B$302,$A298,工数明細!$I$3:$I$302,Z$212))</f>
        <v/>
      </c>
      <c r="AA298" s="51" t="str">
        <f aca="false">IF($A298="","",SUMIFS(工数明細!$G$3:$G$302,工数明細!$B$3:$B$302,$A298,工数明細!$I$3:$I$302,AA$212))</f>
        <v/>
      </c>
      <c r="AB298" s="51" t="str">
        <f aca="false">IF($A298="","",SUMIFS(工数明細!$G$3:$G$302,工数明細!$B$3:$B$302,$A298,工数明細!$I$3:$I$302,AB$212))</f>
        <v/>
      </c>
      <c r="AC298" s="51" t="str">
        <f aca="false">IF($A298="","",SUMIFS(工数明細!$G$3:$G$302,工数明細!$B$3:$B$302,$A298,工数明細!$I$3:$I$302,AC$212))</f>
        <v/>
      </c>
      <c r="AD298" s="51" t="str">
        <f aca="false">IF($A298="","",SUMIFS(工数明細!$G$3:$G$302,工数明細!$B$3:$B$302,$A298,工数明細!$I$3:$I$302,AD$212))</f>
        <v/>
      </c>
    </row>
    <row r="299" customFormat="false" ht="15.75" hidden="false" customHeight="true" outlineLevel="0" collapsed="false">
      <c r="A299" s="28" t="str">
        <f aca="false">IF(案件管理!$A$88:$A$88="","",案件管理!$A$88:$A$88)</f>
        <v/>
      </c>
      <c r="B299" s="10" t="str">
        <f aca="false">IF($A299="","",案件管理!$B$88:$B$88)</f>
        <v/>
      </c>
      <c r="C299" s="10" t="str">
        <f aca="false">IF($A299="","",案件管理!$D$88:$D$88)</f>
        <v/>
      </c>
      <c r="D299" s="30" t="str">
        <f aca="false">IF($A299="","",案件管理!$AE$88:$AE$88)</f>
        <v/>
      </c>
      <c r="E299" s="30" t="str">
        <f aca="false">IF($A299="","",SUM($G299:$AD299))</f>
        <v/>
      </c>
      <c r="F299" s="51" t="str">
        <f aca="false">IF($A299="","",N($E93)-N($E299))</f>
        <v/>
      </c>
      <c r="G299" s="51" t="str">
        <f aca="false">IF($A299="","",SUMIFS(工数明細!$G$3:$G$302,工数明細!$B$3:$B$302,$A299,工数明細!$I$3:$I$302,G$212))</f>
        <v/>
      </c>
      <c r="H299" s="51" t="str">
        <f aca="false">IF($A299="","",SUMIFS(工数明細!$G$3:$G$302,工数明細!$B$3:$B$302,$A299,工数明細!$I$3:$I$302,H$212))</f>
        <v/>
      </c>
      <c r="I299" s="51" t="str">
        <f aca="false">IF($A299="","",SUMIFS(工数明細!$G$3:$G$302,工数明細!$B$3:$B$302,$A299,工数明細!$I$3:$I$302,I$212))</f>
        <v/>
      </c>
      <c r="J299" s="51" t="str">
        <f aca="false">IF($A299="","",SUMIFS(工数明細!$G$3:$G$302,工数明細!$B$3:$B$302,$A299,工数明細!$I$3:$I$302,J$212))</f>
        <v/>
      </c>
      <c r="K299" s="51" t="str">
        <f aca="false">IF($A299="","",SUMIFS(工数明細!$G$3:$G$302,工数明細!$B$3:$B$302,$A299,工数明細!$I$3:$I$302,K$212))</f>
        <v/>
      </c>
      <c r="L299" s="51" t="str">
        <f aca="false">IF($A299="","",SUMIFS(工数明細!$G$3:$G$302,工数明細!$B$3:$B$302,$A299,工数明細!$I$3:$I$302,L$212))</f>
        <v/>
      </c>
      <c r="M299" s="51" t="str">
        <f aca="false">IF($A299="","",SUMIFS(工数明細!$G$3:$G$302,工数明細!$B$3:$B$302,$A299,工数明細!$I$3:$I$302,M$212))</f>
        <v/>
      </c>
      <c r="N299" s="51" t="str">
        <f aca="false">IF($A299="","",SUMIFS(工数明細!$G$3:$G$302,工数明細!$B$3:$B$302,$A299,工数明細!$I$3:$I$302,N$212))</f>
        <v/>
      </c>
      <c r="O299" s="51" t="str">
        <f aca="false">IF($A299="","",SUMIFS(工数明細!$G$3:$G$302,工数明細!$B$3:$B$302,$A299,工数明細!$I$3:$I$302,O$212))</f>
        <v/>
      </c>
      <c r="P299" s="51" t="str">
        <f aca="false">IF($A299="","",SUMIFS(工数明細!$G$3:$G$302,工数明細!$B$3:$B$302,$A299,工数明細!$I$3:$I$302,P$212))</f>
        <v/>
      </c>
      <c r="Q299" s="51" t="str">
        <f aca="false">IF($A299="","",SUMIFS(工数明細!$G$3:$G$302,工数明細!$B$3:$B$302,$A299,工数明細!$I$3:$I$302,Q$212))</f>
        <v/>
      </c>
      <c r="R299" s="51" t="str">
        <f aca="false">IF($A299="","",SUMIFS(工数明細!$G$3:$G$302,工数明細!$B$3:$B$302,$A299,工数明細!$I$3:$I$302,R$212))</f>
        <v/>
      </c>
      <c r="S299" s="51" t="str">
        <f aca="false">IF($A299="","",SUMIFS(工数明細!$G$3:$G$302,工数明細!$B$3:$B$302,$A299,工数明細!$I$3:$I$302,S$212))</f>
        <v/>
      </c>
      <c r="T299" s="51" t="str">
        <f aca="false">IF($A299="","",SUMIFS(工数明細!$G$3:$G$302,工数明細!$B$3:$B$302,$A299,工数明細!$I$3:$I$302,T$212))</f>
        <v/>
      </c>
      <c r="U299" s="51" t="str">
        <f aca="false">IF($A299="","",SUMIFS(工数明細!$G$3:$G$302,工数明細!$B$3:$B$302,$A299,工数明細!$I$3:$I$302,U$212))</f>
        <v/>
      </c>
      <c r="V299" s="51" t="str">
        <f aca="false">IF($A299="","",SUMIFS(工数明細!$G$3:$G$302,工数明細!$B$3:$B$302,$A299,工数明細!$I$3:$I$302,V$212))</f>
        <v/>
      </c>
      <c r="W299" s="51" t="str">
        <f aca="false">IF($A299="","",SUMIFS(工数明細!$G$3:$G$302,工数明細!$B$3:$B$302,$A299,工数明細!$I$3:$I$302,W$212))</f>
        <v/>
      </c>
      <c r="X299" s="51" t="str">
        <f aca="false">IF($A299="","",SUMIFS(工数明細!$G$3:$G$302,工数明細!$B$3:$B$302,$A299,工数明細!$I$3:$I$302,X$212))</f>
        <v/>
      </c>
      <c r="Y299" s="51" t="str">
        <f aca="false">IF($A299="","",SUMIFS(工数明細!$G$3:$G$302,工数明細!$B$3:$B$302,$A299,工数明細!$I$3:$I$302,Y$212))</f>
        <v/>
      </c>
      <c r="Z299" s="51" t="str">
        <f aca="false">IF($A299="","",SUMIFS(工数明細!$G$3:$G$302,工数明細!$B$3:$B$302,$A299,工数明細!$I$3:$I$302,Z$212))</f>
        <v/>
      </c>
      <c r="AA299" s="51" t="str">
        <f aca="false">IF($A299="","",SUMIFS(工数明細!$G$3:$G$302,工数明細!$B$3:$B$302,$A299,工数明細!$I$3:$I$302,AA$212))</f>
        <v/>
      </c>
      <c r="AB299" s="51" t="str">
        <f aca="false">IF($A299="","",SUMIFS(工数明細!$G$3:$G$302,工数明細!$B$3:$B$302,$A299,工数明細!$I$3:$I$302,AB$212))</f>
        <v/>
      </c>
      <c r="AC299" s="51" t="str">
        <f aca="false">IF($A299="","",SUMIFS(工数明細!$G$3:$G$302,工数明細!$B$3:$B$302,$A299,工数明細!$I$3:$I$302,AC$212))</f>
        <v/>
      </c>
      <c r="AD299" s="51" t="str">
        <f aca="false">IF($A299="","",SUMIFS(工数明細!$G$3:$G$302,工数明細!$B$3:$B$302,$A299,工数明細!$I$3:$I$302,AD$212))</f>
        <v/>
      </c>
    </row>
    <row r="300" customFormat="false" ht="15.75" hidden="false" customHeight="true" outlineLevel="0" collapsed="false">
      <c r="A300" s="28" t="str">
        <f aca="false">IF(案件管理!$A$89:$A$89="","",案件管理!$A$89:$A$89)</f>
        <v/>
      </c>
      <c r="B300" s="10" t="str">
        <f aca="false">IF($A300="","",案件管理!$B$89:$B$89)</f>
        <v/>
      </c>
      <c r="C300" s="10" t="str">
        <f aca="false">IF($A300="","",案件管理!$D$89:$D$89)</f>
        <v/>
      </c>
      <c r="D300" s="30" t="str">
        <f aca="false">IF($A300="","",案件管理!$AE$89:$AE$89)</f>
        <v/>
      </c>
      <c r="E300" s="30" t="str">
        <f aca="false">IF($A300="","",SUM($G300:$AD300))</f>
        <v/>
      </c>
      <c r="F300" s="51" t="str">
        <f aca="false">IF($A300="","",N($E94)-N($E300))</f>
        <v/>
      </c>
      <c r="G300" s="51" t="str">
        <f aca="false">IF($A300="","",SUMIFS(工数明細!$G$3:$G$302,工数明細!$B$3:$B$302,$A300,工数明細!$I$3:$I$302,G$212))</f>
        <v/>
      </c>
      <c r="H300" s="51" t="str">
        <f aca="false">IF($A300="","",SUMIFS(工数明細!$G$3:$G$302,工数明細!$B$3:$B$302,$A300,工数明細!$I$3:$I$302,H$212))</f>
        <v/>
      </c>
      <c r="I300" s="51" t="str">
        <f aca="false">IF($A300="","",SUMIFS(工数明細!$G$3:$G$302,工数明細!$B$3:$B$302,$A300,工数明細!$I$3:$I$302,I$212))</f>
        <v/>
      </c>
      <c r="J300" s="51" t="str">
        <f aca="false">IF($A300="","",SUMIFS(工数明細!$G$3:$G$302,工数明細!$B$3:$B$302,$A300,工数明細!$I$3:$I$302,J$212))</f>
        <v/>
      </c>
      <c r="K300" s="51" t="str">
        <f aca="false">IF($A300="","",SUMIFS(工数明細!$G$3:$G$302,工数明細!$B$3:$B$302,$A300,工数明細!$I$3:$I$302,K$212))</f>
        <v/>
      </c>
      <c r="L300" s="51" t="str">
        <f aca="false">IF($A300="","",SUMIFS(工数明細!$G$3:$G$302,工数明細!$B$3:$B$302,$A300,工数明細!$I$3:$I$302,L$212))</f>
        <v/>
      </c>
      <c r="M300" s="51" t="str">
        <f aca="false">IF($A300="","",SUMIFS(工数明細!$G$3:$G$302,工数明細!$B$3:$B$302,$A300,工数明細!$I$3:$I$302,M$212))</f>
        <v/>
      </c>
      <c r="N300" s="51" t="str">
        <f aca="false">IF($A300="","",SUMIFS(工数明細!$G$3:$G$302,工数明細!$B$3:$B$302,$A300,工数明細!$I$3:$I$302,N$212))</f>
        <v/>
      </c>
      <c r="O300" s="51" t="str">
        <f aca="false">IF($A300="","",SUMIFS(工数明細!$G$3:$G$302,工数明細!$B$3:$B$302,$A300,工数明細!$I$3:$I$302,O$212))</f>
        <v/>
      </c>
      <c r="P300" s="51" t="str">
        <f aca="false">IF($A300="","",SUMIFS(工数明細!$G$3:$G$302,工数明細!$B$3:$B$302,$A300,工数明細!$I$3:$I$302,P$212))</f>
        <v/>
      </c>
      <c r="Q300" s="51" t="str">
        <f aca="false">IF($A300="","",SUMIFS(工数明細!$G$3:$G$302,工数明細!$B$3:$B$302,$A300,工数明細!$I$3:$I$302,Q$212))</f>
        <v/>
      </c>
      <c r="R300" s="51" t="str">
        <f aca="false">IF($A300="","",SUMIFS(工数明細!$G$3:$G$302,工数明細!$B$3:$B$302,$A300,工数明細!$I$3:$I$302,R$212))</f>
        <v/>
      </c>
      <c r="S300" s="51" t="str">
        <f aca="false">IF($A300="","",SUMIFS(工数明細!$G$3:$G$302,工数明細!$B$3:$B$302,$A300,工数明細!$I$3:$I$302,S$212))</f>
        <v/>
      </c>
      <c r="T300" s="51" t="str">
        <f aca="false">IF($A300="","",SUMIFS(工数明細!$G$3:$G$302,工数明細!$B$3:$B$302,$A300,工数明細!$I$3:$I$302,T$212))</f>
        <v/>
      </c>
      <c r="U300" s="51" t="str">
        <f aca="false">IF($A300="","",SUMIFS(工数明細!$G$3:$G$302,工数明細!$B$3:$B$302,$A300,工数明細!$I$3:$I$302,U$212))</f>
        <v/>
      </c>
      <c r="V300" s="51" t="str">
        <f aca="false">IF($A300="","",SUMIFS(工数明細!$G$3:$G$302,工数明細!$B$3:$B$302,$A300,工数明細!$I$3:$I$302,V$212))</f>
        <v/>
      </c>
      <c r="W300" s="51" t="str">
        <f aca="false">IF($A300="","",SUMIFS(工数明細!$G$3:$G$302,工数明細!$B$3:$B$302,$A300,工数明細!$I$3:$I$302,W$212))</f>
        <v/>
      </c>
      <c r="X300" s="51" t="str">
        <f aca="false">IF($A300="","",SUMIFS(工数明細!$G$3:$G$302,工数明細!$B$3:$B$302,$A300,工数明細!$I$3:$I$302,X$212))</f>
        <v/>
      </c>
      <c r="Y300" s="51" t="str">
        <f aca="false">IF($A300="","",SUMIFS(工数明細!$G$3:$G$302,工数明細!$B$3:$B$302,$A300,工数明細!$I$3:$I$302,Y$212))</f>
        <v/>
      </c>
      <c r="Z300" s="51" t="str">
        <f aca="false">IF($A300="","",SUMIFS(工数明細!$G$3:$G$302,工数明細!$B$3:$B$302,$A300,工数明細!$I$3:$I$302,Z$212))</f>
        <v/>
      </c>
      <c r="AA300" s="51" t="str">
        <f aca="false">IF($A300="","",SUMIFS(工数明細!$G$3:$G$302,工数明細!$B$3:$B$302,$A300,工数明細!$I$3:$I$302,AA$212))</f>
        <v/>
      </c>
      <c r="AB300" s="51" t="str">
        <f aca="false">IF($A300="","",SUMIFS(工数明細!$G$3:$G$302,工数明細!$B$3:$B$302,$A300,工数明細!$I$3:$I$302,AB$212))</f>
        <v/>
      </c>
      <c r="AC300" s="51" t="str">
        <f aca="false">IF($A300="","",SUMIFS(工数明細!$G$3:$G$302,工数明細!$B$3:$B$302,$A300,工数明細!$I$3:$I$302,AC$212))</f>
        <v/>
      </c>
      <c r="AD300" s="51" t="str">
        <f aca="false">IF($A300="","",SUMIFS(工数明細!$G$3:$G$302,工数明細!$B$3:$B$302,$A300,工数明細!$I$3:$I$302,AD$212))</f>
        <v/>
      </c>
    </row>
    <row r="301" customFormat="false" ht="15.75" hidden="false" customHeight="true" outlineLevel="0" collapsed="false">
      <c r="A301" s="28" t="str">
        <f aca="false">IF(案件管理!$A$90:$A$90="","",案件管理!$A$90:$A$90)</f>
        <v/>
      </c>
      <c r="B301" s="10" t="str">
        <f aca="false">IF($A301="","",案件管理!$B$90:$B$90)</f>
        <v/>
      </c>
      <c r="C301" s="10" t="str">
        <f aca="false">IF($A301="","",案件管理!$D$90:$D$90)</f>
        <v/>
      </c>
      <c r="D301" s="30" t="str">
        <f aca="false">IF($A301="","",案件管理!$AE$90:$AE$90)</f>
        <v/>
      </c>
      <c r="E301" s="30" t="str">
        <f aca="false">IF($A301="","",SUM($G301:$AD301))</f>
        <v/>
      </c>
      <c r="F301" s="51" t="str">
        <f aca="false">IF($A301="","",N($E95)-N($E301))</f>
        <v/>
      </c>
      <c r="G301" s="51" t="str">
        <f aca="false">IF($A301="","",SUMIFS(工数明細!$G$3:$G$302,工数明細!$B$3:$B$302,$A301,工数明細!$I$3:$I$302,G$212))</f>
        <v/>
      </c>
      <c r="H301" s="51" t="str">
        <f aca="false">IF($A301="","",SUMIFS(工数明細!$G$3:$G$302,工数明細!$B$3:$B$302,$A301,工数明細!$I$3:$I$302,H$212))</f>
        <v/>
      </c>
      <c r="I301" s="51" t="str">
        <f aca="false">IF($A301="","",SUMIFS(工数明細!$G$3:$G$302,工数明細!$B$3:$B$302,$A301,工数明細!$I$3:$I$302,I$212))</f>
        <v/>
      </c>
      <c r="J301" s="51" t="str">
        <f aca="false">IF($A301="","",SUMIFS(工数明細!$G$3:$G$302,工数明細!$B$3:$B$302,$A301,工数明細!$I$3:$I$302,J$212))</f>
        <v/>
      </c>
      <c r="K301" s="51" t="str">
        <f aca="false">IF($A301="","",SUMIFS(工数明細!$G$3:$G$302,工数明細!$B$3:$B$302,$A301,工数明細!$I$3:$I$302,K$212))</f>
        <v/>
      </c>
      <c r="L301" s="51" t="str">
        <f aca="false">IF($A301="","",SUMIFS(工数明細!$G$3:$G$302,工数明細!$B$3:$B$302,$A301,工数明細!$I$3:$I$302,L$212))</f>
        <v/>
      </c>
      <c r="M301" s="51" t="str">
        <f aca="false">IF($A301="","",SUMIFS(工数明細!$G$3:$G$302,工数明細!$B$3:$B$302,$A301,工数明細!$I$3:$I$302,M$212))</f>
        <v/>
      </c>
      <c r="N301" s="51" t="str">
        <f aca="false">IF($A301="","",SUMIFS(工数明細!$G$3:$G$302,工数明細!$B$3:$B$302,$A301,工数明細!$I$3:$I$302,N$212))</f>
        <v/>
      </c>
      <c r="O301" s="51" t="str">
        <f aca="false">IF($A301="","",SUMIFS(工数明細!$G$3:$G$302,工数明細!$B$3:$B$302,$A301,工数明細!$I$3:$I$302,O$212))</f>
        <v/>
      </c>
      <c r="P301" s="51" t="str">
        <f aca="false">IF($A301="","",SUMIFS(工数明細!$G$3:$G$302,工数明細!$B$3:$B$302,$A301,工数明細!$I$3:$I$302,P$212))</f>
        <v/>
      </c>
      <c r="Q301" s="51" t="str">
        <f aca="false">IF($A301="","",SUMIFS(工数明細!$G$3:$G$302,工数明細!$B$3:$B$302,$A301,工数明細!$I$3:$I$302,Q$212))</f>
        <v/>
      </c>
      <c r="R301" s="51" t="str">
        <f aca="false">IF($A301="","",SUMIFS(工数明細!$G$3:$G$302,工数明細!$B$3:$B$302,$A301,工数明細!$I$3:$I$302,R$212))</f>
        <v/>
      </c>
      <c r="S301" s="51" t="str">
        <f aca="false">IF($A301="","",SUMIFS(工数明細!$G$3:$G$302,工数明細!$B$3:$B$302,$A301,工数明細!$I$3:$I$302,S$212))</f>
        <v/>
      </c>
      <c r="T301" s="51" t="str">
        <f aca="false">IF($A301="","",SUMIFS(工数明細!$G$3:$G$302,工数明細!$B$3:$B$302,$A301,工数明細!$I$3:$I$302,T$212))</f>
        <v/>
      </c>
      <c r="U301" s="51" t="str">
        <f aca="false">IF($A301="","",SUMIFS(工数明細!$G$3:$G$302,工数明細!$B$3:$B$302,$A301,工数明細!$I$3:$I$302,U$212))</f>
        <v/>
      </c>
      <c r="V301" s="51" t="str">
        <f aca="false">IF($A301="","",SUMIFS(工数明細!$G$3:$G$302,工数明細!$B$3:$B$302,$A301,工数明細!$I$3:$I$302,V$212))</f>
        <v/>
      </c>
      <c r="W301" s="51" t="str">
        <f aca="false">IF($A301="","",SUMIFS(工数明細!$G$3:$G$302,工数明細!$B$3:$B$302,$A301,工数明細!$I$3:$I$302,W$212))</f>
        <v/>
      </c>
      <c r="X301" s="51" t="str">
        <f aca="false">IF($A301="","",SUMIFS(工数明細!$G$3:$G$302,工数明細!$B$3:$B$302,$A301,工数明細!$I$3:$I$302,X$212))</f>
        <v/>
      </c>
      <c r="Y301" s="51" t="str">
        <f aca="false">IF($A301="","",SUMIFS(工数明細!$G$3:$G$302,工数明細!$B$3:$B$302,$A301,工数明細!$I$3:$I$302,Y$212))</f>
        <v/>
      </c>
      <c r="Z301" s="51" t="str">
        <f aca="false">IF($A301="","",SUMIFS(工数明細!$G$3:$G$302,工数明細!$B$3:$B$302,$A301,工数明細!$I$3:$I$302,Z$212))</f>
        <v/>
      </c>
      <c r="AA301" s="51" t="str">
        <f aca="false">IF($A301="","",SUMIFS(工数明細!$G$3:$G$302,工数明細!$B$3:$B$302,$A301,工数明細!$I$3:$I$302,AA$212))</f>
        <v/>
      </c>
      <c r="AB301" s="51" t="str">
        <f aca="false">IF($A301="","",SUMIFS(工数明細!$G$3:$G$302,工数明細!$B$3:$B$302,$A301,工数明細!$I$3:$I$302,AB$212))</f>
        <v/>
      </c>
      <c r="AC301" s="51" t="str">
        <f aca="false">IF($A301="","",SUMIFS(工数明細!$G$3:$G$302,工数明細!$B$3:$B$302,$A301,工数明細!$I$3:$I$302,AC$212))</f>
        <v/>
      </c>
      <c r="AD301" s="51" t="str">
        <f aca="false">IF($A301="","",SUMIFS(工数明細!$G$3:$G$302,工数明細!$B$3:$B$302,$A301,工数明細!$I$3:$I$302,AD$212))</f>
        <v/>
      </c>
    </row>
    <row r="302" customFormat="false" ht="15.75" hidden="false" customHeight="true" outlineLevel="0" collapsed="false">
      <c r="A302" s="28" t="str">
        <f aca="false">IF(案件管理!$A$91:$A$91="","",案件管理!$A$91:$A$91)</f>
        <v/>
      </c>
      <c r="B302" s="10" t="str">
        <f aca="false">IF($A302="","",案件管理!$B$91:$B$91)</f>
        <v/>
      </c>
      <c r="C302" s="10" t="str">
        <f aca="false">IF($A302="","",案件管理!$D$91:$D$91)</f>
        <v/>
      </c>
      <c r="D302" s="30" t="str">
        <f aca="false">IF($A302="","",案件管理!$AE$91:$AE$91)</f>
        <v/>
      </c>
      <c r="E302" s="30" t="str">
        <f aca="false">IF($A302="","",SUM($G302:$AD302))</f>
        <v/>
      </c>
      <c r="F302" s="51" t="str">
        <f aca="false">IF($A302="","",N($E96)-N($E302))</f>
        <v/>
      </c>
      <c r="G302" s="51" t="str">
        <f aca="false">IF($A302="","",SUMIFS(工数明細!$G$3:$G$302,工数明細!$B$3:$B$302,$A302,工数明細!$I$3:$I$302,G$212))</f>
        <v/>
      </c>
      <c r="H302" s="51" t="str">
        <f aca="false">IF($A302="","",SUMIFS(工数明細!$G$3:$G$302,工数明細!$B$3:$B$302,$A302,工数明細!$I$3:$I$302,H$212))</f>
        <v/>
      </c>
      <c r="I302" s="51" t="str">
        <f aca="false">IF($A302="","",SUMIFS(工数明細!$G$3:$G$302,工数明細!$B$3:$B$302,$A302,工数明細!$I$3:$I$302,I$212))</f>
        <v/>
      </c>
      <c r="J302" s="51" t="str">
        <f aca="false">IF($A302="","",SUMIFS(工数明細!$G$3:$G$302,工数明細!$B$3:$B$302,$A302,工数明細!$I$3:$I$302,J$212))</f>
        <v/>
      </c>
      <c r="K302" s="51" t="str">
        <f aca="false">IF($A302="","",SUMIFS(工数明細!$G$3:$G$302,工数明細!$B$3:$B$302,$A302,工数明細!$I$3:$I$302,K$212))</f>
        <v/>
      </c>
      <c r="L302" s="51" t="str">
        <f aca="false">IF($A302="","",SUMIFS(工数明細!$G$3:$G$302,工数明細!$B$3:$B$302,$A302,工数明細!$I$3:$I$302,L$212))</f>
        <v/>
      </c>
      <c r="M302" s="51" t="str">
        <f aca="false">IF($A302="","",SUMIFS(工数明細!$G$3:$G$302,工数明細!$B$3:$B$302,$A302,工数明細!$I$3:$I$302,M$212))</f>
        <v/>
      </c>
      <c r="N302" s="51" t="str">
        <f aca="false">IF($A302="","",SUMIFS(工数明細!$G$3:$G$302,工数明細!$B$3:$B$302,$A302,工数明細!$I$3:$I$302,N$212))</f>
        <v/>
      </c>
      <c r="O302" s="51" t="str">
        <f aca="false">IF($A302="","",SUMIFS(工数明細!$G$3:$G$302,工数明細!$B$3:$B$302,$A302,工数明細!$I$3:$I$302,O$212))</f>
        <v/>
      </c>
      <c r="P302" s="51" t="str">
        <f aca="false">IF($A302="","",SUMIFS(工数明細!$G$3:$G$302,工数明細!$B$3:$B$302,$A302,工数明細!$I$3:$I$302,P$212))</f>
        <v/>
      </c>
      <c r="Q302" s="51" t="str">
        <f aca="false">IF($A302="","",SUMIFS(工数明細!$G$3:$G$302,工数明細!$B$3:$B$302,$A302,工数明細!$I$3:$I$302,Q$212))</f>
        <v/>
      </c>
      <c r="R302" s="51" t="str">
        <f aca="false">IF($A302="","",SUMIFS(工数明細!$G$3:$G$302,工数明細!$B$3:$B$302,$A302,工数明細!$I$3:$I$302,R$212))</f>
        <v/>
      </c>
      <c r="S302" s="51" t="str">
        <f aca="false">IF($A302="","",SUMIFS(工数明細!$G$3:$G$302,工数明細!$B$3:$B$302,$A302,工数明細!$I$3:$I$302,S$212))</f>
        <v/>
      </c>
      <c r="T302" s="51" t="str">
        <f aca="false">IF($A302="","",SUMIFS(工数明細!$G$3:$G$302,工数明細!$B$3:$B$302,$A302,工数明細!$I$3:$I$302,T$212))</f>
        <v/>
      </c>
      <c r="U302" s="51" t="str">
        <f aca="false">IF($A302="","",SUMIFS(工数明細!$G$3:$G$302,工数明細!$B$3:$B$302,$A302,工数明細!$I$3:$I$302,U$212))</f>
        <v/>
      </c>
      <c r="V302" s="51" t="str">
        <f aca="false">IF($A302="","",SUMIFS(工数明細!$G$3:$G$302,工数明細!$B$3:$B$302,$A302,工数明細!$I$3:$I$302,V$212))</f>
        <v/>
      </c>
      <c r="W302" s="51" t="str">
        <f aca="false">IF($A302="","",SUMIFS(工数明細!$G$3:$G$302,工数明細!$B$3:$B$302,$A302,工数明細!$I$3:$I$302,W$212))</f>
        <v/>
      </c>
      <c r="X302" s="51" t="str">
        <f aca="false">IF($A302="","",SUMIFS(工数明細!$G$3:$G$302,工数明細!$B$3:$B$302,$A302,工数明細!$I$3:$I$302,X$212))</f>
        <v/>
      </c>
      <c r="Y302" s="51" t="str">
        <f aca="false">IF($A302="","",SUMIFS(工数明細!$G$3:$G$302,工数明細!$B$3:$B$302,$A302,工数明細!$I$3:$I$302,Y$212))</f>
        <v/>
      </c>
      <c r="Z302" s="51" t="str">
        <f aca="false">IF($A302="","",SUMIFS(工数明細!$G$3:$G$302,工数明細!$B$3:$B$302,$A302,工数明細!$I$3:$I$302,Z$212))</f>
        <v/>
      </c>
      <c r="AA302" s="51" t="str">
        <f aca="false">IF($A302="","",SUMIFS(工数明細!$G$3:$G$302,工数明細!$B$3:$B$302,$A302,工数明細!$I$3:$I$302,AA$212))</f>
        <v/>
      </c>
      <c r="AB302" s="51" t="str">
        <f aca="false">IF($A302="","",SUMIFS(工数明細!$G$3:$G$302,工数明細!$B$3:$B$302,$A302,工数明細!$I$3:$I$302,AB$212))</f>
        <v/>
      </c>
      <c r="AC302" s="51" t="str">
        <f aca="false">IF($A302="","",SUMIFS(工数明細!$G$3:$G$302,工数明細!$B$3:$B$302,$A302,工数明細!$I$3:$I$302,AC$212))</f>
        <v/>
      </c>
      <c r="AD302" s="51" t="str">
        <f aca="false">IF($A302="","",SUMIFS(工数明細!$G$3:$G$302,工数明細!$B$3:$B$302,$A302,工数明細!$I$3:$I$302,AD$212))</f>
        <v/>
      </c>
    </row>
    <row r="303" customFormat="false" ht="15.75" hidden="false" customHeight="true" outlineLevel="0" collapsed="false">
      <c r="A303" s="28" t="str">
        <f aca="false">IF(案件管理!$A$92:$A$92="","",案件管理!$A$92:$A$92)</f>
        <v/>
      </c>
      <c r="B303" s="10" t="str">
        <f aca="false">IF($A303="","",案件管理!$B$92:$B$92)</f>
        <v/>
      </c>
      <c r="C303" s="10" t="str">
        <f aca="false">IF($A303="","",案件管理!$D$92:$D$92)</f>
        <v/>
      </c>
      <c r="D303" s="30" t="str">
        <f aca="false">IF($A303="","",案件管理!$AE$92:$AE$92)</f>
        <v/>
      </c>
      <c r="E303" s="30" t="str">
        <f aca="false">IF($A303="","",SUM($G303:$AD303))</f>
        <v/>
      </c>
      <c r="F303" s="51" t="str">
        <f aca="false">IF($A303="","",N($E97)-N($E303))</f>
        <v/>
      </c>
      <c r="G303" s="51" t="str">
        <f aca="false">IF($A303="","",SUMIFS(工数明細!$G$3:$G$302,工数明細!$B$3:$B$302,$A303,工数明細!$I$3:$I$302,G$212))</f>
        <v/>
      </c>
      <c r="H303" s="51" t="str">
        <f aca="false">IF($A303="","",SUMIFS(工数明細!$G$3:$G$302,工数明細!$B$3:$B$302,$A303,工数明細!$I$3:$I$302,H$212))</f>
        <v/>
      </c>
      <c r="I303" s="51" t="str">
        <f aca="false">IF($A303="","",SUMIFS(工数明細!$G$3:$G$302,工数明細!$B$3:$B$302,$A303,工数明細!$I$3:$I$302,I$212))</f>
        <v/>
      </c>
      <c r="J303" s="51" t="str">
        <f aca="false">IF($A303="","",SUMIFS(工数明細!$G$3:$G$302,工数明細!$B$3:$B$302,$A303,工数明細!$I$3:$I$302,J$212))</f>
        <v/>
      </c>
      <c r="K303" s="51" t="str">
        <f aca="false">IF($A303="","",SUMIFS(工数明細!$G$3:$G$302,工数明細!$B$3:$B$302,$A303,工数明細!$I$3:$I$302,K$212))</f>
        <v/>
      </c>
      <c r="L303" s="51" t="str">
        <f aca="false">IF($A303="","",SUMIFS(工数明細!$G$3:$G$302,工数明細!$B$3:$B$302,$A303,工数明細!$I$3:$I$302,L$212))</f>
        <v/>
      </c>
      <c r="M303" s="51" t="str">
        <f aca="false">IF($A303="","",SUMIFS(工数明細!$G$3:$G$302,工数明細!$B$3:$B$302,$A303,工数明細!$I$3:$I$302,M$212))</f>
        <v/>
      </c>
      <c r="N303" s="51" t="str">
        <f aca="false">IF($A303="","",SUMIFS(工数明細!$G$3:$G$302,工数明細!$B$3:$B$302,$A303,工数明細!$I$3:$I$302,N$212))</f>
        <v/>
      </c>
      <c r="O303" s="51" t="str">
        <f aca="false">IF($A303="","",SUMIFS(工数明細!$G$3:$G$302,工数明細!$B$3:$B$302,$A303,工数明細!$I$3:$I$302,O$212))</f>
        <v/>
      </c>
      <c r="P303" s="51" t="str">
        <f aca="false">IF($A303="","",SUMIFS(工数明細!$G$3:$G$302,工数明細!$B$3:$B$302,$A303,工数明細!$I$3:$I$302,P$212))</f>
        <v/>
      </c>
      <c r="Q303" s="51" t="str">
        <f aca="false">IF($A303="","",SUMIFS(工数明細!$G$3:$G$302,工数明細!$B$3:$B$302,$A303,工数明細!$I$3:$I$302,Q$212))</f>
        <v/>
      </c>
      <c r="R303" s="51" t="str">
        <f aca="false">IF($A303="","",SUMIFS(工数明細!$G$3:$G$302,工数明細!$B$3:$B$302,$A303,工数明細!$I$3:$I$302,R$212))</f>
        <v/>
      </c>
      <c r="S303" s="51" t="str">
        <f aca="false">IF($A303="","",SUMIFS(工数明細!$G$3:$G$302,工数明細!$B$3:$B$302,$A303,工数明細!$I$3:$I$302,S$212))</f>
        <v/>
      </c>
      <c r="T303" s="51" t="str">
        <f aca="false">IF($A303="","",SUMIFS(工数明細!$G$3:$G$302,工数明細!$B$3:$B$302,$A303,工数明細!$I$3:$I$302,T$212))</f>
        <v/>
      </c>
      <c r="U303" s="51" t="str">
        <f aca="false">IF($A303="","",SUMIFS(工数明細!$G$3:$G$302,工数明細!$B$3:$B$302,$A303,工数明細!$I$3:$I$302,U$212))</f>
        <v/>
      </c>
      <c r="V303" s="51" t="str">
        <f aca="false">IF($A303="","",SUMIFS(工数明細!$G$3:$G$302,工数明細!$B$3:$B$302,$A303,工数明細!$I$3:$I$302,V$212))</f>
        <v/>
      </c>
      <c r="W303" s="51" t="str">
        <f aca="false">IF($A303="","",SUMIFS(工数明細!$G$3:$G$302,工数明細!$B$3:$B$302,$A303,工数明細!$I$3:$I$302,W$212))</f>
        <v/>
      </c>
      <c r="X303" s="51" t="str">
        <f aca="false">IF($A303="","",SUMIFS(工数明細!$G$3:$G$302,工数明細!$B$3:$B$302,$A303,工数明細!$I$3:$I$302,X$212))</f>
        <v/>
      </c>
      <c r="Y303" s="51" t="str">
        <f aca="false">IF($A303="","",SUMIFS(工数明細!$G$3:$G$302,工数明細!$B$3:$B$302,$A303,工数明細!$I$3:$I$302,Y$212))</f>
        <v/>
      </c>
      <c r="Z303" s="51" t="str">
        <f aca="false">IF($A303="","",SUMIFS(工数明細!$G$3:$G$302,工数明細!$B$3:$B$302,$A303,工数明細!$I$3:$I$302,Z$212))</f>
        <v/>
      </c>
      <c r="AA303" s="51" t="str">
        <f aca="false">IF($A303="","",SUMIFS(工数明細!$G$3:$G$302,工数明細!$B$3:$B$302,$A303,工数明細!$I$3:$I$302,AA$212))</f>
        <v/>
      </c>
      <c r="AB303" s="51" t="str">
        <f aca="false">IF($A303="","",SUMIFS(工数明細!$G$3:$G$302,工数明細!$B$3:$B$302,$A303,工数明細!$I$3:$I$302,AB$212))</f>
        <v/>
      </c>
      <c r="AC303" s="51" t="str">
        <f aca="false">IF($A303="","",SUMIFS(工数明細!$G$3:$G$302,工数明細!$B$3:$B$302,$A303,工数明細!$I$3:$I$302,AC$212))</f>
        <v/>
      </c>
      <c r="AD303" s="51" t="str">
        <f aca="false">IF($A303="","",SUMIFS(工数明細!$G$3:$G$302,工数明細!$B$3:$B$302,$A303,工数明細!$I$3:$I$302,AD$212))</f>
        <v/>
      </c>
    </row>
    <row r="304" customFormat="false" ht="15.75" hidden="false" customHeight="true" outlineLevel="0" collapsed="false">
      <c r="A304" s="28" t="str">
        <f aca="false">IF(案件管理!$A$93:$A$93="","",案件管理!$A$93:$A$93)</f>
        <v/>
      </c>
      <c r="B304" s="10" t="str">
        <f aca="false">IF($A304="","",案件管理!$B$93:$B$93)</f>
        <v/>
      </c>
      <c r="C304" s="10" t="str">
        <f aca="false">IF($A304="","",案件管理!$D$93:$D$93)</f>
        <v/>
      </c>
      <c r="D304" s="30" t="str">
        <f aca="false">IF($A304="","",案件管理!$AE$93:$AE$93)</f>
        <v/>
      </c>
      <c r="E304" s="30" t="str">
        <f aca="false">IF($A304="","",SUM($G304:$AD304))</f>
        <v/>
      </c>
      <c r="F304" s="51" t="str">
        <f aca="false">IF($A304="","",N($E98)-N($E304))</f>
        <v/>
      </c>
      <c r="G304" s="51" t="str">
        <f aca="false">IF($A304="","",SUMIFS(工数明細!$G$3:$G$302,工数明細!$B$3:$B$302,$A304,工数明細!$I$3:$I$302,G$212))</f>
        <v/>
      </c>
      <c r="H304" s="51" t="str">
        <f aca="false">IF($A304="","",SUMIFS(工数明細!$G$3:$G$302,工数明細!$B$3:$B$302,$A304,工数明細!$I$3:$I$302,H$212))</f>
        <v/>
      </c>
      <c r="I304" s="51" t="str">
        <f aca="false">IF($A304="","",SUMIFS(工数明細!$G$3:$G$302,工数明細!$B$3:$B$302,$A304,工数明細!$I$3:$I$302,I$212))</f>
        <v/>
      </c>
      <c r="J304" s="51" t="str">
        <f aca="false">IF($A304="","",SUMIFS(工数明細!$G$3:$G$302,工数明細!$B$3:$B$302,$A304,工数明細!$I$3:$I$302,J$212))</f>
        <v/>
      </c>
      <c r="K304" s="51" t="str">
        <f aca="false">IF($A304="","",SUMIFS(工数明細!$G$3:$G$302,工数明細!$B$3:$B$302,$A304,工数明細!$I$3:$I$302,K$212))</f>
        <v/>
      </c>
      <c r="L304" s="51" t="str">
        <f aca="false">IF($A304="","",SUMIFS(工数明細!$G$3:$G$302,工数明細!$B$3:$B$302,$A304,工数明細!$I$3:$I$302,L$212))</f>
        <v/>
      </c>
      <c r="M304" s="51" t="str">
        <f aca="false">IF($A304="","",SUMIFS(工数明細!$G$3:$G$302,工数明細!$B$3:$B$302,$A304,工数明細!$I$3:$I$302,M$212))</f>
        <v/>
      </c>
      <c r="N304" s="51" t="str">
        <f aca="false">IF($A304="","",SUMIFS(工数明細!$G$3:$G$302,工数明細!$B$3:$B$302,$A304,工数明細!$I$3:$I$302,N$212))</f>
        <v/>
      </c>
      <c r="O304" s="51" t="str">
        <f aca="false">IF($A304="","",SUMIFS(工数明細!$G$3:$G$302,工数明細!$B$3:$B$302,$A304,工数明細!$I$3:$I$302,O$212))</f>
        <v/>
      </c>
      <c r="P304" s="51" t="str">
        <f aca="false">IF($A304="","",SUMIFS(工数明細!$G$3:$G$302,工数明細!$B$3:$B$302,$A304,工数明細!$I$3:$I$302,P$212))</f>
        <v/>
      </c>
      <c r="Q304" s="51" t="str">
        <f aca="false">IF($A304="","",SUMIFS(工数明細!$G$3:$G$302,工数明細!$B$3:$B$302,$A304,工数明細!$I$3:$I$302,Q$212))</f>
        <v/>
      </c>
      <c r="R304" s="51" t="str">
        <f aca="false">IF($A304="","",SUMIFS(工数明細!$G$3:$G$302,工数明細!$B$3:$B$302,$A304,工数明細!$I$3:$I$302,R$212))</f>
        <v/>
      </c>
      <c r="S304" s="51" t="str">
        <f aca="false">IF($A304="","",SUMIFS(工数明細!$G$3:$G$302,工数明細!$B$3:$B$302,$A304,工数明細!$I$3:$I$302,S$212))</f>
        <v/>
      </c>
      <c r="T304" s="51" t="str">
        <f aca="false">IF($A304="","",SUMIFS(工数明細!$G$3:$G$302,工数明細!$B$3:$B$302,$A304,工数明細!$I$3:$I$302,T$212))</f>
        <v/>
      </c>
      <c r="U304" s="51" t="str">
        <f aca="false">IF($A304="","",SUMIFS(工数明細!$G$3:$G$302,工数明細!$B$3:$B$302,$A304,工数明細!$I$3:$I$302,U$212))</f>
        <v/>
      </c>
      <c r="V304" s="51" t="str">
        <f aca="false">IF($A304="","",SUMIFS(工数明細!$G$3:$G$302,工数明細!$B$3:$B$302,$A304,工数明細!$I$3:$I$302,V$212))</f>
        <v/>
      </c>
      <c r="W304" s="51" t="str">
        <f aca="false">IF($A304="","",SUMIFS(工数明細!$G$3:$G$302,工数明細!$B$3:$B$302,$A304,工数明細!$I$3:$I$302,W$212))</f>
        <v/>
      </c>
      <c r="X304" s="51" t="str">
        <f aca="false">IF($A304="","",SUMIFS(工数明細!$G$3:$G$302,工数明細!$B$3:$B$302,$A304,工数明細!$I$3:$I$302,X$212))</f>
        <v/>
      </c>
      <c r="Y304" s="51" t="str">
        <f aca="false">IF($A304="","",SUMIFS(工数明細!$G$3:$G$302,工数明細!$B$3:$B$302,$A304,工数明細!$I$3:$I$302,Y$212))</f>
        <v/>
      </c>
      <c r="Z304" s="51" t="str">
        <f aca="false">IF($A304="","",SUMIFS(工数明細!$G$3:$G$302,工数明細!$B$3:$B$302,$A304,工数明細!$I$3:$I$302,Z$212))</f>
        <v/>
      </c>
      <c r="AA304" s="51" t="str">
        <f aca="false">IF($A304="","",SUMIFS(工数明細!$G$3:$G$302,工数明細!$B$3:$B$302,$A304,工数明細!$I$3:$I$302,AA$212))</f>
        <v/>
      </c>
      <c r="AB304" s="51" t="str">
        <f aca="false">IF($A304="","",SUMIFS(工数明細!$G$3:$G$302,工数明細!$B$3:$B$302,$A304,工数明細!$I$3:$I$302,AB$212))</f>
        <v/>
      </c>
      <c r="AC304" s="51" t="str">
        <f aca="false">IF($A304="","",SUMIFS(工数明細!$G$3:$G$302,工数明細!$B$3:$B$302,$A304,工数明細!$I$3:$I$302,AC$212))</f>
        <v/>
      </c>
      <c r="AD304" s="51" t="str">
        <f aca="false">IF($A304="","",SUMIFS(工数明細!$G$3:$G$302,工数明細!$B$3:$B$302,$A304,工数明細!$I$3:$I$302,AD$212))</f>
        <v/>
      </c>
    </row>
    <row r="305" customFormat="false" ht="15.75" hidden="false" customHeight="true" outlineLevel="0" collapsed="false">
      <c r="A305" s="28" t="str">
        <f aca="false">IF(案件管理!$A$94:$A$94="","",案件管理!$A$94:$A$94)</f>
        <v/>
      </c>
      <c r="B305" s="10" t="str">
        <f aca="false">IF($A305="","",案件管理!$B$94:$B$94)</f>
        <v/>
      </c>
      <c r="C305" s="10" t="str">
        <f aca="false">IF($A305="","",案件管理!$D$94:$D$94)</f>
        <v/>
      </c>
      <c r="D305" s="30" t="str">
        <f aca="false">IF($A305="","",案件管理!$AE$94:$AE$94)</f>
        <v/>
      </c>
      <c r="E305" s="30" t="str">
        <f aca="false">IF($A305="","",SUM($G305:$AD305))</f>
        <v/>
      </c>
      <c r="F305" s="51" t="str">
        <f aca="false">IF($A305="","",N($E99)-N($E305))</f>
        <v/>
      </c>
      <c r="G305" s="51" t="str">
        <f aca="false">IF($A305="","",SUMIFS(工数明細!$G$3:$G$302,工数明細!$B$3:$B$302,$A305,工数明細!$I$3:$I$302,G$212))</f>
        <v/>
      </c>
      <c r="H305" s="51" t="str">
        <f aca="false">IF($A305="","",SUMIFS(工数明細!$G$3:$G$302,工数明細!$B$3:$B$302,$A305,工数明細!$I$3:$I$302,H$212))</f>
        <v/>
      </c>
      <c r="I305" s="51" t="str">
        <f aca="false">IF($A305="","",SUMIFS(工数明細!$G$3:$G$302,工数明細!$B$3:$B$302,$A305,工数明細!$I$3:$I$302,I$212))</f>
        <v/>
      </c>
      <c r="J305" s="51" t="str">
        <f aca="false">IF($A305="","",SUMIFS(工数明細!$G$3:$G$302,工数明細!$B$3:$B$302,$A305,工数明細!$I$3:$I$302,J$212))</f>
        <v/>
      </c>
      <c r="K305" s="51" t="str">
        <f aca="false">IF($A305="","",SUMIFS(工数明細!$G$3:$G$302,工数明細!$B$3:$B$302,$A305,工数明細!$I$3:$I$302,K$212))</f>
        <v/>
      </c>
      <c r="L305" s="51" t="str">
        <f aca="false">IF($A305="","",SUMIFS(工数明細!$G$3:$G$302,工数明細!$B$3:$B$302,$A305,工数明細!$I$3:$I$302,L$212))</f>
        <v/>
      </c>
      <c r="M305" s="51" t="str">
        <f aca="false">IF($A305="","",SUMIFS(工数明細!$G$3:$G$302,工数明細!$B$3:$B$302,$A305,工数明細!$I$3:$I$302,M$212))</f>
        <v/>
      </c>
      <c r="N305" s="51" t="str">
        <f aca="false">IF($A305="","",SUMIFS(工数明細!$G$3:$G$302,工数明細!$B$3:$B$302,$A305,工数明細!$I$3:$I$302,N$212))</f>
        <v/>
      </c>
      <c r="O305" s="51" t="str">
        <f aca="false">IF($A305="","",SUMIFS(工数明細!$G$3:$G$302,工数明細!$B$3:$B$302,$A305,工数明細!$I$3:$I$302,O$212))</f>
        <v/>
      </c>
      <c r="P305" s="51" t="str">
        <f aca="false">IF($A305="","",SUMIFS(工数明細!$G$3:$G$302,工数明細!$B$3:$B$302,$A305,工数明細!$I$3:$I$302,P$212))</f>
        <v/>
      </c>
      <c r="Q305" s="51" t="str">
        <f aca="false">IF($A305="","",SUMIFS(工数明細!$G$3:$G$302,工数明細!$B$3:$B$302,$A305,工数明細!$I$3:$I$302,Q$212))</f>
        <v/>
      </c>
      <c r="R305" s="51" t="str">
        <f aca="false">IF($A305="","",SUMIFS(工数明細!$G$3:$G$302,工数明細!$B$3:$B$302,$A305,工数明細!$I$3:$I$302,R$212))</f>
        <v/>
      </c>
      <c r="S305" s="51" t="str">
        <f aca="false">IF($A305="","",SUMIFS(工数明細!$G$3:$G$302,工数明細!$B$3:$B$302,$A305,工数明細!$I$3:$I$302,S$212))</f>
        <v/>
      </c>
      <c r="T305" s="51" t="str">
        <f aca="false">IF($A305="","",SUMIFS(工数明細!$G$3:$G$302,工数明細!$B$3:$B$302,$A305,工数明細!$I$3:$I$302,T$212))</f>
        <v/>
      </c>
      <c r="U305" s="51" t="str">
        <f aca="false">IF($A305="","",SUMIFS(工数明細!$G$3:$G$302,工数明細!$B$3:$B$302,$A305,工数明細!$I$3:$I$302,U$212))</f>
        <v/>
      </c>
      <c r="V305" s="51" t="str">
        <f aca="false">IF($A305="","",SUMIFS(工数明細!$G$3:$G$302,工数明細!$B$3:$B$302,$A305,工数明細!$I$3:$I$302,V$212))</f>
        <v/>
      </c>
      <c r="W305" s="51" t="str">
        <f aca="false">IF($A305="","",SUMIFS(工数明細!$G$3:$G$302,工数明細!$B$3:$B$302,$A305,工数明細!$I$3:$I$302,W$212))</f>
        <v/>
      </c>
      <c r="X305" s="51" t="str">
        <f aca="false">IF($A305="","",SUMIFS(工数明細!$G$3:$G$302,工数明細!$B$3:$B$302,$A305,工数明細!$I$3:$I$302,X$212))</f>
        <v/>
      </c>
      <c r="Y305" s="51" t="str">
        <f aca="false">IF($A305="","",SUMIFS(工数明細!$G$3:$G$302,工数明細!$B$3:$B$302,$A305,工数明細!$I$3:$I$302,Y$212))</f>
        <v/>
      </c>
      <c r="Z305" s="51" t="str">
        <f aca="false">IF($A305="","",SUMIFS(工数明細!$G$3:$G$302,工数明細!$B$3:$B$302,$A305,工数明細!$I$3:$I$302,Z$212))</f>
        <v/>
      </c>
      <c r="AA305" s="51" t="str">
        <f aca="false">IF($A305="","",SUMIFS(工数明細!$G$3:$G$302,工数明細!$B$3:$B$302,$A305,工数明細!$I$3:$I$302,AA$212))</f>
        <v/>
      </c>
      <c r="AB305" s="51" t="str">
        <f aca="false">IF($A305="","",SUMIFS(工数明細!$G$3:$G$302,工数明細!$B$3:$B$302,$A305,工数明細!$I$3:$I$302,AB$212))</f>
        <v/>
      </c>
      <c r="AC305" s="51" t="str">
        <f aca="false">IF($A305="","",SUMIFS(工数明細!$G$3:$G$302,工数明細!$B$3:$B$302,$A305,工数明細!$I$3:$I$302,AC$212))</f>
        <v/>
      </c>
      <c r="AD305" s="51" t="str">
        <f aca="false">IF($A305="","",SUMIFS(工数明細!$G$3:$G$302,工数明細!$B$3:$B$302,$A305,工数明細!$I$3:$I$302,AD$212))</f>
        <v/>
      </c>
    </row>
    <row r="306" customFormat="false" ht="15.75" hidden="false" customHeight="true" outlineLevel="0" collapsed="false">
      <c r="A306" s="28" t="str">
        <f aca="false">IF(案件管理!$A$95:$A$95="","",案件管理!$A$95:$A$95)</f>
        <v/>
      </c>
      <c r="B306" s="10" t="str">
        <f aca="false">IF($A306="","",案件管理!$B$95:$B$95)</f>
        <v/>
      </c>
      <c r="C306" s="10" t="str">
        <f aca="false">IF($A306="","",案件管理!$D$95:$D$95)</f>
        <v/>
      </c>
      <c r="D306" s="30" t="str">
        <f aca="false">IF($A306="","",案件管理!$AE$95:$AE$95)</f>
        <v/>
      </c>
      <c r="E306" s="30" t="str">
        <f aca="false">IF($A306="","",SUM($G306:$AD306))</f>
        <v/>
      </c>
      <c r="F306" s="51" t="str">
        <f aca="false">IF($A306="","",N($E100)-N($E306))</f>
        <v/>
      </c>
      <c r="G306" s="51" t="str">
        <f aca="false">IF($A306="","",SUMIFS(工数明細!$G$3:$G$302,工数明細!$B$3:$B$302,$A306,工数明細!$I$3:$I$302,G$212))</f>
        <v/>
      </c>
      <c r="H306" s="51" t="str">
        <f aca="false">IF($A306="","",SUMIFS(工数明細!$G$3:$G$302,工数明細!$B$3:$B$302,$A306,工数明細!$I$3:$I$302,H$212))</f>
        <v/>
      </c>
      <c r="I306" s="51" t="str">
        <f aca="false">IF($A306="","",SUMIFS(工数明細!$G$3:$G$302,工数明細!$B$3:$B$302,$A306,工数明細!$I$3:$I$302,I$212))</f>
        <v/>
      </c>
      <c r="J306" s="51" t="str">
        <f aca="false">IF($A306="","",SUMIFS(工数明細!$G$3:$G$302,工数明細!$B$3:$B$302,$A306,工数明細!$I$3:$I$302,J$212))</f>
        <v/>
      </c>
      <c r="K306" s="51" t="str">
        <f aca="false">IF($A306="","",SUMIFS(工数明細!$G$3:$G$302,工数明細!$B$3:$B$302,$A306,工数明細!$I$3:$I$302,K$212))</f>
        <v/>
      </c>
      <c r="L306" s="51" t="str">
        <f aca="false">IF($A306="","",SUMIFS(工数明細!$G$3:$G$302,工数明細!$B$3:$B$302,$A306,工数明細!$I$3:$I$302,L$212))</f>
        <v/>
      </c>
      <c r="M306" s="51" t="str">
        <f aca="false">IF($A306="","",SUMIFS(工数明細!$G$3:$G$302,工数明細!$B$3:$B$302,$A306,工数明細!$I$3:$I$302,M$212))</f>
        <v/>
      </c>
      <c r="N306" s="51" t="str">
        <f aca="false">IF($A306="","",SUMIFS(工数明細!$G$3:$G$302,工数明細!$B$3:$B$302,$A306,工数明細!$I$3:$I$302,N$212))</f>
        <v/>
      </c>
      <c r="O306" s="51" t="str">
        <f aca="false">IF($A306="","",SUMIFS(工数明細!$G$3:$G$302,工数明細!$B$3:$B$302,$A306,工数明細!$I$3:$I$302,O$212))</f>
        <v/>
      </c>
      <c r="P306" s="51" t="str">
        <f aca="false">IF($A306="","",SUMIFS(工数明細!$G$3:$G$302,工数明細!$B$3:$B$302,$A306,工数明細!$I$3:$I$302,P$212))</f>
        <v/>
      </c>
      <c r="Q306" s="51" t="str">
        <f aca="false">IF($A306="","",SUMIFS(工数明細!$G$3:$G$302,工数明細!$B$3:$B$302,$A306,工数明細!$I$3:$I$302,Q$212))</f>
        <v/>
      </c>
      <c r="R306" s="51" t="str">
        <f aca="false">IF($A306="","",SUMIFS(工数明細!$G$3:$G$302,工数明細!$B$3:$B$302,$A306,工数明細!$I$3:$I$302,R$212))</f>
        <v/>
      </c>
      <c r="S306" s="51" t="str">
        <f aca="false">IF($A306="","",SUMIFS(工数明細!$G$3:$G$302,工数明細!$B$3:$B$302,$A306,工数明細!$I$3:$I$302,S$212))</f>
        <v/>
      </c>
      <c r="T306" s="51" t="str">
        <f aca="false">IF($A306="","",SUMIFS(工数明細!$G$3:$G$302,工数明細!$B$3:$B$302,$A306,工数明細!$I$3:$I$302,T$212))</f>
        <v/>
      </c>
      <c r="U306" s="51" t="str">
        <f aca="false">IF($A306="","",SUMIFS(工数明細!$G$3:$G$302,工数明細!$B$3:$B$302,$A306,工数明細!$I$3:$I$302,U$212))</f>
        <v/>
      </c>
      <c r="V306" s="51" t="str">
        <f aca="false">IF($A306="","",SUMIFS(工数明細!$G$3:$G$302,工数明細!$B$3:$B$302,$A306,工数明細!$I$3:$I$302,V$212))</f>
        <v/>
      </c>
      <c r="W306" s="51" t="str">
        <f aca="false">IF($A306="","",SUMIFS(工数明細!$G$3:$G$302,工数明細!$B$3:$B$302,$A306,工数明細!$I$3:$I$302,W$212))</f>
        <v/>
      </c>
      <c r="X306" s="51" t="str">
        <f aca="false">IF($A306="","",SUMIFS(工数明細!$G$3:$G$302,工数明細!$B$3:$B$302,$A306,工数明細!$I$3:$I$302,X$212))</f>
        <v/>
      </c>
      <c r="Y306" s="51" t="str">
        <f aca="false">IF($A306="","",SUMIFS(工数明細!$G$3:$G$302,工数明細!$B$3:$B$302,$A306,工数明細!$I$3:$I$302,Y$212))</f>
        <v/>
      </c>
      <c r="Z306" s="51" t="str">
        <f aca="false">IF($A306="","",SUMIFS(工数明細!$G$3:$G$302,工数明細!$B$3:$B$302,$A306,工数明細!$I$3:$I$302,Z$212))</f>
        <v/>
      </c>
      <c r="AA306" s="51" t="str">
        <f aca="false">IF($A306="","",SUMIFS(工数明細!$G$3:$G$302,工数明細!$B$3:$B$302,$A306,工数明細!$I$3:$I$302,AA$212))</f>
        <v/>
      </c>
      <c r="AB306" s="51" t="str">
        <f aca="false">IF($A306="","",SUMIFS(工数明細!$G$3:$G$302,工数明細!$B$3:$B$302,$A306,工数明細!$I$3:$I$302,AB$212))</f>
        <v/>
      </c>
      <c r="AC306" s="51" t="str">
        <f aca="false">IF($A306="","",SUMIFS(工数明細!$G$3:$G$302,工数明細!$B$3:$B$302,$A306,工数明細!$I$3:$I$302,AC$212))</f>
        <v/>
      </c>
      <c r="AD306" s="51" t="str">
        <f aca="false">IF($A306="","",SUMIFS(工数明細!$G$3:$G$302,工数明細!$B$3:$B$302,$A306,工数明細!$I$3:$I$302,AD$212))</f>
        <v/>
      </c>
    </row>
    <row r="307" customFormat="false" ht="15.75" hidden="false" customHeight="true" outlineLevel="0" collapsed="false">
      <c r="A307" s="28" t="str">
        <f aca="false">IF(案件管理!$A$96:$A$96="","",案件管理!$A$96:$A$96)</f>
        <v/>
      </c>
      <c r="B307" s="10" t="str">
        <f aca="false">IF($A307="","",案件管理!$B$96:$B$96)</f>
        <v/>
      </c>
      <c r="C307" s="10" t="str">
        <f aca="false">IF($A307="","",案件管理!$D$96:$D$96)</f>
        <v/>
      </c>
      <c r="D307" s="30" t="str">
        <f aca="false">IF($A307="","",案件管理!$AE$96:$AE$96)</f>
        <v/>
      </c>
      <c r="E307" s="30" t="str">
        <f aca="false">IF($A307="","",SUM($G307:$AD307))</f>
        <v/>
      </c>
      <c r="F307" s="51" t="str">
        <f aca="false">IF($A307="","",N($E101)-N($E307))</f>
        <v/>
      </c>
      <c r="G307" s="51" t="str">
        <f aca="false">IF($A307="","",SUMIFS(工数明細!$G$3:$G$302,工数明細!$B$3:$B$302,$A307,工数明細!$I$3:$I$302,G$212))</f>
        <v/>
      </c>
      <c r="H307" s="51" t="str">
        <f aca="false">IF($A307="","",SUMIFS(工数明細!$G$3:$G$302,工数明細!$B$3:$B$302,$A307,工数明細!$I$3:$I$302,H$212))</f>
        <v/>
      </c>
      <c r="I307" s="51" t="str">
        <f aca="false">IF($A307="","",SUMIFS(工数明細!$G$3:$G$302,工数明細!$B$3:$B$302,$A307,工数明細!$I$3:$I$302,I$212))</f>
        <v/>
      </c>
      <c r="J307" s="51" t="str">
        <f aca="false">IF($A307="","",SUMIFS(工数明細!$G$3:$G$302,工数明細!$B$3:$B$302,$A307,工数明細!$I$3:$I$302,J$212))</f>
        <v/>
      </c>
      <c r="K307" s="51" t="str">
        <f aca="false">IF($A307="","",SUMIFS(工数明細!$G$3:$G$302,工数明細!$B$3:$B$302,$A307,工数明細!$I$3:$I$302,K$212))</f>
        <v/>
      </c>
      <c r="L307" s="51" t="str">
        <f aca="false">IF($A307="","",SUMIFS(工数明細!$G$3:$G$302,工数明細!$B$3:$B$302,$A307,工数明細!$I$3:$I$302,L$212))</f>
        <v/>
      </c>
      <c r="M307" s="51" t="str">
        <f aca="false">IF($A307="","",SUMIFS(工数明細!$G$3:$G$302,工数明細!$B$3:$B$302,$A307,工数明細!$I$3:$I$302,M$212))</f>
        <v/>
      </c>
      <c r="N307" s="51" t="str">
        <f aca="false">IF($A307="","",SUMIFS(工数明細!$G$3:$G$302,工数明細!$B$3:$B$302,$A307,工数明細!$I$3:$I$302,N$212))</f>
        <v/>
      </c>
      <c r="O307" s="51" t="str">
        <f aca="false">IF($A307="","",SUMIFS(工数明細!$G$3:$G$302,工数明細!$B$3:$B$302,$A307,工数明細!$I$3:$I$302,O$212))</f>
        <v/>
      </c>
      <c r="P307" s="51" t="str">
        <f aca="false">IF($A307="","",SUMIFS(工数明細!$G$3:$G$302,工数明細!$B$3:$B$302,$A307,工数明細!$I$3:$I$302,P$212))</f>
        <v/>
      </c>
      <c r="Q307" s="51" t="str">
        <f aca="false">IF($A307="","",SUMIFS(工数明細!$G$3:$G$302,工数明細!$B$3:$B$302,$A307,工数明細!$I$3:$I$302,Q$212))</f>
        <v/>
      </c>
      <c r="R307" s="51" t="str">
        <f aca="false">IF($A307="","",SUMIFS(工数明細!$G$3:$G$302,工数明細!$B$3:$B$302,$A307,工数明細!$I$3:$I$302,R$212))</f>
        <v/>
      </c>
      <c r="S307" s="51" t="str">
        <f aca="false">IF($A307="","",SUMIFS(工数明細!$G$3:$G$302,工数明細!$B$3:$B$302,$A307,工数明細!$I$3:$I$302,S$212))</f>
        <v/>
      </c>
      <c r="T307" s="51" t="str">
        <f aca="false">IF($A307="","",SUMIFS(工数明細!$G$3:$G$302,工数明細!$B$3:$B$302,$A307,工数明細!$I$3:$I$302,T$212))</f>
        <v/>
      </c>
      <c r="U307" s="51" t="str">
        <f aca="false">IF($A307="","",SUMIFS(工数明細!$G$3:$G$302,工数明細!$B$3:$B$302,$A307,工数明細!$I$3:$I$302,U$212))</f>
        <v/>
      </c>
      <c r="V307" s="51" t="str">
        <f aca="false">IF($A307="","",SUMIFS(工数明細!$G$3:$G$302,工数明細!$B$3:$B$302,$A307,工数明細!$I$3:$I$302,V$212))</f>
        <v/>
      </c>
      <c r="W307" s="51" t="str">
        <f aca="false">IF($A307="","",SUMIFS(工数明細!$G$3:$G$302,工数明細!$B$3:$B$302,$A307,工数明細!$I$3:$I$302,W$212))</f>
        <v/>
      </c>
      <c r="X307" s="51" t="str">
        <f aca="false">IF($A307="","",SUMIFS(工数明細!$G$3:$G$302,工数明細!$B$3:$B$302,$A307,工数明細!$I$3:$I$302,X$212))</f>
        <v/>
      </c>
      <c r="Y307" s="51" t="str">
        <f aca="false">IF($A307="","",SUMIFS(工数明細!$G$3:$G$302,工数明細!$B$3:$B$302,$A307,工数明細!$I$3:$I$302,Y$212))</f>
        <v/>
      </c>
      <c r="Z307" s="51" t="str">
        <f aca="false">IF($A307="","",SUMIFS(工数明細!$G$3:$G$302,工数明細!$B$3:$B$302,$A307,工数明細!$I$3:$I$302,Z$212))</f>
        <v/>
      </c>
      <c r="AA307" s="51" t="str">
        <f aca="false">IF($A307="","",SUMIFS(工数明細!$G$3:$G$302,工数明細!$B$3:$B$302,$A307,工数明細!$I$3:$I$302,AA$212))</f>
        <v/>
      </c>
      <c r="AB307" s="51" t="str">
        <f aca="false">IF($A307="","",SUMIFS(工数明細!$G$3:$G$302,工数明細!$B$3:$B$302,$A307,工数明細!$I$3:$I$302,AB$212))</f>
        <v/>
      </c>
      <c r="AC307" s="51" t="str">
        <f aca="false">IF($A307="","",SUMIFS(工数明細!$G$3:$G$302,工数明細!$B$3:$B$302,$A307,工数明細!$I$3:$I$302,AC$212))</f>
        <v/>
      </c>
      <c r="AD307" s="51" t="str">
        <f aca="false">IF($A307="","",SUMIFS(工数明細!$G$3:$G$302,工数明細!$B$3:$B$302,$A307,工数明細!$I$3:$I$302,AD$212))</f>
        <v/>
      </c>
    </row>
    <row r="308" customFormat="false" ht="15.75" hidden="false" customHeight="true" outlineLevel="0" collapsed="false">
      <c r="A308" s="28" t="str">
        <f aca="false">IF(案件管理!$A$97:$A$97="","",案件管理!$A$97:$A$97)</f>
        <v/>
      </c>
      <c r="B308" s="10" t="str">
        <f aca="false">IF($A308="","",案件管理!$B$97:$B$97)</f>
        <v/>
      </c>
      <c r="C308" s="10" t="str">
        <f aca="false">IF($A308="","",案件管理!$D$97:$D$97)</f>
        <v/>
      </c>
      <c r="D308" s="30" t="str">
        <f aca="false">IF($A308="","",案件管理!$AE$97:$AE$97)</f>
        <v/>
      </c>
      <c r="E308" s="30" t="str">
        <f aca="false">IF($A308="","",SUM($G308:$AD308))</f>
        <v/>
      </c>
      <c r="F308" s="51" t="str">
        <f aca="false">IF($A308="","",N($E102)-N($E308))</f>
        <v/>
      </c>
      <c r="G308" s="51" t="str">
        <f aca="false">IF($A308="","",SUMIFS(工数明細!$G$3:$G$302,工数明細!$B$3:$B$302,$A308,工数明細!$I$3:$I$302,G$212))</f>
        <v/>
      </c>
      <c r="H308" s="51" t="str">
        <f aca="false">IF($A308="","",SUMIFS(工数明細!$G$3:$G$302,工数明細!$B$3:$B$302,$A308,工数明細!$I$3:$I$302,H$212))</f>
        <v/>
      </c>
      <c r="I308" s="51" t="str">
        <f aca="false">IF($A308="","",SUMIFS(工数明細!$G$3:$G$302,工数明細!$B$3:$B$302,$A308,工数明細!$I$3:$I$302,I$212))</f>
        <v/>
      </c>
      <c r="J308" s="51" t="str">
        <f aca="false">IF($A308="","",SUMIFS(工数明細!$G$3:$G$302,工数明細!$B$3:$B$302,$A308,工数明細!$I$3:$I$302,J$212))</f>
        <v/>
      </c>
      <c r="K308" s="51" t="str">
        <f aca="false">IF($A308="","",SUMIFS(工数明細!$G$3:$G$302,工数明細!$B$3:$B$302,$A308,工数明細!$I$3:$I$302,K$212))</f>
        <v/>
      </c>
      <c r="L308" s="51" t="str">
        <f aca="false">IF($A308="","",SUMIFS(工数明細!$G$3:$G$302,工数明細!$B$3:$B$302,$A308,工数明細!$I$3:$I$302,L$212))</f>
        <v/>
      </c>
      <c r="M308" s="51" t="str">
        <f aca="false">IF($A308="","",SUMIFS(工数明細!$G$3:$G$302,工数明細!$B$3:$B$302,$A308,工数明細!$I$3:$I$302,M$212))</f>
        <v/>
      </c>
      <c r="N308" s="51" t="str">
        <f aca="false">IF($A308="","",SUMIFS(工数明細!$G$3:$G$302,工数明細!$B$3:$B$302,$A308,工数明細!$I$3:$I$302,N$212))</f>
        <v/>
      </c>
      <c r="O308" s="51" t="str">
        <f aca="false">IF($A308="","",SUMIFS(工数明細!$G$3:$G$302,工数明細!$B$3:$B$302,$A308,工数明細!$I$3:$I$302,O$212))</f>
        <v/>
      </c>
      <c r="P308" s="51" t="str">
        <f aca="false">IF($A308="","",SUMIFS(工数明細!$G$3:$G$302,工数明細!$B$3:$B$302,$A308,工数明細!$I$3:$I$302,P$212))</f>
        <v/>
      </c>
      <c r="Q308" s="51" t="str">
        <f aca="false">IF($A308="","",SUMIFS(工数明細!$G$3:$G$302,工数明細!$B$3:$B$302,$A308,工数明細!$I$3:$I$302,Q$212))</f>
        <v/>
      </c>
      <c r="R308" s="51" t="str">
        <f aca="false">IF($A308="","",SUMIFS(工数明細!$G$3:$G$302,工数明細!$B$3:$B$302,$A308,工数明細!$I$3:$I$302,R$212))</f>
        <v/>
      </c>
      <c r="S308" s="51" t="str">
        <f aca="false">IF($A308="","",SUMIFS(工数明細!$G$3:$G$302,工数明細!$B$3:$B$302,$A308,工数明細!$I$3:$I$302,S$212))</f>
        <v/>
      </c>
      <c r="T308" s="51" t="str">
        <f aca="false">IF($A308="","",SUMIFS(工数明細!$G$3:$G$302,工数明細!$B$3:$B$302,$A308,工数明細!$I$3:$I$302,T$212))</f>
        <v/>
      </c>
      <c r="U308" s="51" t="str">
        <f aca="false">IF($A308="","",SUMIFS(工数明細!$G$3:$G$302,工数明細!$B$3:$B$302,$A308,工数明細!$I$3:$I$302,U$212))</f>
        <v/>
      </c>
      <c r="V308" s="51" t="str">
        <f aca="false">IF($A308="","",SUMIFS(工数明細!$G$3:$G$302,工数明細!$B$3:$B$302,$A308,工数明細!$I$3:$I$302,V$212))</f>
        <v/>
      </c>
      <c r="W308" s="51" t="str">
        <f aca="false">IF($A308="","",SUMIFS(工数明細!$G$3:$G$302,工数明細!$B$3:$B$302,$A308,工数明細!$I$3:$I$302,W$212))</f>
        <v/>
      </c>
      <c r="X308" s="51" t="str">
        <f aca="false">IF($A308="","",SUMIFS(工数明細!$G$3:$G$302,工数明細!$B$3:$B$302,$A308,工数明細!$I$3:$I$302,X$212))</f>
        <v/>
      </c>
      <c r="Y308" s="51" t="str">
        <f aca="false">IF($A308="","",SUMIFS(工数明細!$G$3:$G$302,工数明細!$B$3:$B$302,$A308,工数明細!$I$3:$I$302,Y$212))</f>
        <v/>
      </c>
      <c r="Z308" s="51" t="str">
        <f aca="false">IF($A308="","",SUMIFS(工数明細!$G$3:$G$302,工数明細!$B$3:$B$302,$A308,工数明細!$I$3:$I$302,Z$212))</f>
        <v/>
      </c>
      <c r="AA308" s="51" t="str">
        <f aca="false">IF($A308="","",SUMIFS(工数明細!$G$3:$G$302,工数明細!$B$3:$B$302,$A308,工数明細!$I$3:$I$302,AA$212))</f>
        <v/>
      </c>
      <c r="AB308" s="51" t="str">
        <f aca="false">IF($A308="","",SUMIFS(工数明細!$G$3:$G$302,工数明細!$B$3:$B$302,$A308,工数明細!$I$3:$I$302,AB$212))</f>
        <v/>
      </c>
      <c r="AC308" s="51" t="str">
        <f aca="false">IF($A308="","",SUMIFS(工数明細!$G$3:$G$302,工数明細!$B$3:$B$302,$A308,工数明細!$I$3:$I$302,AC$212))</f>
        <v/>
      </c>
      <c r="AD308" s="51" t="str">
        <f aca="false">IF($A308="","",SUMIFS(工数明細!$G$3:$G$302,工数明細!$B$3:$B$302,$A308,工数明細!$I$3:$I$302,AD$212))</f>
        <v/>
      </c>
    </row>
    <row r="309" customFormat="false" ht="15.75" hidden="false" customHeight="true" outlineLevel="0" collapsed="false">
      <c r="A309" s="28" t="str">
        <f aca="false">IF(案件管理!$A$98:$A$98="","",案件管理!$A$98:$A$98)</f>
        <v/>
      </c>
      <c r="B309" s="10" t="str">
        <f aca="false">IF($A309="","",案件管理!$B$98:$B$98)</f>
        <v/>
      </c>
      <c r="C309" s="10" t="str">
        <f aca="false">IF($A309="","",案件管理!$D$98:$D$98)</f>
        <v/>
      </c>
      <c r="D309" s="30" t="str">
        <f aca="false">IF($A309="","",案件管理!$AE$98:$AE$98)</f>
        <v/>
      </c>
      <c r="E309" s="30" t="str">
        <f aca="false">IF($A309="","",SUM($G309:$AD309))</f>
        <v/>
      </c>
      <c r="F309" s="51" t="str">
        <f aca="false">IF($A309="","",N($E103)-N($E309))</f>
        <v/>
      </c>
      <c r="G309" s="51" t="str">
        <f aca="false">IF($A309="","",SUMIFS(工数明細!$G$3:$G$302,工数明細!$B$3:$B$302,$A309,工数明細!$I$3:$I$302,G$212))</f>
        <v/>
      </c>
      <c r="H309" s="51" t="str">
        <f aca="false">IF($A309="","",SUMIFS(工数明細!$G$3:$G$302,工数明細!$B$3:$B$302,$A309,工数明細!$I$3:$I$302,H$212))</f>
        <v/>
      </c>
      <c r="I309" s="51" t="str">
        <f aca="false">IF($A309="","",SUMIFS(工数明細!$G$3:$G$302,工数明細!$B$3:$B$302,$A309,工数明細!$I$3:$I$302,I$212))</f>
        <v/>
      </c>
      <c r="J309" s="51" t="str">
        <f aca="false">IF($A309="","",SUMIFS(工数明細!$G$3:$G$302,工数明細!$B$3:$B$302,$A309,工数明細!$I$3:$I$302,J$212))</f>
        <v/>
      </c>
      <c r="K309" s="51" t="str">
        <f aca="false">IF($A309="","",SUMIFS(工数明細!$G$3:$G$302,工数明細!$B$3:$B$302,$A309,工数明細!$I$3:$I$302,K$212))</f>
        <v/>
      </c>
      <c r="L309" s="51" t="str">
        <f aca="false">IF($A309="","",SUMIFS(工数明細!$G$3:$G$302,工数明細!$B$3:$B$302,$A309,工数明細!$I$3:$I$302,L$212))</f>
        <v/>
      </c>
      <c r="M309" s="51" t="str">
        <f aca="false">IF($A309="","",SUMIFS(工数明細!$G$3:$G$302,工数明細!$B$3:$B$302,$A309,工数明細!$I$3:$I$302,M$212))</f>
        <v/>
      </c>
      <c r="N309" s="51" t="str">
        <f aca="false">IF($A309="","",SUMIFS(工数明細!$G$3:$G$302,工数明細!$B$3:$B$302,$A309,工数明細!$I$3:$I$302,N$212))</f>
        <v/>
      </c>
      <c r="O309" s="51" t="str">
        <f aca="false">IF($A309="","",SUMIFS(工数明細!$G$3:$G$302,工数明細!$B$3:$B$302,$A309,工数明細!$I$3:$I$302,O$212))</f>
        <v/>
      </c>
      <c r="P309" s="51" t="str">
        <f aca="false">IF($A309="","",SUMIFS(工数明細!$G$3:$G$302,工数明細!$B$3:$B$302,$A309,工数明細!$I$3:$I$302,P$212))</f>
        <v/>
      </c>
      <c r="Q309" s="51" t="str">
        <f aca="false">IF($A309="","",SUMIFS(工数明細!$G$3:$G$302,工数明細!$B$3:$B$302,$A309,工数明細!$I$3:$I$302,Q$212))</f>
        <v/>
      </c>
      <c r="R309" s="51" t="str">
        <f aca="false">IF($A309="","",SUMIFS(工数明細!$G$3:$G$302,工数明細!$B$3:$B$302,$A309,工数明細!$I$3:$I$302,R$212))</f>
        <v/>
      </c>
      <c r="S309" s="51" t="str">
        <f aca="false">IF($A309="","",SUMIFS(工数明細!$G$3:$G$302,工数明細!$B$3:$B$302,$A309,工数明細!$I$3:$I$302,S$212))</f>
        <v/>
      </c>
      <c r="T309" s="51" t="str">
        <f aca="false">IF($A309="","",SUMIFS(工数明細!$G$3:$G$302,工数明細!$B$3:$B$302,$A309,工数明細!$I$3:$I$302,T$212))</f>
        <v/>
      </c>
      <c r="U309" s="51" t="str">
        <f aca="false">IF($A309="","",SUMIFS(工数明細!$G$3:$G$302,工数明細!$B$3:$B$302,$A309,工数明細!$I$3:$I$302,U$212))</f>
        <v/>
      </c>
      <c r="V309" s="51" t="str">
        <f aca="false">IF($A309="","",SUMIFS(工数明細!$G$3:$G$302,工数明細!$B$3:$B$302,$A309,工数明細!$I$3:$I$302,V$212))</f>
        <v/>
      </c>
      <c r="W309" s="51" t="str">
        <f aca="false">IF($A309="","",SUMIFS(工数明細!$G$3:$G$302,工数明細!$B$3:$B$302,$A309,工数明細!$I$3:$I$302,W$212))</f>
        <v/>
      </c>
      <c r="X309" s="51" t="str">
        <f aca="false">IF($A309="","",SUMIFS(工数明細!$G$3:$G$302,工数明細!$B$3:$B$302,$A309,工数明細!$I$3:$I$302,X$212))</f>
        <v/>
      </c>
      <c r="Y309" s="51" t="str">
        <f aca="false">IF($A309="","",SUMIFS(工数明細!$G$3:$G$302,工数明細!$B$3:$B$302,$A309,工数明細!$I$3:$I$302,Y$212))</f>
        <v/>
      </c>
      <c r="Z309" s="51" t="str">
        <f aca="false">IF($A309="","",SUMIFS(工数明細!$G$3:$G$302,工数明細!$B$3:$B$302,$A309,工数明細!$I$3:$I$302,Z$212))</f>
        <v/>
      </c>
      <c r="AA309" s="51" t="str">
        <f aca="false">IF($A309="","",SUMIFS(工数明細!$G$3:$G$302,工数明細!$B$3:$B$302,$A309,工数明細!$I$3:$I$302,AA$212))</f>
        <v/>
      </c>
      <c r="AB309" s="51" t="str">
        <f aca="false">IF($A309="","",SUMIFS(工数明細!$G$3:$G$302,工数明細!$B$3:$B$302,$A309,工数明細!$I$3:$I$302,AB$212))</f>
        <v/>
      </c>
      <c r="AC309" s="51" t="str">
        <f aca="false">IF($A309="","",SUMIFS(工数明細!$G$3:$G$302,工数明細!$B$3:$B$302,$A309,工数明細!$I$3:$I$302,AC$212))</f>
        <v/>
      </c>
      <c r="AD309" s="51" t="str">
        <f aca="false">IF($A309="","",SUMIFS(工数明細!$G$3:$G$302,工数明細!$B$3:$B$302,$A309,工数明細!$I$3:$I$302,AD$212))</f>
        <v/>
      </c>
    </row>
    <row r="310" customFormat="false" ht="15.75" hidden="false" customHeight="true" outlineLevel="0" collapsed="false">
      <c r="A310" s="28" t="str">
        <f aca="false">IF(案件管理!$A$99:$A$99="","",案件管理!$A$99:$A$99)</f>
        <v/>
      </c>
      <c r="B310" s="10" t="str">
        <f aca="false">IF($A310="","",案件管理!$B$99:$B$99)</f>
        <v/>
      </c>
      <c r="C310" s="10" t="str">
        <f aca="false">IF($A310="","",案件管理!$D$99:$D$99)</f>
        <v/>
      </c>
      <c r="D310" s="30" t="str">
        <f aca="false">IF($A310="","",案件管理!$AE$99:$AE$99)</f>
        <v/>
      </c>
      <c r="E310" s="30" t="str">
        <f aca="false">IF($A310="","",SUM($G310:$AD310))</f>
        <v/>
      </c>
      <c r="F310" s="51" t="str">
        <f aca="false">IF($A310="","",N($E104)-N($E310))</f>
        <v/>
      </c>
      <c r="G310" s="51" t="str">
        <f aca="false">IF($A310="","",SUMIFS(工数明細!$G$3:$G$302,工数明細!$B$3:$B$302,$A310,工数明細!$I$3:$I$302,G$212))</f>
        <v/>
      </c>
      <c r="H310" s="51" t="str">
        <f aca="false">IF($A310="","",SUMIFS(工数明細!$G$3:$G$302,工数明細!$B$3:$B$302,$A310,工数明細!$I$3:$I$302,H$212))</f>
        <v/>
      </c>
      <c r="I310" s="51" t="str">
        <f aca="false">IF($A310="","",SUMIFS(工数明細!$G$3:$G$302,工数明細!$B$3:$B$302,$A310,工数明細!$I$3:$I$302,I$212))</f>
        <v/>
      </c>
      <c r="J310" s="51" t="str">
        <f aca="false">IF($A310="","",SUMIFS(工数明細!$G$3:$G$302,工数明細!$B$3:$B$302,$A310,工数明細!$I$3:$I$302,J$212))</f>
        <v/>
      </c>
      <c r="K310" s="51" t="str">
        <f aca="false">IF($A310="","",SUMIFS(工数明細!$G$3:$G$302,工数明細!$B$3:$B$302,$A310,工数明細!$I$3:$I$302,K$212))</f>
        <v/>
      </c>
      <c r="L310" s="51" t="str">
        <f aca="false">IF($A310="","",SUMIFS(工数明細!$G$3:$G$302,工数明細!$B$3:$B$302,$A310,工数明細!$I$3:$I$302,L$212))</f>
        <v/>
      </c>
      <c r="M310" s="51" t="str">
        <f aca="false">IF($A310="","",SUMIFS(工数明細!$G$3:$G$302,工数明細!$B$3:$B$302,$A310,工数明細!$I$3:$I$302,M$212))</f>
        <v/>
      </c>
      <c r="N310" s="51" t="str">
        <f aca="false">IF($A310="","",SUMIFS(工数明細!$G$3:$G$302,工数明細!$B$3:$B$302,$A310,工数明細!$I$3:$I$302,N$212))</f>
        <v/>
      </c>
      <c r="O310" s="51" t="str">
        <f aca="false">IF($A310="","",SUMIFS(工数明細!$G$3:$G$302,工数明細!$B$3:$B$302,$A310,工数明細!$I$3:$I$302,O$212))</f>
        <v/>
      </c>
      <c r="P310" s="51" t="str">
        <f aca="false">IF($A310="","",SUMIFS(工数明細!$G$3:$G$302,工数明細!$B$3:$B$302,$A310,工数明細!$I$3:$I$302,P$212))</f>
        <v/>
      </c>
      <c r="Q310" s="51" t="str">
        <f aca="false">IF($A310="","",SUMIFS(工数明細!$G$3:$G$302,工数明細!$B$3:$B$302,$A310,工数明細!$I$3:$I$302,Q$212))</f>
        <v/>
      </c>
      <c r="R310" s="51" t="str">
        <f aca="false">IF($A310="","",SUMIFS(工数明細!$G$3:$G$302,工数明細!$B$3:$B$302,$A310,工数明細!$I$3:$I$302,R$212))</f>
        <v/>
      </c>
      <c r="S310" s="51" t="str">
        <f aca="false">IF($A310="","",SUMIFS(工数明細!$G$3:$G$302,工数明細!$B$3:$B$302,$A310,工数明細!$I$3:$I$302,S$212))</f>
        <v/>
      </c>
      <c r="T310" s="51" t="str">
        <f aca="false">IF($A310="","",SUMIFS(工数明細!$G$3:$G$302,工数明細!$B$3:$B$302,$A310,工数明細!$I$3:$I$302,T$212))</f>
        <v/>
      </c>
      <c r="U310" s="51" t="str">
        <f aca="false">IF($A310="","",SUMIFS(工数明細!$G$3:$G$302,工数明細!$B$3:$B$302,$A310,工数明細!$I$3:$I$302,U$212))</f>
        <v/>
      </c>
      <c r="V310" s="51" t="str">
        <f aca="false">IF($A310="","",SUMIFS(工数明細!$G$3:$G$302,工数明細!$B$3:$B$302,$A310,工数明細!$I$3:$I$302,V$212))</f>
        <v/>
      </c>
      <c r="W310" s="51" t="str">
        <f aca="false">IF($A310="","",SUMIFS(工数明細!$G$3:$G$302,工数明細!$B$3:$B$302,$A310,工数明細!$I$3:$I$302,W$212))</f>
        <v/>
      </c>
      <c r="X310" s="51" t="str">
        <f aca="false">IF($A310="","",SUMIFS(工数明細!$G$3:$G$302,工数明細!$B$3:$B$302,$A310,工数明細!$I$3:$I$302,X$212))</f>
        <v/>
      </c>
      <c r="Y310" s="51" t="str">
        <f aca="false">IF($A310="","",SUMIFS(工数明細!$G$3:$G$302,工数明細!$B$3:$B$302,$A310,工数明細!$I$3:$I$302,Y$212))</f>
        <v/>
      </c>
      <c r="Z310" s="51" t="str">
        <f aca="false">IF($A310="","",SUMIFS(工数明細!$G$3:$G$302,工数明細!$B$3:$B$302,$A310,工数明細!$I$3:$I$302,Z$212))</f>
        <v/>
      </c>
      <c r="AA310" s="51" t="str">
        <f aca="false">IF($A310="","",SUMIFS(工数明細!$G$3:$G$302,工数明細!$B$3:$B$302,$A310,工数明細!$I$3:$I$302,AA$212))</f>
        <v/>
      </c>
      <c r="AB310" s="51" t="str">
        <f aca="false">IF($A310="","",SUMIFS(工数明細!$G$3:$G$302,工数明細!$B$3:$B$302,$A310,工数明細!$I$3:$I$302,AB$212))</f>
        <v/>
      </c>
      <c r="AC310" s="51" t="str">
        <f aca="false">IF($A310="","",SUMIFS(工数明細!$G$3:$G$302,工数明細!$B$3:$B$302,$A310,工数明細!$I$3:$I$302,AC$212))</f>
        <v/>
      </c>
      <c r="AD310" s="51" t="str">
        <f aca="false">IF($A310="","",SUMIFS(工数明細!$G$3:$G$302,工数明細!$B$3:$B$302,$A310,工数明細!$I$3:$I$302,AD$212))</f>
        <v/>
      </c>
    </row>
    <row r="311" customFormat="false" ht="15.75" hidden="false" customHeight="true" outlineLevel="0" collapsed="false">
      <c r="A311" s="28" t="str">
        <f aca="false">IF(案件管理!$A$100:$A$100="","",案件管理!$A$100:$A$100)</f>
        <v/>
      </c>
      <c r="B311" s="10" t="str">
        <f aca="false">IF($A311="","",案件管理!$B$100:$B$100)</f>
        <v/>
      </c>
      <c r="C311" s="10" t="str">
        <f aca="false">IF($A311="","",案件管理!$D$100:$D$100)</f>
        <v/>
      </c>
      <c r="D311" s="30" t="str">
        <f aca="false">IF($A311="","",案件管理!$AE$100:$AE$100)</f>
        <v/>
      </c>
      <c r="E311" s="30" t="str">
        <f aca="false">IF($A311="","",SUM($G311:$AD311))</f>
        <v/>
      </c>
      <c r="F311" s="51" t="str">
        <f aca="false">IF($A311="","",N($E105)-N($E311))</f>
        <v/>
      </c>
      <c r="G311" s="51" t="str">
        <f aca="false">IF($A311="","",SUMIFS(工数明細!$G$3:$G$302,工数明細!$B$3:$B$302,$A311,工数明細!$I$3:$I$302,G$212))</f>
        <v/>
      </c>
      <c r="H311" s="51" t="str">
        <f aca="false">IF($A311="","",SUMIFS(工数明細!$G$3:$G$302,工数明細!$B$3:$B$302,$A311,工数明細!$I$3:$I$302,H$212))</f>
        <v/>
      </c>
      <c r="I311" s="51" t="str">
        <f aca="false">IF($A311="","",SUMIFS(工数明細!$G$3:$G$302,工数明細!$B$3:$B$302,$A311,工数明細!$I$3:$I$302,I$212))</f>
        <v/>
      </c>
      <c r="J311" s="51" t="str">
        <f aca="false">IF($A311="","",SUMIFS(工数明細!$G$3:$G$302,工数明細!$B$3:$B$302,$A311,工数明細!$I$3:$I$302,J$212))</f>
        <v/>
      </c>
      <c r="K311" s="51" t="str">
        <f aca="false">IF($A311="","",SUMIFS(工数明細!$G$3:$G$302,工数明細!$B$3:$B$302,$A311,工数明細!$I$3:$I$302,K$212))</f>
        <v/>
      </c>
      <c r="L311" s="51" t="str">
        <f aca="false">IF($A311="","",SUMIFS(工数明細!$G$3:$G$302,工数明細!$B$3:$B$302,$A311,工数明細!$I$3:$I$302,L$212))</f>
        <v/>
      </c>
      <c r="M311" s="51" t="str">
        <f aca="false">IF($A311="","",SUMIFS(工数明細!$G$3:$G$302,工数明細!$B$3:$B$302,$A311,工数明細!$I$3:$I$302,M$212))</f>
        <v/>
      </c>
      <c r="N311" s="51" t="str">
        <f aca="false">IF($A311="","",SUMIFS(工数明細!$G$3:$G$302,工数明細!$B$3:$B$302,$A311,工数明細!$I$3:$I$302,N$212))</f>
        <v/>
      </c>
      <c r="O311" s="51" t="str">
        <f aca="false">IF($A311="","",SUMIFS(工数明細!$G$3:$G$302,工数明細!$B$3:$B$302,$A311,工数明細!$I$3:$I$302,O$212))</f>
        <v/>
      </c>
      <c r="P311" s="51" t="str">
        <f aca="false">IF($A311="","",SUMIFS(工数明細!$G$3:$G$302,工数明細!$B$3:$B$302,$A311,工数明細!$I$3:$I$302,P$212))</f>
        <v/>
      </c>
      <c r="Q311" s="51" t="str">
        <f aca="false">IF($A311="","",SUMIFS(工数明細!$G$3:$G$302,工数明細!$B$3:$B$302,$A311,工数明細!$I$3:$I$302,Q$212))</f>
        <v/>
      </c>
      <c r="R311" s="51" t="str">
        <f aca="false">IF($A311="","",SUMIFS(工数明細!$G$3:$G$302,工数明細!$B$3:$B$302,$A311,工数明細!$I$3:$I$302,R$212))</f>
        <v/>
      </c>
      <c r="S311" s="51" t="str">
        <f aca="false">IF($A311="","",SUMIFS(工数明細!$G$3:$G$302,工数明細!$B$3:$B$302,$A311,工数明細!$I$3:$I$302,S$212))</f>
        <v/>
      </c>
      <c r="T311" s="51" t="str">
        <f aca="false">IF($A311="","",SUMIFS(工数明細!$G$3:$G$302,工数明細!$B$3:$B$302,$A311,工数明細!$I$3:$I$302,T$212))</f>
        <v/>
      </c>
      <c r="U311" s="51" t="str">
        <f aca="false">IF($A311="","",SUMIFS(工数明細!$G$3:$G$302,工数明細!$B$3:$B$302,$A311,工数明細!$I$3:$I$302,U$212))</f>
        <v/>
      </c>
      <c r="V311" s="51" t="str">
        <f aca="false">IF($A311="","",SUMIFS(工数明細!$G$3:$G$302,工数明細!$B$3:$B$302,$A311,工数明細!$I$3:$I$302,V$212))</f>
        <v/>
      </c>
      <c r="W311" s="51" t="str">
        <f aca="false">IF($A311="","",SUMIFS(工数明細!$G$3:$G$302,工数明細!$B$3:$B$302,$A311,工数明細!$I$3:$I$302,W$212))</f>
        <v/>
      </c>
      <c r="X311" s="51" t="str">
        <f aca="false">IF($A311="","",SUMIFS(工数明細!$G$3:$G$302,工数明細!$B$3:$B$302,$A311,工数明細!$I$3:$I$302,X$212))</f>
        <v/>
      </c>
      <c r="Y311" s="51" t="str">
        <f aca="false">IF($A311="","",SUMIFS(工数明細!$G$3:$G$302,工数明細!$B$3:$B$302,$A311,工数明細!$I$3:$I$302,Y$212))</f>
        <v/>
      </c>
      <c r="Z311" s="51" t="str">
        <f aca="false">IF($A311="","",SUMIFS(工数明細!$G$3:$G$302,工数明細!$B$3:$B$302,$A311,工数明細!$I$3:$I$302,Z$212))</f>
        <v/>
      </c>
      <c r="AA311" s="51" t="str">
        <f aca="false">IF($A311="","",SUMIFS(工数明細!$G$3:$G$302,工数明細!$B$3:$B$302,$A311,工数明細!$I$3:$I$302,AA$212))</f>
        <v/>
      </c>
      <c r="AB311" s="51" t="str">
        <f aca="false">IF($A311="","",SUMIFS(工数明細!$G$3:$G$302,工数明細!$B$3:$B$302,$A311,工数明細!$I$3:$I$302,AB$212))</f>
        <v/>
      </c>
      <c r="AC311" s="51" t="str">
        <f aca="false">IF($A311="","",SUMIFS(工数明細!$G$3:$G$302,工数明細!$B$3:$B$302,$A311,工数明細!$I$3:$I$302,AC$212))</f>
        <v/>
      </c>
      <c r="AD311" s="51" t="str">
        <f aca="false">IF($A311="","",SUMIFS(工数明細!$G$3:$G$302,工数明細!$B$3:$B$302,$A311,工数明細!$I$3:$I$302,AD$212))</f>
        <v/>
      </c>
    </row>
    <row r="312" customFormat="false" ht="15.75" hidden="false" customHeight="true" outlineLevel="0" collapsed="false">
      <c r="A312" s="28" t="str">
        <f aca="false">IF(案件管理!$A$101:$A$101="","",案件管理!$A$101:$A$101)</f>
        <v/>
      </c>
      <c r="B312" s="10" t="str">
        <f aca="false">IF($A312="","",案件管理!$B$101:$B$101)</f>
        <v/>
      </c>
      <c r="C312" s="10" t="str">
        <f aca="false">IF($A312="","",案件管理!$D$101:$D$101)</f>
        <v/>
      </c>
      <c r="D312" s="30" t="str">
        <f aca="false">IF($A312="","",案件管理!$AE$101:$AE$101)</f>
        <v/>
      </c>
      <c r="E312" s="30" t="str">
        <f aca="false">IF($A312="","",SUM($G312:$AD312))</f>
        <v/>
      </c>
      <c r="F312" s="51" t="str">
        <f aca="false">IF($A312="","",N($E106)-N($E312))</f>
        <v/>
      </c>
      <c r="G312" s="51" t="str">
        <f aca="false">IF($A312="","",SUMIFS(工数明細!$G$3:$G$302,工数明細!$B$3:$B$302,$A312,工数明細!$I$3:$I$302,G$212))</f>
        <v/>
      </c>
      <c r="H312" s="51" t="str">
        <f aca="false">IF($A312="","",SUMIFS(工数明細!$G$3:$G$302,工数明細!$B$3:$B$302,$A312,工数明細!$I$3:$I$302,H$212))</f>
        <v/>
      </c>
      <c r="I312" s="51" t="str">
        <f aca="false">IF($A312="","",SUMIFS(工数明細!$G$3:$G$302,工数明細!$B$3:$B$302,$A312,工数明細!$I$3:$I$302,I$212))</f>
        <v/>
      </c>
      <c r="J312" s="51" t="str">
        <f aca="false">IF($A312="","",SUMIFS(工数明細!$G$3:$G$302,工数明細!$B$3:$B$302,$A312,工数明細!$I$3:$I$302,J$212))</f>
        <v/>
      </c>
      <c r="K312" s="51" t="str">
        <f aca="false">IF($A312="","",SUMIFS(工数明細!$G$3:$G$302,工数明細!$B$3:$B$302,$A312,工数明細!$I$3:$I$302,K$212))</f>
        <v/>
      </c>
      <c r="L312" s="51" t="str">
        <f aca="false">IF($A312="","",SUMIFS(工数明細!$G$3:$G$302,工数明細!$B$3:$B$302,$A312,工数明細!$I$3:$I$302,L$212))</f>
        <v/>
      </c>
      <c r="M312" s="51" t="str">
        <f aca="false">IF($A312="","",SUMIFS(工数明細!$G$3:$G$302,工数明細!$B$3:$B$302,$A312,工数明細!$I$3:$I$302,M$212))</f>
        <v/>
      </c>
      <c r="N312" s="51" t="str">
        <f aca="false">IF($A312="","",SUMIFS(工数明細!$G$3:$G$302,工数明細!$B$3:$B$302,$A312,工数明細!$I$3:$I$302,N$212))</f>
        <v/>
      </c>
      <c r="O312" s="51" t="str">
        <f aca="false">IF($A312="","",SUMIFS(工数明細!$G$3:$G$302,工数明細!$B$3:$B$302,$A312,工数明細!$I$3:$I$302,O$212))</f>
        <v/>
      </c>
      <c r="P312" s="51" t="str">
        <f aca="false">IF($A312="","",SUMIFS(工数明細!$G$3:$G$302,工数明細!$B$3:$B$302,$A312,工数明細!$I$3:$I$302,P$212))</f>
        <v/>
      </c>
      <c r="Q312" s="51" t="str">
        <f aca="false">IF($A312="","",SUMIFS(工数明細!$G$3:$G$302,工数明細!$B$3:$B$302,$A312,工数明細!$I$3:$I$302,Q$212))</f>
        <v/>
      </c>
      <c r="R312" s="51" t="str">
        <f aca="false">IF($A312="","",SUMIFS(工数明細!$G$3:$G$302,工数明細!$B$3:$B$302,$A312,工数明細!$I$3:$I$302,R$212))</f>
        <v/>
      </c>
      <c r="S312" s="51" t="str">
        <f aca="false">IF($A312="","",SUMIFS(工数明細!$G$3:$G$302,工数明細!$B$3:$B$302,$A312,工数明細!$I$3:$I$302,S$212))</f>
        <v/>
      </c>
      <c r="T312" s="51" t="str">
        <f aca="false">IF($A312="","",SUMIFS(工数明細!$G$3:$G$302,工数明細!$B$3:$B$302,$A312,工数明細!$I$3:$I$302,T$212))</f>
        <v/>
      </c>
      <c r="U312" s="51" t="str">
        <f aca="false">IF($A312="","",SUMIFS(工数明細!$G$3:$G$302,工数明細!$B$3:$B$302,$A312,工数明細!$I$3:$I$302,U$212))</f>
        <v/>
      </c>
      <c r="V312" s="51" t="str">
        <f aca="false">IF($A312="","",SUMIFS(工数明細!$G$3:$G$302,工数明細!$B$3:$B$302,$A312,工数明細!$I$3:$I$302,V$212))</f>
        <v/>
      </c>
      <c r="W312" s="51" t="str">
        <f aca="false">IF($A312="","",SUMIFS(工数明細!$G$3:$G$302,工数明細!$B$3:$B$302,$A312,工数明細!$I$3:$I$302,W$212))</f>
        <v/>
      </c>
      <c r="X312" s="51" t="str">
        <f aca="false">IF($A312="","",SUMIFS(工数明細!$G$3:$G$302,工数明細!$B$3:$B$302,$A312,工数明細!$I$3:$I$302,X$212))</f>
        <v/>
      </c>
      <c r="Y312" s="51" t="str">
        <f aca="false">IF($A312="","",SUMIFS(工数明細!$G$3:$G$302,工数明細!$B$3:$B$302,$A312,工数明細!$I$3:$I$302,Y$212))</f>
        <v/>
      </c>
      <c r="Z312" s="51" t="str">
        <f aca="false">IF($A312="","",SUMIFS(工数明細!$G$3:$G$302,工数明細!$B$3:$B$302,$A312,工数明細!$I$3:$I$302,Z$212))</f>
        <v/>
      </c>
      <c r="AA312" s="51" t="str">
        <f aca="false">IF($A312="","",SUMIFS(工数明細!$G$3:$G$302,工数明細!$B$3:$B$302,$A312,工数明細!$I$3:$I$302,AA$212))</f>
        <v/>
      </c>
      <c r="AB312" s="51" t="str">
        <f aca="false">IF($A312="","",SUMIFS(工数明細!$G$3:$G$302,工数明細!$B$3:$B$302,$A312,工数明細!$I$3:$I$302,AB$212))</f>
        <v/>
      </c>
      <c r="AC312" s="51" t="str">
        <f aca="false">IF($A312="","",SUMIFS(工数明細!$G$3:$G$302,工数明細!$B$3:$B$302,$A312,工数明細!$I$3:$I$302,AC$212))</f>
        <v/>
      </c>
      <c r="AD312" s="51" t="str">
        <f aca="false">IF($A312="","",SUMIFS(工数明細!$G$3:$G$302,工数明細!$B$3:$B$302,$A312,工数明細!$I$3:$I$302,AD$212))</f>
        <v/>
      </c>
    </row>
    <row r="313" customFormat="false" ht="15.75" hidden="false" customHeight="true" outlineLevel="0" collapsed="false">
      <c r="A313" s="28" t="str">
        <f aca="false">IF(案件管理!$A$102:$A$102="","",案件管理!$A$102:$A$102)</f>
        <v/>
      </c>
      <c r="B313" s="10" t="str">
        <f aca="false">IF($A313="","",案件管理!$B$102:$B$102)</f>
        <v/>
      </c>
      <c r="C313" s="10" t="str">
        <f aca="false">IF($A313="","",案件管理!$D$102:$D$102)</f>
        <v/>
      </c>
      <c r="D313" s="30" t="str">
        <f aca="false">IF($A313="","",案件管理!$AE$102:$AE$102)</f>
        <v/>
      </c>
      <c r="E313" s="30" t="str">
        <f aca="false">IF($A313="","",SUM($G313:$AD313))</f>
        <v/>
      </c>
      <c r="F313" s="51" t="str">
        <f aca="false">IF($A313="","",N($E107)-N($E313))</f>
        <v/>
      </c>
      <c r="G313" s="51" t="str">
        <f aca="false">IF($A313="","",SUMIFS(工数明細!$G$3:$G$302,工数明細!$B$3:$B$302,$A313,工数明細!$I$3:$I$302,G$212))</f>
        <v/>
      </c>
      <c r="H313" s="51" t="str">
        <f aca="false">IF($A313="","",SUMIFS(工数明細!$G$3:$G$302,工数明細!$B$3:$B$302,$A313,工数明細!$I$3:$I$302,H$212))</f>
        <v/>
      </c>
      <c r="I313" s="51" t="str">
        <f aca="false">IF($A313="","",SUMIFS(工数明細!$G$3:$G$302,工数明細!$B$3:$B$302,$A313,工数明細!$I$3:$I$302,I$212))</f>
        <v/>
      </c>
      <c r="J313" s="51" t="str">
        <f aca="false">IF($A313="","",SUMIFS(工数明細!$G$3:$G$302,工数明細!$B$3:$B$302,$A313,工数明細!$I$3:$I$302,J$212))</f>
        <v/>
      </c>
      <c r="K313" s="51" t="str">
        <f aca="false">IF($A313="","",SUMIFS(工数明細!$G$3:$G$302,工数明細!$B$3:$B$302,$A313,工数明細!$I$3:$I$302,K$212))</f>
        <v/>
      </c>
      <c r="L313" s="51" t="str">
        <f aca="false">IF($A313="","",SUMIFS(工数明細!$G$3:$G$302,工数明細!$B$3:$B$302,$A313,工数明細!$I$3:$I$302,L$212))</f>
        <v/>
      </c>
      <c r="M313" s="51" t="str">
        <f aca="false">IF($A313="","",SUMIFS(工数明細!$G$3:$G$302,工数明細!$B$3:$B$302,$A313,工数明細!$I$3:$I$302,M$212))</f>
        <v/>
      </c>
      <c r="N313" s="51" t="str">
        <f aca="false">IF($A313="","",SUMIFS(工数明細!$G$3:$G$302,工数明細!$B$3:$B$302,$A313,工数明細!$I$3:$I$302,N$212))</f>
        <v/>
      </c>
      <c r="O313" s="51" t="str">
        <f aca="false">IF($A313="","",SUMIFS(工数明細!$G$3:$G$302,工数明細!$B$3:$B$302,$A313,工数明細!$I$3:$I$302,O$212))</f>
        <v/>
      </c>
      <c r="P313" s="51" t="str">
        <f aca="false">IF($A313="","",SUMIFS(工数明細!$G$3:$G$302,工数明細!$B$3:$B$302,$A313,工数明細!$I$3:$I$302,P$212))</f>
        <v/>
      </c>
      <c r="Q313" s="51" t="str">
        <f aca="false">IF($A313="","",SUMIFS(工数明細!$G$3:$G$302,工数明細!$B$3:$B$302,$A313,工数明細!$I$3:$I$302,Q$212))</f>
        <v/>
      </c>
      <c r="R313" s="51" t="str">
        <f aca="false">IF($A313="","",SUMIFS(工数明細!$G$3:$G$302,工数明細!$B$3:$B$302,$A313,工数明細!$I$3:$I$302,R$212))</f>
        <v/>
      </c>
      <c r="S313" s="51" t="str">
        <f aca="false">IF($A313="","",SUMIFS(工数明細!$G$3:$G$302,工数明細!$B$3:$B$302,$A313,工数明細!$I$3:$I$302,S$212))</f>
        <v/>
      </c>
      <c r="T313" s="51" t="str">
        <f aca="false">IF($A313="","",SUMIFS(工数明細!$G$3:$G$302,工数明細!$B$3:$B$302,$A313,工数明細!$I$3:$I$302,T$212))</f>
        <v/>
      </c>
      <c r="U313" s="51" t="str">
        <f aca="false">IF($A313="","",SUMIFS(工数明細!$G$3:$G$302,工数明細!$B$3:$B$302,$A313,工数明細!$I$3:$I$302,U$212))</f>
        <v/>
      </c>
      <c r="V313" s="51" t="str">
        <f aca="false">IF($A313="","",SUMIFS(工数明細!$G$3:$G$302,工数明細!$B$3:$B$302,$A313,工数明細!$I$3:$I$302,V$212))</f>
        <v/>
      </c>
      <c r="W313" s="51" t="str">
        <f aca="false">IF($A313="","",SUMIFS(工数明細!$G$3:$G$302,工数明細!$B$3:$B$302,$A313,工数明細!$I$3:$I$302,W$212))</f>
        <v/>
      </c>
      <c r="X313" s="51" t="str">
        <f aca="false">IF($A313="","",SUMIFS(工数明細!$G$3:$G$302,工数明細!$B$3:$B$302,$A313,工数明細!$I$3:$I$302,X$212))</f>
        <v/>
      </c>
      <c r="Y313" s="51" t="str">
        <f aca="false">IF($A313="","",SUMIFS(工数明細!$G$3:$G$302,工数明細!$B$3:$B$302,$A313,工数明細!$I$3:$I$302,Y$212))</f>
        <v/>
      </c>
      <c r="Z313" s="51" t="str">
        <f aca="false">IF($A313="","",SUMIFS(工数明細!$G$3:$G$302,工数明細!$B$3:$B$302,$A313,工数明細!$I$3:$I$302,Z$212))</f>
        <v/>
      </c>
      <c r="AA313" s="51" t="str">
        <f aca="false">IF($A313="","",SUMIFS(工数明細!$G$3:$G$302,工数明細!$B$3:$B$302,$A313,工数明細!$I$3:$I$302,AA$212))</f>
        <v/>
      </c>
      <c r="AB313" s="51" t="str">
        <f aca="false">IF($A313="","",SUMIFS(工数明細!$G$3:$G$302,工数明細!$B$3:$B$302,$A313,工数明細!$I$3:$I$302,AB$212))</f>
        <v/>
      </c>
      <c r="AC313" s="51" t="str">
        <f aca="false">IF($A313="","",SUMIFS(工数明細!$G$3:$G$302,工数明細!$B$3:$B$302,$A313,工数明細!$I$3:$I$302,AC$212))</f>
        <v/>
      </c>
      <c r="AD313" s="51" t="str">
        <f aca="false">IF($A313="","",SUMIFS(工数明細!$G$3:$G$302,工数明細!$B$3:$B$302,$A313,工数明細!$I$3:$I$302,AD$212))</f>
        <v/>
      </c>
    </row>
    <row r="314" customFormat="false" ht="15.75" hidden="false" customHeight="true" outlineLevel="0" collapsed="false">
      <c r="A314" s="28" t="str">
        <f aca="false">IF(案件管理!$A$103:$A$103="","",案件管理!$A$103:$A$103)</f>
        <v/>
      </c>
      <c r="B314" s="10" t="str">
        <f aca="false">IF($A314="","",案件管理!$B$103:$B$103)</f>
        <v/>
      </c>
      <c r="C314" s="10" t="str">
        <f aca="false">IF($A314="","",案件管理!$D$103:$D$103)</f>
        <v/>
      </c>
      <c r="D314" s="30" t="str">
        <f aca="false">IF($A314="","",案件管理!$AE$103:$AE$103)</f>
        <v/>
      </c>
      <c r="E314" s="30" t="str">
        <f aca="false">IF($A314="","",SUM($G314:$AD314))</f>
        <v/>
      </c>
      <c r="F314" s="51" t="str">
        <f aca="false">IF($A314="","",N($E108)-N($E314))</f>
        <v/>
      </c>
      <c r="G314" s="51" t="str">
        <f aca="false">IF($A314="","",SUMIFS(工数明細!$G$3:$G$302,工数明細!$B$3:$B$302,$A314,工数明細!$I$3:$I$302,G$212))</f>
        <v/>
      </c>
      <c r="H314" s="51" t="str">
        <f aca="false">IF($A314="","",SUMIFS(工数明細!$G$3:$G$302,工数明細!$B$3:$B$302,$A314,工数明細!$I$3:$I$302,H$212))</f>
        <v/>
      </c>
      <c r="I314" s="51" t="str">
        <f aca="false">IF($A314="","",SUMIFS(工数明細!$G$3:$G$302,工数明細!$B$3:$B$302,$A314,工数明細!$I$3:$I$302,I$212))</f>
        <v/>
      </c>
      <c r="J314" s="51" t="str">
        <f aca="false">IF($A314="","",SUMIFS(工数明細!$G$3:$G$302,工数明細!$B$3:$B$302,$A314,工数明細!$I$3:$I$302,J$212))</f>
        <v/>
      </c>
      <c r="K314" s="51" t="str">
        <f aca="false">IF($A314="","",SUMIFS(工数明細!$G$3:$G$302,工数明細!$B$3:$B$302,$A314,工数明細!$I$3:$I$302,K$212))</f>
        <v/>
      </c>
      <c r="L314" s="51" t="str">
        <f aca="false">IF($A314="","",SUMIFS(工数明細!$G$3:$G$302,工数明細!$B$3:$B$302,$A314,工数明細!$I$3:$I$302,L$212))</f>
        <v/>
      </c>
      <c r="M314" s="51" t="str">
        <f aca="false">IF($A314="","",SUMIFS(工数明細!$G$3:$G$302,工数明細!$B$3:$B$302,$A314,工数明細!$I$3:$I$302,M$212))</f>
        <v/>
      </c>
      <c r="N314" s="51" t="str">
        <f aca="false">IF($A314="","",SUMIFS(工数明細!$G$3:$G$302,工数明細!$B$3:$B$302,$A314,工数明細!$I$3:$I$302,N$212))</f>
        <v/>
      </c>
      <c r="O314" s="51" t="str">
        <f aca="false">IF($A314="","",SUMIFS(工数明細!$G$3:$G$302,工数明細!$B$3:$B$302,$A314,工数明細!$I$3:$I$302,O$212))</f>
        <v/>
      </c>
      <c r="P314" s="51" t="str">
        <f aca="false">IF($A314="","",SUMIFS(工数明細!$G$3:$G$302,工数明細!$B$3:$B$302,$A314,工数明細!$I$3:$I$302,P$212))</f>
        <v/>
      </c>
      <c r="Q314" s="51" t="str">
        <f aca="false">IF($A314="","",SUMIFS(工数明細!$G$3:$G$302,工数明細!$B$3:$B$302,$A314,工数明細!$I$3:$I$302,Q$212))</f>
        <v/>
      </c>
      <c r="R314" s="51" t="str">
        <f aca="false">IF($A314="","",SUMIFS(工数明細!$G$3:$G$302,工数明細!$B$3:$B$302,$A314,工数明細!$I$3:$I$302,R$212))</f>
        <v/>
      </c>
      <c r="S314" s="51" t="str">
        <f aca="false">IF($A314="","",SUMIFS(工数明細!$G$3:$G$302,工数明細!$B$3:$B$302,$A314,工数明細!$I$3:$I$302,S$212))</f>
        <v/>
      </c>
      <c r="T314" s="51" t="str">
        <f aca="false">IF($A314="","",SUMIFS(工数明細!$G$3:$G$302,工数明細!$B$3:$B$302,$A314,工数明細!$I$3:$I$302,T$212))</f>
        <v/>
      </c>
      <c r="U314" s="51" t="str">
        <f aca="false">IF($A314="","",SUMIFS(工数明細!$G$3:$G$302,工数明細!$B$3:$B$302,$A314,工数明細!$I$3:$I$302,U$212))</f>
        <v/>
      </c>
      <c r="V314" s="51" t="str">
        <f aca="false">IF($A314="","",SUMIFS(工数明細!$G$3:$G$302,工数明細!$B$3:$B$302,$A314,工数明細!$I$3:$I$302,V$212))</f>
        <v/>
      </c>
      <c r="W314" s="51" t="str">
        <f aca="false">IF($A314="","",SUMIFS(工数明細!$G$3:$G$302,工数明細!$B$3:$B$302,$A314,工数明細!$I$3:$I$302,W$212))</f>
        <v/>
      </c>
      <c r="X314" s="51" t="str">
        <f aca="false">IF($A314="","",SUMIFS(工数明細!$G$3:$G$302,工数明細!$B$3:$B$302,$A314,工数明細!$I$3:$I$302,X$212))</f>
        <v/>
      </c>
      <c r="Y314" s="51" t="str">
        <f aca="false">IF($A314="","",SUMIFS(工数明細!$G$3:$G$302,工数明細!$B$3:$B$302,$A314,工数明細!$I$3:$I$302,Y$212))</f>
        <v/>
      </c>
      <c r="Z314" s="51" t="str">
        <f aca="false">IF($A314="","",SUMIFS(工数明細!$G$3:$G$302,工数明細!$B$3:$B$302,$A314,工数明細!$I$3:$I$302,Z$212))</f>
        <v/>
      </c>
      <c r="AA314" s="51" t="str">
        <f aca="false">IF($A314="","",SUMIFS(工数明細!$G$3:$G$302,工数明細!$B$3:$B$302,$A314,工数明細!$I$3:$I$302,AA$212))</f>
        <v/>
      </c>
      <c r="AB314" s="51" t="str">
        <f aca="false">IF($A314="","",SUMIFS(工数明細!$G$3:$G$302,工数明細!$B$3:$B$302,$A314,工数明細!$I$3:$I$302,AB$212))</f>
        <v/>
      </c>
      <c r="AC314" s="51" t="str">
        <f aca="false">IF($A314="","",SUMIFS(工数明細!$G$3:$G$302,工数明細!$B$3:$B$302,$A314,工数明細!$I$3:$I$302,AC$212))</f>
        <v/>
      </c>
      <c r="AD314" s="51" t="str">
        <f aca="false">IF($A314="","",SUMIFS(工数明細!$G$3:$G$302,工数明細!$B$3:$B$302,$A314,工数明細!$I$3:$I$302,AD$212))</f>
        <v/>
      </c>
    </row>
    <row r="315" customFormat="false" ht="15.75" hidden="false" customHeight="true" outlineLevel="0" collapsed="false">
      <c r="A315" s="28" t="str">
        <f aca="false">IF(案件管理!$A$104:$A$104="","",案件管理!$A$104:$A$104)</f>
        <v/>
      </c>
      <c r="B315" s="10" t="str">
        <f aca="false">IF($A315="","",案件管理!$B$104:$B$104)</f>
        <v/>
      </c>
      <c r="C315" s="10" t="str">
        <f aca="false">IF($A315="","",案件管理!$D$104:$D$104)</f>
        <v/>
      </c>
      <c r="D315" s="30" t="str">
        <f aca="false">IF($A315="","",案件管理!$AE$104:$AE$104)</f>
        <v/>
      </c>
      <c r="E315" s="30" t="str">
        <f aca="false">IF($A315="","",SUM($G315:$AD315))</f>
        <v/>
      </c>
      <c r="F315" s="51" t="str">
        <f aca="false">IF($A315="","",N($E109)-N($E315))</f>
        <v/>
      </c>
      <c r="G315" s="51" t="str">
        <f aca="false">IF($A315="","",SUMIFS(工数明細!$G$3:$G$302,工数明細!$B$3:$B$302,$A315,工数明細!$I$3:$I$302,G$212))</f>
        <v/>
      </c>
      <c r="H315" s="51" t="str">
        <f aca="false">IF($A315="","",SUMIFS(工数明細!$G$3:$G$302,工数明細!$B$3:$B$302,$A315,工数明細!$I$3:$I$302,H$212))</f>
        <v/>
      </c>
      <c r="I315" s="51" t="str">
        <f aca="false">IF($A315="","",SUMIFS(工数明細!$G$3:$G$302,工数明細!$B$3:$B$302,$A315,工数明細!$I$3:$I$302,I$212))</f>
        <v/>
      </c>
      <c r="J315" s="51" t="str">
        <f aca="false">IF($A315="","",SUMIFS(工数明細!$G$3:$G$302,工数明細!$B$3:$B$302,$A315,工数明細!$I$3:$I$302,J$212))</f>
        <v/>
      </c>
      <c r="K315" s="51" t="str">
        <f aca="false">IF($A315="","",SUMIFS(工数明細!$G$3:$G$302,工数明細!$B$3:$B$302,$A315,工数明細!$I$3:$I$302,K$212))</f>
        <v/>
      </c>
      <c r="L315" s="51" t="str">
        <f aca="false">IF($A315="","",SUMIFS(工数明細!$G$3:$G$302,工数明細!$B$3:$B$302,$A315,工数明細!$I$3:$I$302,L$212))</f>
        <v/>
      </c>
      <c r="M315" s="51" t="str">
        <f aca="false">IF($A315="","",SUMIFS(工数明細!$G$3:$G$302,工数明細!$B$3:$B$302,$A315,工数明細!$I$3:$I$302,M$212))</f>
        <v/>
      </c>
      <c r="N315" s="51" t="str">
        <f aca="false">IF($A315="","",SUMIFS(工数明細!$G$3:$G$302,工数明細!$B$3:$B$302,$A315,工数明細!$I$3:$I$302,N$212))</f>
        <v/>
      </c>
      <c r="O315" s="51" t="str">
        <f aca="false">IF($A315="","",SUMIFS(工数明細!$G$3:$G$302,工数明細!$B$3:$B$302,$A315,工数明細!$I$3:$I$302,O$212))</f>
        <v/>
      </c>
      <c r="P315" s="51" t="str">
        <f aca="false">IF($A315="","",SUMIFS(工数明細!$G$3:$G$302,工数明細!$B$3:$B$302,$A315,工数明細!$I$3:$I$302,P$212))</f>
        <v/>
      </c>
      <c r="Q315" s="51" t="str">
        <f aca="false">IF($A315="","",SUMIFS(工数明細!$G$3:$G$302,工数明細!$B$3:$B$302,$A315,工数明細!$I$3:$I$302,Q$212))</f>
        <v/>
      </c>
      <c r="R315" s="51" t="str">
        <f aca="false">IF($A315="","",SUMIFS(工数明細!$G$3:$G$302,工数明細!$B$3:$B$302,$A315,工数明細!$I$3:$I$302,R$212))</f>
        <v/>
      </c>
      <c r="S315" s="51" t="str">
        <f aca="false">IF($A315="","",SUMIFS(工数明細!$G$3:$G$302,工数明細!$B$3:$B$302,$A315,工数明細!$I$3:$I$302,S$212))</f>
        <v/>
      </c>
      <c r="T315" s="51" t="str">
        <f aca="false">IF($A315="","",SUMIFS(工数明細!$G$3:$G$302,工数明細!$B$3:$B$302,$A315,工数明細!$I$3:$I$302,T$212))</f>
        <v/>
      </c>
      <c r="U315" s="51" t="str">
        <f aca="false">IF($A315="","",SUMIFS(工数明細!$G$3:$G$302,工数明細!$B$3:$B$302,$A315,工数明細!$I$3:$I$302,U$212))</f>
        <v/>
      </c>
      <c r="V315" s="51" t="str">
        <f aca="false">IF($A315="","",SUMIFS(工数明細!$G$3:$G$302,工数明細!$B$3:$B$302,$A315,工数明細!$I$3:$I$302,V$212))</f>
        <v/>
      </c>
      <c r="W315" s="51" t="str">
        <f aca="false">IF($A315="","",SUMIFS(工数明細!$G$3:$G$302,工数明細!$B$3:$B$302,$A315,工数明細!$I$3:$I$302,W$212))</f>
        <v/>
      </c>
      <c r="X315" s="51" t="str">
        <f aca="false">IF($A315="","",SUMIFS(工数明細!$G$3:$G$302,工数明細!$B$3:$B$302,$A315,工数明細!$I$3:$I$302,X$212))</f>
        <v/>
      </c>
      <c r="Y315" s="51" t="str">
        <f aca="false">IF($A315="","",SUMIFS(工数明細!$G$3:$G$302,工数明細!$B$3:$B$302,$A315,工数明細!$I$3:$I$302,Y$212))</f>
        <v/>
      </c>
      <c r="Z315" s="51" t="str">
        <f aca="false">IF($A315="","",SUMIFS(工数明細!$G$3:$G$302,工数明細!$B$3:$B$302,$A315,工数明細!$I$3:$I$302,Z$212))</f>
        <v/>
      </c>
      <c r="AA315" s="51" t="str">
        <f aca="false">IF($A315="","",SUMIFS(工数明細!$G$3:$G$302,工数明細!$B$3:$B$302,$A315,工数明細!$I$3:$I$302,AA$212))</f>
        <v/>
      </c>
      <c r="AB315" s="51" t="str">
        <f aca="false">IF($A315="","",SUMIFS(工数明細!$G$3:$G$302,工数明細!$B$3:$B$302,$A315,工数明細!$I$3:$I$302,AB$212))</f>
        <v/>
      </c>
      <c r="AC315" s="51" t="str">
        <f aca="false">IF($A315="","",SUMIFS(工数明細!$G$3:$G$302,工数明細!$B$3:$B$302,$A315,工数明細!$I$3:$I$302,AC$212))</f>
        <v/>
      </c>
      <c r="AD315" s="51" t="str">
        <f aca="false">IF($A315="","",SUMIFS(工数明細!$G$3:$G$302,工数明細!$B$3:$B$302,$A315,工数明細!$I$3:$I$302,AD$212))</f>
        <v/>
      </c>
    </row>
    <row r="316" customFormat="false" ht="15.75" hidden="false" customHeight="true" outlineLevel="0" collapsed="false">
      <c r="A316" s="28" t="str">
        <f aca="false">IF(案件管理!$A$105:$A$105="","",案件管理!$A$105:$A$105)</f>
        <v/>
      </c>
      <c r="B316" s="10" t="str">
        <f aca="false">IF($A316="","",案件管理!$B$105:$B$105)</f>
        <v/>
      </c>
      <c r="C316" s="10" t="str">
        <f aca="false">IF($A316="","",案件管理!$D$105:$D$105)</f>
        <v/>
      </c>
      <c r="D316" s="30" t="str">
        <f aca="false">IF($A316="","",案件管理!$AE$105:$AE$105)</f>
        <v/>
      </c>
      <c r="E316" s="30" t="str">
        <f aca="false">IF($A316="","",SUM($G316:$AD316))</f>
        <v/>
      </c>
      <c r="F316" s="51" t="str">
        <f aca="false">IF($A316="","",N($E110)-N($E316))</f>
        <v/>
      </c>
      <c r="G316" s="51" t="str">
        <f aca="false">IF($A316="","",SUMIFS(工数明細!$G$3:$G$302,工数明細!$B$3:$B$302,$A316,工数明細!$I$3:$I$302,G$212))</f>
        <v/>
      </c>
      <c r="H316" s="51" t="str">
        <f aca="false">IF($A316="","",SUMIFS(工数明細!$G$3:$G$302,工数明細!$B$3:$B$302,$A316,工数明細!$I$3:$I$302,H$212))</f>
        <v/>
      </c>
      <c r="I316" s="51" t="str">
        <f aca="false">IF($A316="","",SUMIFS(工数明細!$G$3:$G$302,工数明細!$B$3:$B$302,$A316,工数明細!$I$3:$I$302,I$212))</f>
        <v/>
      </c>
      <c r="J316" s="51" t="str">
        <f aca="false">IF($A316="","",SUMIFS(工数明細!$G$3:$G$302,工数明細!$B$3:$B$302,$A316,工数明細!$I$3:$I$302,J$212))</f>
        <v/>
      </c>
      <c r="K316" s="51" t="str">
        <f aca="false">IF($A316="","",SUMIFS(工数明細!$G$3:$G$302,工数明細!$B$3:$B$302,$A316,工数明細!$I$3:$I$302,K$212))</f>
        <v/>
      </c>
      <c r="L316" s="51" t="str">
        <f aca="false">IF($A316="","",SUMIFS(工数明細!$G$3:$G$302,工数明細!$B$3:$B$302,$A316,工数明細!$I$3:$I$302,L$212))</f>
        <v/>
      </c>
      <c r="M316" s="51" t="str">
        <f aca="false">IF($A316="","",SUMIFS(工数明細!$G$3:$G$302,工数明細!$B$3:$B$302,$A316,工数明細!$I$3:$I$302,M$212))</f>
        <v/>
      </c>
      <c r="N316" s="51" t="str">
        <f aca="false">IF($A316="","",SUMIFS(工数明細!$G$3:$G$302,工数明細!$B$3:$B$302,$A316,工数明細!$I$3:$I$302,N$212))</f>
        <v/>
      </c>
      <c r="O316" s="51" t="str">
        <f aca="false">IF($A316="","",SUMIFS(工数明細!$G$3:$G$302,工数明細!$B$3:$B$302,$A316,工数明細!$I$3:$I$302,O$212))</f>
        <v/>
      </c>
      <c r="P316" s="51" t="str">
        <f aca="false">IF($A316="","",SUMIFS(工数明細!$G$3:$G$302,工数明細!$B$3:$B$302,$A316,工数明細!$I$3:$I$302,P$212))</f>
        <v/>
      </c>
      <c r="Q316" s="51" t="str">
        <f aca="false">IF($A316="","",SUMIFS(工数明細!$G$3:$G$302,工数明細!$B$3:$B$302,$A316,工数明細!$I$3:$I$302,Q$212))</f>
        <v/>
      </c>
      <c r="R316" s="51" t="str">
        <f aca="false">IF($A316="","",SUMIFS(工数明細!$G$3:$G$302,工数明細!$B$3:$B$302,$A316,工数明細!$I$3:$I$302,R$212))</f>
        <v/>
      </c>
      <c r="S316" s="51" t="str">
        <f aca="false">IF($A316="","",SUMIFS(工数明細!$G$3:$G$302,工数明細!$B$3:$B$302,$A316,工数明細!$I$3:$I$302,S$212))</f>
        <v/>
      </c>
      <c r="T316" s="51" t="str">
        <f aca="false">IF($A316="","",SUMIFS(工数明細!$G$3:$G$302,工数明細!$B$3:$B$302,$A316,工数明細!$I$3:$I$302,T$212))</f>
        <v/>
      </c>
      <c r="U316" s="51" t="str">
        <f aca="false">IF($A316="","",SUMIFS(工数明細!$G$3:$G$302,工数明細!$B$3:$B$302,$A316,工数明細!$I$3:$I$302,U$212))</f>
        <v/>
      </c>
      <c r="V316" s="51" t="str">
        <f aca="false">IF($A316="","",SUMIFS(工数明細!$G$3:$G$302,工数明細!$B$3:$B$302,$A316,工数明細!$I$3:$I$302,V$212))</f>
        <v/>
      </c>
      <c r="W316" s="51" t="str">
        <f aca="false">IF($A316="","",SUMIFS(工数明細!$G$3:$G$302,工数明細!$B$3:$B$302,$A316,工数明細!$I$3:$I$302,W$212))</f>
        <v/>
      </c>
      <c r="X316" s="51" t="str">
        <f aca="false">IF($A316="","",SUMIFS(工数明細!$G$3:$G$302,工数明細!$B$3:$B$302,$A316,工数明細!$I$3:$I$302,X$212))</f>
        <v/>
      </c>
      <c r="Y316" s="51" t="str">
        <f aca="false">IF($A316="","",SUMIFS(工数明細!$G$3:$G$302,工数明細!$B$3:$B$302,$A316,工数明細!$I$3:$I$302,Y$212))</f>
        <v/>
      </c>
      <c r="Z316" s="51" t="str">
        <f aca="false">IF($A316="","",SUMIFS(工数明細!$G$3:$G$302,工数明細!$B$3:$B$302,$A316,工数明細!$I$3:$I$302,Z$212))</f>
        <v/>
      </c>
      <c r="AA316" s="51" t="str">
        <f aca="false">IF($A316="","",SUMIFS(工数明細!$G$3:$G$302,工数明細!$B$3:$B$302,$A316,工数明細!$I$3:$I$302,AA$212))</f>
        <v/>
      </c>
      <c r="AB316" s="51" t="str">
        <f aca="false">IF($A316="","",SUMIFS(工数明細!$G$3:$G$302,工数明細!$B$3:$B$302,$A316,工数明細!$I$3:$I$302,AB$212))</f>
        <v/>
      </c>
      <c r="AC316" s="51" t="str">
        <f aca="false">IF($A316="","",SUMIFS(工数明細!$G$3:$G$302,工数明細!$B$3:$B$302,$A316,工数明細!$I$3:$I$302,AC$212))</f>
        <v/>
      </c>
      <c r="AD316" s="51" t="str">
        <f aca="false">IF($A316="","",SUMIFS(工数明細!$G$3:$G$302,工数明細!$B$3:$B$302,$A316,工数明細!$I$3:$I$302,AD$212))</f>
        <v/>
      </c>
    </row>
    <row r="317" customFormat="false" ht="15.75" hidden="false" customHeight="true" outlineLevel="0" collapsed="false">
      <c r="A317" s="28" t="str">
        <f aca="false">IF(案件管理!$A$106:$A$106="","",案件管理!$A$106:$A$106)</f>
        <v/>
      </c>
      <c r="B317" s="10" t="str">
        <f aca="false">IF($A317="","",案件管理!$B$106:$B$106)</f>
        <v/>
      </c>
      <c r="C317" s="10" t="str">
        <f aca="false">IF($A317="","",案件管理!$D$106:$D$106)</f>
        <v/>
      </c>
      <c r="D317" s="30" t="str">
        <f aca="false">IF($A317="","",案件管理!$AE$106:$AE$106)</f>
        <v/>
      </c>
      <c r="E317" s="30" t="str">
        <f aca="false">IF($A317="","",SUM($G317:$AD317))</f>
        <v/>
      </c>
      <c r="F317" s="51" t="str">
        <f aca="false">IF($A317="","",N($E111)-N($E317))</f>
        <v/>
      </c>
      <c r="G317" s="51" t="str">
        <f aca="false">IF($A317="","",SUMIFS(工数明細!$G$3:$G$302,工数明細!$B$3:$B$302,$A317,工数明細!$I$3:$I$302,G$212))</f>
        <v/>
      </c>
      <c r="H317" s="51" t="str">
        <f aca="false">IF($A317="","",SUMIFS(工数明細!$G$3:$G$302,工数明細!$B$3:$B$302,$A317,工数明細!$I$3:$I$302,H$212))</f>
        <v/>
      </c>
      <c r="I317" s="51" t="str">
        <f aca="false">IF($A317="","",SUMIFS(工数明細!$G$3:$G$302,工数明細!$B$3:$B$302,$A317,工数明細!$I$3:$I$302,I$212))</f>
        <v/>
      </c>
      <c r="J317" s="51" t="str">
        <f aca="false">IF($A317="","",SUMIFS(工数明細!$G$3:$G$302,工数明細!$B$3:$B$302,$A317,工数明細!$I$3:$I$302,J$212))</f>
        <v/>
      </c>
      <c r="K317" s="51" t="str">
        <f aca="false">IF($A317="","",SUMIFS(工数明細!$G$3:$G$302,工数明細!$B$3:$B$302,$A317,工数明細!$I$3:$I$302,K$212))</f>
        <v/>
      </c>
      <c r="L317" s="51" t="str">
        <f aca="false">IF($A317="","",SUMIFS(工数明細!$G$3:$G$302,工数明細!$B$3:$B$302,$A317,工数明細!$I$3:$I$302,L$212))</f>
        <v/>
      </c>
      <c r="M317" s="51" t="str">
        <f aca="false">IF($A317="","",SUMIFS(工数明細!$G$3:$G$302,工数明細!$B$3:$B$302,$A317,工数明細!$I$3:$I$302,M$212))</f>
        <v/>
      </c>
      <c r="N317" s="51" t="str">
        <f aca="false">IF($A317="","",SUMIFS(工数明細!$G$3:$G$302,工数明細!$B$3:$B$302,$A317,工数明細!$I$3:$I$302,N$212))</f>
        <v/>
      </c>
      <c r="O317" s="51" t="str">
        <f aca="false">IF($A317="","",SUMIFS(工数明細!$G$3:$G$302,工数明細!$B$3:$B$302,$A317,工数明細!$I$3:$I$302,O$212))</f>
        <v/>
      </c>
      <c r="P317" s="51" t="str">
        <f aca="false">IF($A317="","",SUMIFS(工数明細!$G$3:$G$302,工数明細!$B$3:$B$302,$A317,工数明細!$I$3:$I$302,P$212))</f>
        <v/>
      </c>
      <c r="Q317" s="51" t="str">
        <f aca="false">IF($A317="","",SUMIFS(工数明細!$G$3:$G$302,工数明細!$B$3:$B$302,$A317,工数明細!$I$3:$I$302,Q$212))</f>
        <v/>
      </c>
      <c r="R317" s="51" t="str">
        <f aca="false">IF($A317="","",SUMIFS(工数明細!$G$3:$G$302,工数明細!$B$3:$B$302,$A317,工数明細!$I$3:$I$302,R$212))</f>
        <v/>
      </c>
      <c r="S317" s="51" t="str">
        <f aca="false">IF($A317="","",SUMIFS(工数明細!$G$3:$G$302,工数明細!$B$3:$B$302,$A317,工数明細!$I$3:$I$302,S$212))</f>
        <v/>
      </c>
      <c r="T317" s="51" t="str">
        <f aca="false">IF($A317="","",SUMIFS(工数明細!$G$3:$G$302,工数明細!$B$3:$B$302,$A317,工数明細!$I$3:$I$302,T$212))</f>
        <v/>
      </c>
      <c r="U317" s="51" t="str">
        <f aca="false">IF($A317="","",SUMIFS(工数明細!$G$3:$G$302,工数明細!$B$3:$B$302,$A317,工数明細!$I$3:$I$302,U$212))</f>
        <v/>
      </c>
      <c r="V317" s="51" t="str">
        <f aca="false">IF($A317="","",SUMIFS(工数明細!$G$3:$G$302,工数明細!$B$3:$B$302,$A317,工数明細!$I$3:$I$302,V$212))</f>
        <v/>
      </c>
      <c r="W317" s="51" t="str">
        <f aca="false">IF($A317="","",SUMIFS(工数明細!$G$3:$G$302,工数明細!$B$3:$B$302,$A317,工数明細!$I$3:$I$302,W$212))</f>
        <v/>
      </c>
      <c r="X317" s="51" t="str">
        <f aca="false">IF($A317="","",SUMIFS(工数明細!$G$3:$G$302,工数明細!$B$3:$B$302,$A317,工数明細!$I$3:$I$302,X$212))</f>
        <v/>
      </c>
      <c r="Y317" s="51" t="str">
        <f aca="false">IF($A317="","",SUMIFS(工数明細!$G$3:$G$302,工数明細!$B$3:$B$302,$A317,工数明細!$I$3:$I$302,Y$212))</f>
        <v/>
      </c>
      <c r="Z317" s="51" t="str">
        <f aca="false">IF($A317="","",SUMIFS(工数明細!$G$3:$G$302,工数明細!$B$3:$B$302,$A317,工数明細!$I$3:$I$302,Z$212))</f>
        <v/>
      </c>
      <c r="AA317" s="51" t="str">
        <f aca="false">IF($A317="","",SUMIFS(工数明細!$G$3:$G$302,工数明細!$B$3:$B$302,$A317,工数明細!$I$3:$I$302,AA$212))</f>
        <v/>
      </c>
      <c r="AB317" s="51" t="str">
        <f aca="false">IF($A317="","",SUMIFS(工数明細!$G$3:$G$302,工数明細!$B$3:$B$302,$A317,工数明細!$I$3:$I$302,AB$212))</f>
        <v/>
      </c>
      <c r="AC317" s="51" t="str">
        <f aca="false">IF($A317="","",SUMIFS(工数明細!$G$3:$G$302,工数明細!$B$3:$B$302,$A317,工数明細!$I$3:$I$302,AC$212))</f>
        <v/>
      </c>
      <c r="AD317" s="51" t="str">
        <f aca="false">IF($A317="","",SUMIFS(工数明細!$G$3:$G$302,工数明細!$B$3:$B$302,$A317,工数明細!$I$3:$I$302,AD$212))</f>
        <v/>
      </c>
    </row>
    <row r="318" customFormat="false" ht="15.75" hidden="false" customHeight="true" outlineLevel="0" collapsed="false">
      <c r="A318" s="28" t="str">
        <f aca="false">IF(案件管理!$A$107:$A$107="","",案件管理!$A$107:$A$107)</f>
        <v/>
      </c>
      <c r="B318" s="10" t="str">
        <f aca="false">IF($A318="","",案件管理!$B$107:$B$107)</f>
        <v/>
      </c>
      <c r="C318" s="10" t="str">
        <f aca="false">IF($A318="","",案件管理!$D$107:$D$107)</f>
        <v/>
      </c>
      <c r="D318" s="30" t="str">
        <f aca="false">IF($A318="","",案件管理!$AE$107:$AE$107)</f>
        <v/>
      </c>
      <c r="E318" s="30" t="str">
        <f aca="false">IF($A318="","",SUM($G318:$AD318))</f>
        <v/>
      </c>
      <c r="F318" s="51" t="str">
        <f aca="false">IF($A318="","",N($E112)-N($E318))</f>
        <v/>
      </c>
      <c r="G318" s="51" t="str">
        <f aca="false">IF($A318="","",SUMIFS(工数明細!$G$3:$G$302,工数明細!$B$3:$B$302,$A318,工数明細!$I$3:$I$302,G$212))</f>
        <v/>
      </c>
      <c r="H318" s="51" t="str">
        <f aca="false">IF($A318="","",SUMIFS(工数明細!$G$3:$G$302,工数明細!$B$3:$B$302,$A318,工数明細!$I$3:$I$302,H$212))</f>
        <v/>
      </c>
      <c r="I318" s="51" t="str">
        <f aca="false">IF($A318="","",SUMIFS(工数明細!$G$3:$G$302,工数明細!$B$3:$B$302,$A318,工数明細!$I$3:$I$302,I$212))</f>
        <v/>
      </c>
      <c r="J318" s="51" t="str">
        <f aca="false">IF($A318="","",SUMIFS(工数明細!$G$3:$G$302,工数明細!$B$3:$B$302,$A318,工数明細!$I$3:$I$302,J$212))</f>
        <v/>
      </c>
      <c r="K318" s="51" t="str">
        <f aca="false">IF($A318="","",SUMIFS(工数明細!$G$3:$G$302,工数明細!$B$3:$B$302,$A318,工数明細!$I$3:$I$302,K$212))</f>
        <v/>
      </c>
      <c r="L318" s="51" t="str">
        <f aca="false">IF($A318="","",SUMIFS(工数明細!$G$3:$G$302,工数明細!$B$3:$B$302,$A318,工数明細!$I$3:$I$302,L$212))</f>
        <v/>
      </c>
      <c r="M318" s="51" t="str">
        <f aca="false">IF($A318="","",SUMIFS(工数明細!$G$3:$G$302,工数明細!$B$3:$B$302,$A318,工数明細!$I$3:$I$302,M$212))</f>
        <v/>
      </c>
      <c r="N318" s="51" t="str">
        <f aca="false">IF($A318="","",SUMIFS(工数明細!$G$3:$G$302,工数明細!$B$3:$B$302,$A318,工数明細!$I$3:$I$302,N$212))</f>
        <v/>
      </c>
      <c r="O318" s="51" t="str">
        <f aca="false">IF($A318="","",SUMIFS(工数明細!$G$3:$G$302,工数明細!$B$3:$B$302,$A318,工数明細!$I$3:$I$302,O$212))</f>
        <v/>
      </c>
      <c r="P318" s="51" t="str">
        <f aca="false">IF($A318="","",SUMIFS(工数明細!$G$3:$G$302,工数明細!$B$3:$B$302,$A318,工数明細!$I$3:$I$302,P$212))</f>
        <v/>
      </c>
      <c r="Q318" s="51" t="str">
        <f aca="false">IF($A318="","",SUMIFS(工数明細!$G$3:$G$302,工数明細!$B$3:$B$302,$A318,工数明細!$I$3:$I$302,Q$212))</f>
        <v/>
      </c>
      <c r="R318" s="51" t="str">
        <f aca="false">IF($A318="","",SUMIFS(工数明細!$G$3:$G$302,工数明細!$B$3:$B$302,$A318,工数明細!$I$3:$I$302,R$212))</f>
        <v/>
      </c>
      <c r="S318" s="51" t="str">
        <f aca="false">IF($A318="","",SUMIFS(工数明細!$G$3:$G$302,工数明細!$B$3:$B$302,$A318,工数明細!$I$3:$I$302,S$212))</f>
        <v/>
      </c>
      <c r="T318" s="51" t="str">
        <f aca="false">IF($A318="","",SUMIFS(工数明細!$G$3:$G$302,工数明細!$B$3:$B$302,$A318,工数明細!$I$3:$I$302,T$212))</f>
        <v/>
      </c>
      <c r="U318" s="51" t="str">
        <f aca="false">IF($A318="","",SUMIFS(工数明細!$G$3:$G$302,工数明細!$B$3:$B$302,$A318,工数明細!$I$3:$I$302,U$212))</f>
        <v/>
      </c>
      <c r="V318" s="51" t="str">
        <f aca="false">IF($A318="","",SUMIFS(工数明細!$G$3:$G$302,工数明細!$B$3:$B$302,$A318,工数明細!$I$3:$I$302,V$212))</f>
        <v/>
      </c>
      <c r="W318" s="51" t="str">
        <f aca="false">IF($A318="","",SUMIFS(工数明細!$G$3:$G$302,工数明細!$B$3:$B$302,$A318,工数明細!$I$3:$I$302,W$212))</f>
        <v/>
      </c>
      <c r="X318" s="51" t="str">
        <f aca="false">IF($A318="","",SUMIFS(工数明細!$G$3:$G$302,工数明細!$B$3:$B$302,$A318,工数明細!$I$3:$I$302,X$212))</f>
        <v/>
      </c>
      <c r="Y318" s="51" t="str">
        <f aca="false">IF($A318="","",SUMIFS(工数明細!$G$3:$G$302,工数明細!$B$3:$B$302,$A318,工数明細!$I$3:$I$302,Y$212))</f>
        <v/>
      </c>
      <c r="Z318" s="51" t="str">
        <f aca="false">IF($A318="","",SUMIFS(工数明細!$G$3:$G$302,工数明細!$B$3:$B$302,$A318,工数明細!$I$3:$I$302,Z$212))</f>
        <v/>
      </c>
      <c r="AA318" s="51" t="str">
        <f aca="false">IF($A318="","",SUMIFS(工数明細!$G$3:$G$302,工数明細!$B$3:$B$302,$A318,工数明細!$I$3:$I$302,AA$212))</f>
        <v/>
      </c>
      <c r="AB318" s="51" t="str">
        <f aca="false">IF($A318="","",SUMIFS(工数明細!$G$3:$G$302,工数明細!$B$3:$B$302,$A318,工数明細!$I$3:$I$302,AB$212))</f>
        <v/>
      </c>
      <c r="AC318" s="51" t="str">
        <f aca="false">IF($A318="","",SUMIFS(工数明細!$G$3:$G$302,工数明細!$B$3:$B$302,$A318,工数明細!$I$3:$I$302,AC$212))</f>
        <v/>
      </c>
      <c r="AD318" s="51" t="str">
        <f aca="false">IF($A318="","",SUMIFS(工数明細!$G$3:$G$302,工数明細!$B$3:$B$302,$A318,工数明細!$I$3:$I$302,AD$212))</f>
        <v/>
      </c>
    </row>
    <row r="319" customFormat="false" ht="15.75" hidden="false" customHeight="true" outlineLevel="0" collapsed="false">
      <c r="A319" s="28" t="str">
        <f aca="false">IF(案件管理!$A$108:$A$108="","",案件管理!$A$108:$A$108)</f>
        <v/>
      </c>
      <c r="B319" s="10" t="str">
        <f aca="false">IF($A319="","",案件管理!$B$108:$B$108)</f>
        <v/>
      </c>
      <c r="C319" s="10" t="str">
        <f aca="false">IF($A319="","",案件管理!$D$108:$D$108)</f>
        <v/>
      </c>
      <c r="D319" s="30" t="str">
        <f aca="false">IF($A319="","",案件管理!$AE$108:$AE$108)</f>
        <v/>
      </c>
      <c r="E319" s="30" t="str">
        <f aca="false">IF($A319="","",SUM($G319:$AD319))</f>
        <v/>
      </c>
      <c r="F319" s="51" t="str">
        <f aca="false">IF($A319="","",N($E113)-N($E319))</f>
        <v/>
      </c>
      <c r="G319" s="51" t="str">
        <f aca="false">IF($A319="","",SUMIFS(工数明細!$G$3:$G$302,工数明細!$B$3:$B$302,$A319,工数明細!$I$3:$I$302,G$212))</f>
        <v/>
      </c>
      <c r="H319" s="51" t="str">
        <f aca="false">IF($A319="","",SUMIFS(工数明細!$G$3:$G$302,工数明細!$B$3:$B$302,$A319,工数明細!$I$3:$I$302,H$212))</f>
        <v/>
      </c>
      <c r="I319" s="51" t="str">
        <f aca="false">IF($A319="","",SUMIFS(工数明細!$G$3:$G$302,工数明細!$B$3:$B$302,$A319,工数明細!$I$3:$I$302,I$212))</f>
        <v/>
      </c>
      <c r="J319" s="51" t="str">
        <f aca="false">IF($A319="","",SUMIFS(工数明細!$G$3:$G$302,工数明細!$B$3:$B$302,$A319,工数明細!$I$3:$I$302,J$212))</f>
        <v/>
      </c>
      <c r="K319" s="51" t="str">
        <f aca="false">IF($A319="","",SUMIFS(工数明細!$G$3:$G$302,工数明細!$B$3:$B$302,$A319,工数明細!$I$3:$I$302,K$212))</f>
        <v/>
      </c>
      <c r="L319" s="51" t="str">
        <f aca="false">IF($A319="","",SUMIFS(工数明細!$G$3:$G$302,工数明細!$B$3:$B$302,$A319,工数明細!$I$3:$I$302,L$212))</f>
        <v/>
      </c>
      <c r="M319" s="51" t="str">
        <f aca="false">IF($A319="","",SUMIFS(工数明細!$G$3:$G$302,工数明細!$B$3:$B$302,$A319,工数明細!$I$3:$I$302,M$212))</f>
        <v/>
      </c>
      <c r="N319" s="51" t="str">
        <f aca="false">IF($A319="","",SUMIFS(工数明細!$G$3:$G$302,工数明細!$B$3:$B$302,$A319,工数明細!$I$3:$I$302,N$212))</f>
        <v/>
      </c>
      <c r="O319" s="51" t="str">
        <f aca="false">IF($A319="","",SUMIFS(工数明細!$G$3:$G$302,工数明細!$B$3:$B$302,$A319,工数明細!$I$3:$I$302,O$212))</f>
        <v/>
      </c>
      <c r="P319" s="51" t="str">
        <f aca="false">IF($A319="","",SUMIFS(工数明細!$G$3:$G$302,工数明細!$B$3:$B$302,$A319,工数明細!$I$3:$I$302,P$212))</f>
        <v/>
      </c>
      <c r="Q319" s="51" t="str">
        <f aca="false">IF($A319="","",SUMIFS(工数明細!$G$3:$G$302,工数明細!$B$3:$B$302,$A319,工数明細!$I$3:$I$302,Q$212))</f>
        <v/>
      </c>
      <c r="R319" s="51" t="str">
        <f aca="false">IF($A319="","",SUMIFS(工数明細!$G$3:$G$302,工数明細!$B$3:$B$302,$A319,工数明細!$I$3:$I$302,R$212))</f>
        <v/>
      </c>
      <c r="S319" s="51" t="str">
        <f aca="false">IF($A319="","",SUMIFS(工数明細!$G$3:$G$302,工数明細!$B$3:$B$302,$A319,工数明細!$I$3:$I$302,S$212))</f>
        <v/>
      </c>
      <c r="T319" s="51" t="str">
        <f aca="false">IF($A319="","",SUMIFS(工数明細!$G$3:$G$302,工数明細!$B$3:$B$302,$A319,工数明細!$I$3:$I$302,T$212))</f>
        <v/>
      </c>
      <c r="U319" s="51" t="str">
        <f aca="false">IF($A319="","",SUMIFS(工数明細!$G$3:$G$302,工数明細!$B$3:$B$302,$A319,工数明細!$I$3:$I$302,U$212))</f>
        <v/>
      </c>
      <c r="V319" s="51" t="str">
        <f aca="false">IF($A319="","",SUMIFS(工数明細!$G$3:$G$302,工数明細!$B$3:$B$302,$A319,工数明細!$I$3:$I$302,V$212))</f>
        <v/>
      </c>
      <c r="W319" s="51" t="str">
        <f aca="false">IF($A319="","",SUMIFS(工数明細!$G$3:$G$302,工数明細!$B$3:$B$302,$A319,工数明細!$I$3:$I$302,W$212))</f>
        <v/>
      </c>
      <c r="X319" s="51" t="str">
        <f aca="false">IF($A319="","",SUMIFS(工数明細!$G$3:$G$302,工数明細!$B$3:$B$302,$A319,工数明細!$I$3:$I$302,X$212))</f>
        <v/>
      </c>
      <c r="Y319" s="51" t="str">
        <f aca="false">IF($A319="","",SUMIFS(工数明細!$G$3:$G$302,工数明細!$B$3:$B$302,$A319,工数明細!$I$3:$I$302,Y$212))</f>
        <v/>
      </c>
      <c r="Z319" s="51" t="str">
        <f aca="false">IF($A319="","",SUMIFS(工数明細!$G$3:$G$302,工数明細!$B$3:$B$302,$A319,工数明細!$I$3:$I$302,Z$212))</f>
        <v/>
      </c>
      <c r="AA319" s="51" t="str">
        <f aca="false">IF($A319="","",SUMIFS(工数明細!$G$3:$G$302,工数明細!$B$3:$B$302,$A319,工数明細!$I$3:$I$302,AA$212))</f>
        <v/>
      </c>
      <c r="AB319" s="51" t="str">
        <f aca="false">IF($A319="","",SUMIFS(工数明細!$G$3:$G$302,工数明細!$B$3:$B$302,$A319,工数明細!$I$3:$I$302,AB$212))</f>
        <v/>
      </c>
      <c r="AC319" s="51" t="str">
        <f aca="false">IF($A319="","",SUMIFS(工数明細!$G$3:$G$302,工数明細!$B$3:$B$302,$A319,工数明細!$I$3:$I$302,AC$212))</f>
        <v/>
      </c>
      <c r="AD319" s="51" t="str">
        <f aca="false">IF($A319="","",SUMIFS(工数明細!$G$3:$G$302,工数明細!$B$3:$B$302,$A319,工数明細!$I$3:$I$302,AD$212))</f>
        <v/>
      </c>
    </row>
    <row r="320" customFormat="false" ht="15.75" hidden="false" customHeight="true" outlineLevel="0" collapsed="false">
      <c r="A320" s="28" t="str">
        <f aca="false">IF(案件管理!$A$109:$A$109="","",案件管理!$A$109:$A$109)</f>
        <v/>
      </c>
      <c r="B320" s="10" t="str">
        <f aca="false">IF($A320="","",案件管理!$B$109:$B$109)</f>
        <v/>
      </c>
      <c r="C320" s="10" t="str">
        <f aca="false">IF($A320="","",案件管理!$D$109:$D$109)</f>
        <v/>
      </c>
      <c r="D320" s="30" t="str">
        <f aca="false">IF($A320="","",案件管理!$AE$109:$AE$109)</f>
        <v/>
      </c>
      <c r="E320" s="30" t="str">
        <f aca="false">IF($A320="","",SUM($G320:$AD320))</f>
        <v/>
      </c>
      <c r="F320" s="51" t="str">
        <f aca="false">IF($A320="","",N($E114)-N($E320))</f>
        <v/>
      </c>
      <c r="G320" s="51" t="str">
        <f aca="false">IF($A320="","",SUMIFS(工数明細!$G$3:$G$302,工数明細!$B$3:$B$302,$A320,工数明細!$I$3:$I$302,G$212))</f>
        <v/>
      </c>
      <c r="H320" s="51" t="str">
        <f aca="false">IF($A320="","",SUMIFS(工数明細!$G$3:$G$302,工数明細!$B$3:$B$302,$A320,工数明細!$I$3:$I$302,H$212))</f>
        <v/>
      </c>
      <c r="I320" s="51" t="str">
        <f aca="false">IF($A320="","",SUMIFS(工数明細!$G$3:$G$302,工数明細!$B$3:$B$302,$A320,工数明細!$I$3:$I$302,I$212))</f>
        <v/>
      </c>
      <c r="J320" s="51" t="str">
        <f aca="false">IF($A320="","",SUMIFS(工数明細!$G$3:$G$302,工数明細!$B$3:$B$302,$A320,工数明細!$I$3:$I$302,J$212))</f>
        <v/>
      </c>
      <c r="K320" s="51" t="str">
        <f aca="false">IF($A320="","",SUMIFS(工数明細!$G$3:$G$302,工数明細!$B$3:$B$302,$A320,工数明細!$I$3:$I$302,K$212))</f>
        <v/>
      </c>
      <c r="L320" s="51" t="str">
        <f aca="false">IF($A320="","",SUMIFS(工数明細!$G$3:$G$302,工数明細!$B$3:$B$302,$A320,工数明細!$I$3:$I$302,L$212))</f>
        <v/>
      </c>
      <c r="M320" s="51" t="str">
        <f aca="false">IF($A320="","",SUMIFS(工数明細!$G$3:$G$302,工数明細!$B$3:$B$302,$A320,工数明細!$I$3:$I$302,M$212))</f>
        <v/>
      </c>
      <c r="N320" s="51" t="str">
        <f aca="false">IF($A320="","",SUMIFS(工数明細!$G$3:$G$302,工数明細!$B$3:$B$302,$A320,工数明細!$I$3:$I$302,N$212))</f>
        <v/>
      </c>
      <c r="O320" s="51" t="str">
        <f aca="false">IF($A320="","",SUMIFS(工数明細!$G$3:$G$302,工数明細!$B$3:$B$302,$A320,工数明細!$I$3:$I$302,O$212))</f>
        <v/>
      </c>
      <c r="P320" s="51" t="str">
        <f aca="false">IF($A320="","",SUMIFS(工数明細!$G$3:$G$302,工数明細!$B$3:$B$302,$A320,工数明細!$I$3:$I$302,P$212))</f>
        <v/>
      </c>
      <c r="Q320" s="51" t="str">
        <f aca="false">IF($A320="","",SUMIFS(工数明細!$G$3:$G$302,工数明細!$B$3:$B$302,$A320,工数明細!$I$3:$I$302,Q$212))</f>
        <v/>
      </c>
      <c r="R320" s="51" t="str">
        <f aca="false">IF($A320="","",SUMIFS(工数明細!$G$3:$G$302,工数明細!$B$3:$B$302,$A320,工数明細!$I$3:$I$302,R$212))</f>
        <v/>
      </c>
      <c r="S320" s="51" t="str">
        <f aca="false">IF($A320="","",SUMIFS(工数明細!$G$3:$G$302,工数明細!$B$3:$B$302,$A320,工数明細!$I$3:$I$302,S$212))</f>
        <v/>
      </c>
      <c r="T320" s="51" t="str">
        <f aca="false">IF($A320="","",SUMIFS(工数明細!$G$3:$G$302,工数明細!$B$3:$B$302,$A320,工数明細!$I$3:$I$302,T$212))</f>
        <v/>
      </c>
      <c r="U320" s="51" t="str">
        <f aca="false">IF($A320="","",SUMIFS(工数明細!$G$3:$G$302,工数明細!$B$3:$B$302,$A320,工数明細!$I$3:$I$302,U$212))</f>
        <v/>
      </c>
      <c r="V320" s="51" t="str">
        <f aca="false">IF($A320="","",SUMIFS(工数明細!$G$3:$G$302,工数明細!$B$3:$B$302,$A320,工数明細!$I$3:$I$302,V$212))</f>
        <v/>
      </c>
      <c r="W320" s="51" t="str">
        <f aca="false">IF($A320="","",SUMIFS(工数明細!$G$3:$G$302,工数明細!$B$3:$B$302,$A320,工数明細!$I$3:$I$302,W$212))</f>
        <v/>
      </c>
      <c r="X320" s="51" t="str">
        <f aca="false">IF($A320="","",SUMIFS(工数明細!$G$3:$G$302,工数明細!$B$3:$B$302,$A320,工数明細!$I$3:$I$302,X$212))</f>
        <v/>
      </c>
      <c r="Y320" s="51" t="str">
        <f aca="false">IF($A320="","",SUMIFS(工数明細!$G$3:$G$302,工数明細!$B$3:$B$302,$A320,工数明細!$I$3:$I$302,Y$212))</f>
        <v/>
      </c>
      <c r="Z320" s="51" t="str">
        <f aca="false">IF($A320="","",SUMIFS(工数明細!$G$3:$G$302,工数明細!$B$3:$B$302,$A320,工数明細!$I$3:$I$302,Z$212))</f>
        <v/>
      </c>
      <c r="AA320" s="51" t="str">
        <f aca="false">IF($A320="","",SUMIFS(工数明細!$G$3:$G$302,工数明細!$B$3:$B$302,$A320,工数明細!$I$3:$I$302,AA$212))</f>
        <v/>
      </c>
      <c r="AB320" s="51" t="str">
        <f aca="false">IF($A320="","",SUMIFS(工数明細!$G$3:$G$302,工数明細!$B$3:$B$302,$A320,工数明細!$I$3:$I$302,AB$212))</f>
        <v/>
      </c>
      <c r="AC320" s="51" t="str">
        <f aca="false">IF($A320="","",SUMIFS(工数明細!$G$3:$G$302,工数明細!$B$3:$B$302,$A320,工数明細!$I$3:$I$302,AC$212))</f>
        <v/>
      </c>
      <c r="AD320" s="51" t="str">
        <f aca="false">IF($A320="","",SUMIFS(工数明細!$G$3:$G$302,工数明細!$B$3:$B$302,$A320,工数明細!$I$3:$I$302,AD$212))</f>
        <v/>
      </c>
    </row>
    <row r="321" customFormat="false" ht="15.75" hidden="false" customHeight="true" outlineLevel="0" collapsed="false">
      <c r="A321" s="28" t="str">
        <f aca="false">IF(案件管理!$A$110:$A$110="","",案件管理!$A$110:$A$110)</f>
        <v/>
      </c>
      <c r="B321" s="10" t="str">
        <f aca="false">IF($A321="","",案件管理!$B$110:$B$110)</f>
        <v/>
      </c>
      <c r="C321" s="10" t="str">
        <f aca="false">IF($A321="","",案件管理!$D$110:$D$110)</f>
        <v/>
      </c>
      <c r="D321" s="30" t="str">
        <f aca="false">IF($A321="","",案件管理!$AE$110:$AE$110)</f>
        <v/>
      </c>
      <c r="E321" s="30" t="str">
        <f aca="false">IF($A321="","",SUM($G321:$AD321))</f>
        <v/>
      </c>
      <c r="F321" s="51" t="str">
        <f aca="false">IF($A321="","",N($E115)-N($E321))</f>
        <v/>
      </c>
      <c r="G321" s="51" t="str">
        <f aca="false">IF($A321="","",SUMIFS(工数明細!$G$3:$G$302,工数明細!$B$3:$B$302,$A321,工数明細!$I$3:$I$302,G$212))</f>
        <v/>
      </c>
      <c r="H321" s="51" t="str">
        <f aca="false">IF($A321="","",SUMIFS(工数明細!$G$3:$G$302,工数明細!$B$3:$B$302,$A321,工数明細!$I$3:$I$302,H$212))</f>
        <v/>
      </c>
      <c r="I321" s="51" t="str">
        <f aca="false">IF($A321="","",SUMIFS(工数明細!$G$3:$G$302,工数明細!$B$3:$B$302,$A321,工数明細!$I$3:$I$302,I$212))</f>
        <v/>
      </c>
      <c r="J321" s="51" t="str">
        <f aca="false">IF($A321="","",SUMIFS(工数明細!$G$3:$G$302,工数明細!$B$3:$B$302,$A321,工数明細!$I$3:$I$302,J$212))</f>
        <v/>
      </c>
      <c r="K321" s="51" t="str">
        <f aca="false">IF($A321="","",SUMIFS(工数明細!$G$3:$G$302,工数明細!$B$3:$B$302,$A321,工数明細!$I$3:$I$302,K$212))</f>
        <v/>
      </c>
      <c r="L321" s="51" t="str">
        <f aca="false">IF($A321="","",SUMIFS(工数明細!$G$3:$G$302,工数明細!$B$3:$B$302,$A321,工数明細!$I$3:$I$302,L$212))</f>
        <v/>
      </c>
      <c r="M321" s="51" t="str">
        <f aca="false">IF($A321="","",SUMIFS(工数明細!$G$3:$G$302,工数明細!$B$3:$B$302,$A321,工数明細!$I$3:$I$302,M$212))</f>
        <v/>
      </c>
      <c r="N321" s="51" t="str">
        <f aca="false">IF($A321="","",SUMIFS(工数明細!$G$3:$G$302,工数明細!$B$3:$B$302,$A321,工数明細!$I$3:$I$302,N$212))</f>
        <v/>
      </c>
      <c r="O321" s="51" t="str">
        <f aca="false">IF($A321="","",SUMIFS(工数明細!$G$3:$G$302,工数明細!$B$3:$B$302,$A321,工数明細!$I$3:$I$302,O$212))</f>
        <v/>
      </c>
      <c r="P321" s="51" t="str">
        <f aca="false">IF($A321="","",SUMIFS(工数明細!$G$3:$G$302,工数明細!$B$3:$B$302,$A321,工数明細!$I$3:$I$302,P$212))</f>
        <v/>
      </c>
      <c r="Q321" s="51" t="str">
        <f aca="false">IF($A321="","",SUMIFS(工数明細!$G$3:$G$302,工数明細!$B$3:$B$302,$A321,工数明細!$I$3:$I$302,Q$212))</f>
        <v/>
      </c>
      <c r="R321" s="51" t="str">
        <f aca="false">IF($A321="","",SUMIFS(工数明細!$G$3:$G$302,工数明細!$B$3:$B$302,$A321,工数明細!$I$3:$I$302,R$212))</f>
        <v/>
      </c>
      <c r="S321" s="51" t="str">
        <f aca="false">IF($A321="","",SUMIFS(工数明細!$G$3:$G$302,工数明細!$B$3:$B$302,$A321,工数明細!$I$3:$I$302,S$212))</f>
        <v/>
      </c>
      <c r="T321" s="51" t="str">
        <f aca="false">IF($A321="","",SUMIFS(工数明細!$G$3:$G$302,工数明細!$B$3:$B$302,$A321,工数明細!$I$3:$I$302,T$212))</f>
        <v/>
      </c>
      <c r="U321" s="51" t="str">
        <f aca="false">IF($A321="","",SUMIFS(工数明細!$G$3:$G$302,工数明細!$B$3:$B$302,$A321,工数明細!$I$3:$I$302,U$212))</f>
        <v/>
      </c>
      <c r="V321" s="51" t="str">
        <f aca="false">IF($A321="","",SUMIFS(工数明細!$G$3:$G$302,工数明細!$B$3:$B$302,$A321,工数明細!$I$3:$I$302,V$212))</f>
        <v/>
      </c>
      <c r="W321" s="51" t="str">
        <f aca="false">IF($A321="","",SUMIFS(工数明細!$G$3:$G$302,工数明細!$B$3:$B$302,$A321,工数明細!$I$3:$I$302,W$212))</f>
        <v/>
      </c>
      <c r="X321" s="51" t="str">
        <f aca="false">IF($A321="","",SUMIFS(工数明細!$G$3:$G$302,工数明細!$B$3:$B$302,$A321,工数明細!$I$3:$I$302,X$212))</f>
        <v/>
      </c>
      <c r="Y321" s="51" t="str">
        <f aca="false">IF($A321="","",SUMIFS(工数明細!$G$3:$G$302,工数明細!$B$3:$B$302,$A321,工数明細!$I$3:$I$302,Y$212))</f>
        <v/>
      </c>
      <c r="Z321" s="51" t="str">
        <f aca="false">IF($A321="","",SUMIFS(工数明細!$G$3:$G$302,工数明細!$B$3:$B$302,$A321,工数明細!$I$3:$I$302,Z$212))</f>
        <v/>
      </c>
      <c r="AA321" s="51" t="str">
        <f aca="false">IF($A321="","",SUMIFS(工数明細!$G$3:$G$302,工数明細!$B$3:$B$302,$A321,工数明細!$I$3:$I$302,AA$212))</f>
        <v/>
      </c>
      <c r="AB321" s="51" t="str">
        <f aca="false">IF($A321="","",SUMIFS(工数明細!$G$3:$G$302,工数明細!$B$3:$B$302,$A321,工数明細!$I$3:$I$302,AB$212))</f>
        <v/>
      </c>
      <c r="AC321" s="51" t="str">
        <f aca="false">IF($A321="","",SUMIFS(工数明細!$G$3:$G$302,工数明細!$B$3:$B$302,$A321,工数明細!$I$3:$I$302,AC$212))</f>
        <v/>
      </c>
      <c r="AD321" s="51" t="str">
        <f aca="false">IF($A321="","",SUMIFS(工数明細!$G$3:$G$302,工数明細!$B$3:$B$302,$A321,工数明細!$I$3:$I$302,AD$212))</f>
        <v/>
      </c>
    </row>
    <row r="322" customFormat="false" ht="15.75" hidden="false" customHeight="true" outlineLevel="0" collapsed="false">
      <c r="A322" s="28" t="str">
        <f aca="false">IF(案件管理!$A$111:$A$111="","",案件管理!$A$111:$A$111)</f>
        <v/>
      </c>
      <c r="B322" s="10" t="str">
        <f aca="false">IF($A322="","",案件管理!$B$111:$B$111)</f>
        <v/>
      </c>
      <c r="C322" s="10" t="str">
        <f aca="false">IF($A322="","",案件管理!$D$111:$D$111)</f>
        <v/>
      </c>
      <c r="D322" s="30" t="str">
        <f aca="false">IF($A322="","",案件管理!$AE$111:$AE$111)</f>
        <v/>
      </c>
      <c r="E322" s="30" t="str">
        <f aca="false">IF($A322="","",SUM($G322:$AD322))</f>
        <v/>
      </c>
      <c r="F322" s="51" t="str">
        <f aca="false">IF($A322="","",N($E116)-N($E322))</f>
        <v/>
      </c>
      <c r="G322" s="51" t="str">
        <f aca="false">IF($A322="","",SUMIFS(工数明細!$G$3:$G$302,工数明細!$B$3:$B$302,$A322,工数明細!$I$3:$I$302,G$212))</f>
        <v/>
      </c>
      <c r="H322" s="51" t="str">
        <f aca="false">IF($A322="","",SUMIFS(工数明細!$G$3:$G$302,工数明細!$B$3:$B$302,$A322,工数明細!$I$3:$I$302,H$212))</f>
        <v/>
      </c>
      <c r="I322" s="51" t="str">
        <f aca="false">IF($A322="","",SUMIFS(工数明細!$G$3:$G$302,工数明細!$B$3:$B$302,$A322,工数明細!$I$3:$I$302,I$212))</f>
        <v/>
      </c>
      <c r="J322" s="51" t="str">
        <f aca="false">IF($A322="","",SUMIFS(工数明細!$G$3:$G$302,工数明細!$B$3:$B$302,$A322,工数明細!$I$3:$I$302,J$212))</f>
        <v/>
      </c>
      <c r="K322" s="51" t="str">
        <f aca="false">IF($A322="","",SUMIFS(工数明細!$G$3:$G$302,工数明細!$B$3:$B$302,$A322,工数明細!$I$3:$I$302,K$212))</f>
        <v/>
      </c>
      <c r="L322" s="51" t="str">
        <f aca="false">IF($A322="","",SUMIFS(工数明細!$G$3:$G$302,工数明細!$B$3:$B$302,$A322,工数明細!$I$3:$I$302,L$212))</f>
        <v/>
      </c>
      <c r="M322" s="51" t="str">
        <f aca="false">IF($A322="","",SUMIFS(工数明細!$G$3:$G$302,工数明細!$B$3:$B$302,$A322,工数明細!$I$3:$I$302,M$212))</f>
        <v/>
      </c>
      <c r="N322" s="51" t="str">
        <f aca="false">IF($A322="","",SUMIFS(工数明細!$G$3:$G$302,工数明細!$B$3:$B$302,$A322,工数明細!$I$3:$I$302,N$212))</f>
        <v/>
      </c>
      <c r="O322" s="51" t="str">
        <f aca="false">IF($A322="","",SUMIFS(工数明細!$G$3:$G$302,工数明細!$B$3:$B$302,$A322,工数明細!$I$3:$I$302,O$212))</f>
        <v/>
      </c>
      <c r="P322" s="51" t="str">
        <f aca="false">IF($A322="","",SUMIFS(工数明細!$G$3:$G$302,工数明細!$B$3:$B$302,$A322,工数明細!$I$3:$I$302,P$212))</f>
        <v/>
      </c>
      <c r="Q322" s="51" t="str">
        <f aca="false">IF($A322="","",SUMIFS(工数明細!$G$3:$G$302,工数明細!$B$3:$B$302,$A322,工数明細!$I$3:$I$302,Q$212))</f>
        <v/>
      </c>
      <c r="R322" s="51" t="str">
        <f aca="false">IF($A322="","",SUMIFS(工数明細!$G$3:$G$302,工数明細!$B$3:$B$302,$A322,工数明細!$I$3:$I$302,R$212))</f>
        <v/>
      </c>
      <c r="S322" s="51" t="str">
        <f aca="false">IF($A322="","",SUMIFS(工数明細!$G$3:$G$302,工数明細!$B$3:$B$302,$A322,工数明細!$I$3:$I$302,S$212))</f>
        <v/>
      </c>
      <c r="T322" s="51" t="str">
        <f aca="false">IF($A322="","",SUMIFS(工数明細!$G$3:$G$302,工数明細!$B$3:$B$302,$A322,工数明細!$I$3:$I$302,T$212))</f>
        <v/>
      </c>
      <c r="U322" s="51" t="str">
        <f aca="false">IF($A322="","",SUMIFS(工数明細!$G$3:$G$302,工数明細!$B$3:$B$302,$A322,工数明細!$I$3:$I$302,U$212))</f>
        <v/>
      </c>
      <c r="V322" s="51" t="str">
        <f aca="false">IF($A322="","",SUMIFS(工数明細!$G$3:$G$302,工数明細!$B$3:$B$302,$A322,工数明細!$I$3:$I$302,V$212))</f>
        <v/>
      </c>
      <c r="W322" s="51" t="str">
        <f aca="false">IF($A322="","",SUMIFS(工数明細!$G$3:$G$302,工数明細!$B$3:$B$302,$A322,工数明細!$I$3:$I$302,W$212))</f>
        <v/>
      </c>
      <c r="X322" s="51" t="str">
        <f aca="false">IF($A322="","",SUMIFS(工数明細!$G$3:$G$302,工数明細!$B$3:$B$302,$A322,工数明細!$I$3:$I$302,X$212))</f>
        <v/>
      </c>
      <c r="Y322" s="51" t="str">
        <f aca="false">IF($A322="","",SUMIFS(工数明細!$G$3:$G$302,工数明細!$B$3:$B$302,$A322,工数明細!$I$3:$I$302,Y$212))</f>
        <v/>
      </c>
      <c r="Z322" s="51" t="str">
        <f aca="false">IF($A322="","",SUMIFS(工数明細!$G$3:$G$302,工数明細!$B$3:$B$302,$A322,工数明細!$I$3:$I$302,Z$212))</f>
        <v/>
      </c>
      <c r="AA322" s="51" t="str">
        <f aca="false">IF($A322="","",SUMIFS(工数明細!$G$3:$G$302,工数明細!$B$3:$B$302,$A322,工数明細!$I$3:$I$302,AA$212))</f>
        <v/>
      </c>
      <c r="AB322" s="51" t="str">
        <f aca="false">IF($A322="","",SUMIFS(工数明細!$G$3:$G$302,工数明細!$B$3:$B$302,$A322,工数明細!$I$3:$I$302,AB$212))</f>
        <v/>
      </c>
      <c r="AC322" s="51" t="str">
        <f aca="false">IF($A322="","",SUMIFS(工数明細!$G$3:$G$302,工数明細!$B$3:$B$302,$A322,工数明細!$I$3:$I$302,AC$212))</f>
        <v/>
      </c>
      <c r="AD322" s="51" t="str">
        <f aca="false">IF($A322="","",SUMIFS(工数明細!$G$3:$G$302,工数明細!$B$3:$B$302,$A322,工数明細!$I$3:$I$302,AD$212))</f>
        <v/>
      </c>
    </row>
    <row r="323" customFormat="false" ht="15.75" hidden="false" customHeight="true" outlineLevel="0" collapsed="false">
      <c r="A323" s="28" t="str">
        <f aca="false">IF(案件管理!$A$112:$A$112="","",案件管理!$A$112:$A$112)</f>
        <v/>
      </c>
      <c r="B323" s="10" t="str">
        <f aca="false">IF($A323="","",案件管理!$B$112:$B$112)</f>
        <v/>
      </c>
      <c r="C323" s="10" t="str">
        <f aca="false">IF($A323="","",案件管理!$D$112:$D$112)</f>
        <v/>
      </c>
      <c r="D323" s="30" t="str">
        <f aca="false">IF($A323="","",案件管理!$AE$112:$AE$112)</f>
        <v/>
      </c>
      <c r="E323" s="30" t="str">
        <f aca="false">IF($A323="","",SUM($G323:$AD323))</f>
        <v/>
      </c>
      <c r="F323" s="51" t="str">
        <f aca="false">IF($A323="","",N($E117)-N($E323))</f>
        <v/>
      </c>
      <c r="G323" s="51" t="str">
        <f aca="false">IF($A323="","",SUMIFS(工数明細!$G$3:$G$302,工数明細!$B$3:$B$302,$A323,工数明細!$I$3:$I$302,G$212))</f>
        <v/>
      </c>
      <c r="H323" s="51" t="str">
        <f aca="false">IF($A323="","",SUMIFS(工数明細!$G$3:$G$302,工数明細!$B$3:$B$302,$A323,工数明細!$I$3:$I$302,H$212))</f>
        <v/>
      </c>
      <c r="I323" s="51" t="str">
        <f aca="false">IF($A323="","",SUMIFS(工数明細!$G$3:$G$302,工数明細!$B$3:$B$302,$A323,工数明細!$I$3:$I$302,I$212))</f>
        <v/>
      </c>
      <c r="J323" s="51" t="str">
        <f aca="false">IF($A323="","",SUMIFS(工数明細!$G$3:$G$302,工数明細!$B$3:$B$302,$A323,工数明細!$I$3:$I$302,J$212))</f>
        <v/>
      </c>
      <c r="K323" s="51" t="str">
        <f aca="false">IF($A323="","",SUMIFS(工数明細!$G$3:$G$302,工数明細!$B$3:$B$302,$A323,工数明細!$I$3:$I$302,K$212))</f>
        <v/>
      </c>
      <c r="L323" s="51" t="str">
        <f aca="false">IF($A323="","",SUMIFS(工数明細!$G$3:$G$302,工数明細!$B$3:$B$302,$A323,工数明細!$I$3:$I$302,L$212))</f>
        <v/>
      </c>
      <c r="M323" s="51" t="str">
        <f aca="false">IF($A323="","",SUMIFS(工数明細!$G$3:$G$302,工数明細!$B$3:$B$302,$A323,工数明細!$I$3:$I$302,M$212))</f>
        <v/>
      </c>
      <c r="N323" s="51" t="str">
        <f aca="false">IF($A323="","",SUMIFS(工数明細!$G$3:$G$302,工数明細!$B$3:$B$302,$A323,工数明細!$I$3:$I$302,N$212))</f>
        <v/>
      </c>
      <c r="O323" s="51" t="str">
        <f aca="false">IF($A323="","",SUMIFS(工数明細!$G$3:$G$302,工数明細!$B$3:$B$302,$A323,工数明細!$I$3:$I$302,O$212))</f>
        <v/>
      </c>
      <c r="P323" s="51" t="str">
        <f aca="false">IF($A323="","",SUMIFS(工数明細!$G$3:$G$302,工数明細!$B$3:$B$302,$A323,工数明細!$I$3:$I$302,P$212))</f>
        <v/>
      </c>
      <c r="Q323" s="51" t="str">
        <f aca="false">IF($A323="","",SUMIFS(工数明細!$G$3:$G$302,工数明細!$B$3:$B$302,$A323,工数明細!$I$3:$I$302,Q$212))</f>
        <v/>
      </c>
      <c r="R323" s="51" t="str">
        <f aca="false">IF($A323="","",SUMIFS(工数明細!$G$3:$G$302,工数明細!$B$3:$B$302,$A323,工数明細!$I$3:$I$302,R$212))</f>
        <v/>
      </c>
      <c r="S323" s="51" t="str">
        <f aca="false">IF($A323="","",SUMIFS(工数明細!$G$3:$G$302,工数明細!$B$3:$B$302,$A323,工数明細!$I$3:$I$302,S$212))</f>
        <v/>
      </c>
      <c r="T323" s="51" t="str">
        <f aca="false">IF($A323="","",SUMIFS(工数明細!$G$3:$G$302,工数明細!$B$3:$B$302,$A323,工数明細!$I$3:$I$302,T$212))</f>
        <v/>
      </c>
      <c r="U323" s="51" t="str">
        <f aca="false">IF($A323="","",SUMIFS(工数明細!$G$3:$G$302,工数明細!$B$3:$B$302,$A323,工数明細!$I$3:$I$302,U$212))</f>
        <v/>
      </c>
      <c r="V323" s="51" t="str">
        <f aca="false">IF($A323="","",SUMIFS(工数明細!$G$3:$G$302,工数明細!$B$3:$B$302,$A323,工数明細!$I$3:$I$302,V$212))</f>
        <v/>
      </c>
      <c r="W323" s="51" t="str">
        <f aca="false">IF($A323="","",SUMIFS(工数明細!$G$3:$G$302,工数明細!$B$3:$B$302,$A323,工数明細!$I$3:$I$302,W$212))</f>
        <v/>
      </c>
      <c r="X323" s="51" t="str">
        <f aca="false">IF($A323="","",SUMIFS(工数明細!$G$3:$G$302,工数明細!$B$3:$B$302,$A323,工数明細!$I$3:$I$302,X$212))</f>
        <v/>
      </c>
      <c r="Y323" s="51" t="str">
        <f aca="false">IF($A323="","",SUMIFS(工数明細!$G$3:$G$302,工数明細!$B$3:$B$302,$A323,工数明細!$I$3:$I$302,Y$212))</f>
        <v/>
      </c>
      <c r="Z323" s="51" t="str">
        <f aca="false">IF($A323="","",SUMIFS(工数明細!$G$3:$G$302,工数明細!$B$3:$B$302,$A323,工数明細!$I$3:$I$302,Z$212))</f>
        <v/>
      </c>
      <c r="AA323" s="51" t="str">
        <f aca="false">IF($A323="","",SUMIFS(工数明細!$G$3:$G$302,工数明細!$B$3:$B$302,$A323,工数明細!$I$3:$I$302,AA$212))</f>
        <v/>
      </c>
      <c r="AB323" s="51" t="str">
        <f aca="false">IF($A323="","",SUMIFS(工数明細!$G$3:$G$302,工数明細!$B$3:$B$302,$A323,工数明細!$I$3:$I$302,AB$212))</f>
        <v/>
      </c>
      <c r="AC323" s="51" t="str">
        <f aca="false">IF($A323="","",SUMIFS(工数明細!$G$3:$G$302,工数明細!$B$3:$B$302,$A323,工数明細!$I$3:$I$302,AC$212))</f>
        <v/>
      </c>
      <c r="AD323" s="51" t="str">
        <f aca="false">IF($A323="","",SUMIFS(工数明細!$G$3:$G$302,工数明細!$B$3:$B$302,$A323,工数明細!$I$3:$I$302,AD$212))</f>
        <v/>
      </c>
    </row>
    <row r="324" customFormat="false" ht="15.75" hidden="false" customHeight="true" outlineLevel="0" collapsed="false">
      <c r="A324" s="28" t="str">
        <f aca="false">IF(案件管理!$A$113:$A$113="","",案件管理!$A$113:$A$113)</f>
        <v/>
      </c>
      <c r="B324" s="10" t="str">
        <f aca="false">IF($A324="","",案件管理!$B$113:$B$113)</f>
        <v/>
      </c>
      <c r="C324" s="10" t="str">
        <f aca="false">IF($A324="","",案件管理!$D$113:$D$113)</f>
        <v/>
      </c>
      <c r="D324" s="30" t="str">
        <f aca="false">IF($A324="","",案件管理!$AE$113:$AE$113)</f>
        <v/>
      </c>
      <c r="E324" s="30" t="str">
        <f aca="false">IF($A324="","",SUM($G324:$AD324))</f>
        <v/>
      </c>
      <c r="F324" s="51" t="str">
        <f aca="false">IF($A324="","",N($E118)-N($E324))</f>
        <v/>
      </c>
      <c r="G324" s="51" t="str">
        <f aca="false">IF($A324="","",SUMIFS(工数明細!$G$3:$G$302,工数明細!$B$3:$B$302,$A324,工数明細!$I$3:$I$302,G$212))</f>
        <v/>
      </c>
      <c r="H324" s="51" t="str">
        <f aca="false">IF($A324="","",SUMIFS(工数明細!$G$3:$G$302,工数明細!$B$3:$B$302,$A324,工数明細!$I$3:$I$302,H$212))</f>
        <v/>
      </c>
      <c r="I324" s="51" t="str">
        <f aca="false">IF($A324="","",SUMIFS(工数明細!$G$3:$G$302,工数明細!$B$3:$B$302,$A324,工数明細!$I$3:$I$302,I$212))</f>
        <v/>
      </c>
      <c r="J324" s="51" t="str">
        <f aca="false">IF($A324="","",SUMIFS(工数明細!$G$3:$G$302,工数明細!$B$3:$B$302,$A324,工数明細!$I$3:$I$302,J$212))</f>
        <v/>
      </c>
      <c r="K324" s="51" t="str">
        <f aca="false">IF($A324="","",SUMIFS(工数明細!$G$3:$G$302,工数明細!$B$3:$B$302,$A324,工数明細!$I$3:$I$302,K$212))</f>
        <v/>
      </c>
      <c r="L324" s="51" t="str">
        <f aca="false">IF($A324="","",SUMIFS(工数明細!$G$3:$G$302,工数明細!$B$3:$B$302,$A324,工数明細!$I$3:$I$302,L$212))</f>
        <v/>
      </c>
      <c r="M324" s="51" t="str">
        <f aca="false">IF($A324="","",SUMIFS(工数明細!$G$3:$G$302,工数明細!$B$3:$B$302,$A324,工数明細!$I$3:$I$302,M$212))</f>
        <v/>
      </c>
      <c r="N324" s="51" t="str">
        <f aca="false">IF($A324="","",SUMIFS(工数明細!$G$3:$G$302,工数明細!$B$3:$B$302,$A324,工数明細!$I$3:$I$302,N$212))</f>
        <v/>
      </c>
      <c r="O324" s="51" t="str">
        <f aca="false">IF($A324="","",SUMIFS(工数明細!$G$3:$G$302,工数明細!$B$3:$B$302,$A324,工数明細!$I$3:$I$302,O$212))</f>
        <v/>
      </c>
      <c r="P324" s="51" t="str">
        <f aca="false">IF($A324="","",SUMIFS(工数明細!$G$3:$G$302,工数明細!$B$3:$B$302,$A324,工数明細!$I$3:$I$302,P$212))</f>
        <v/>
      </c>
      <c r="Q324" s="51" t="str">
        <f aca="false">IF($A324="","",SUMIFS(工数明細!$G$3:$G$302,工数明細!$B$3:$B$302,$A324,工数明細!$I$3:$I$302,Q$212))</f>
        <v/>
      </c>
      <c r="R324" s="51" t="str">
        <f aca="false">IF($A324="","",SUMIFS(工数明細!$G$3:$G$302,工数明細!$B$3:$B$302,$A324,工数明細!$I$3:$I$302,R$212))</f>
        <v/>
      </c>
      <c r="S324" s="51" t="str">
        <f aca="false">IF($A324="","",SUMIFS(工数明細!$G$3:$G$302,工数明細!$B$3:$B$302,$A324,工数明細!$I$3:$I$302,S$212))</f>
        <v/>
      </c>
      <c r="T324" s="51" t="str">
        <f aca="false">IF($A324="","",SUMIFS(工数明細!$G$3:$G$302,工数明細!$B$3:$B$302,$A324,工数明細!$I$3:$I$302,T$212))</f>
        <v/>
      </c>
      <c r="U324" s="51" t="str">
        <f aca="false">IF($A324="","",SUMIFS(工数明細!$G$3:$G$302,工数明細!$B$3:$B$302,$A324,工数明細!$I$3:$I$302,U$212))</f>
        <v/>
      </c>
      <c r="V324" s="51" t="str">
        <f aca="false">IF($A324="","",SUMIFS(工数明細!$G$3:$G$302,工数明細!$B$3:$B$302,$A324,工数明細!$I$3:$I$302,V$212))</f>
        <v/>
      </c>
      <c r="W324" s="51" t="str">
        <f aca="false">IF($A324="","",SUMIFS(工数明細!$G$3:$G$302,工数明細!$B$3:$B$302,$A324,工数明細!$I$3:$I$302,W$212))</f>
        <v/>
      </c>
      <c r="X324" s="51" t="str">
        <f aca="false">IF($A324="","",SUMIFS(工数明細!$G$3:$G$302,工数明細!$B$3:$B$302,$A324,工数明細!$I$3:$I$302,X$212))</f>
        <v/>
      </c>
      <c r="Y324" s="51" t="str">
        <f aca="false">IF($A324="","",SUMIFS(工数明細!$G$3:$G$302,工数明細!$B$3:$B$302,$A324,工数明細!$I$3:$I$302,Y$212))</f>
        <v/>
      </c>
      <c r="Z324" s="51" t="str">
        <f aca="false">IF($A324="","",SUMIFS(工数明細!$G$3:$G$302,工数明細!$B$3:$B$302,$A324,工数明細!$I$3:$I$302,Z$212))</f>
        <v/>
      </c>
      <c r="AA324" s="51" t="str">
        <f aca="false">IF($A324="","",SUMIFS(工数明細!$G$3:$G$302,工数明細!$B$3:$B$302,$A324,工数明細!$I$3:$I$302,AA$212))</f>
        <v/>
      </c>
      <c r="AB324" s="51" t="str">
        <f aca="false">IF($A324="","",SUMIFS(工数明細!$G$3:$G$302,工数明細!$B$3:$B$302,$A324,工数明細!$I$3:$I$302,AB$212))</f>
        <v/>
      </c>
      <c r="AC324" s="51" t="str">
        <f aca="false">IF($A324="","",SUMIFS(工数明細!$G$3:$G$302,工数明細!$B$3:$B$302,$A324,工数明細!$I$3:$I$302,AC$212))</f>
        <v/>
      </c>
      <c r="AD324" s="51" t="str">
        <f aca="false">IF($A324="","",SUMIFS(工数明細!$G$3:$G$302,工数明細!$B$3:$B$302,$A324,工数明細!$I$3:$I$302,AD$212))</f>
        <v/>
      </c>
    </row>
    <row r="325" customFormat="false" ht="15.75" hidden="false" customHeight="true" outlineLevel="0" collapsed="false">
      <c r="A325" s="28" t="str">
        <f aca="false">IF(案件管理!$A$114:$A$114="","",案件管理!$A$114:$A$114)</f>
        <v/>
      </c>
      <c r="B325" s="10" t="str">
        <f aca="false">IF($A325="","",案件管理!$B$114:$B$114)</f>
        <v/>
      </c>
      <c r="C325" s="10" t="str">
        <f aca="false">IF($A325="","",案件管理!$D$114:$D$114)</f>
        <v/>
      </c>
      <c r="D325" s="30" t="str">
        <f aca="false">IF($A325="","",案件管理!$AE$114:$AE$114)</f>
        <v/>
      </c>
      <c r="E325" s="30" t="str">
        <f aca="false">IF($A325="","",SUM($G325:$AD325))</f>
        <v/>
      </c>
      <c r="F325" s="51" t="str">
        <f aca="false">IF($A325="","",N($E119)-N($E325))</f>
        <v/>
      </c>
      <c r="G325" s="51" t="str">
        <f aca="false">IF($A325="","",SUMIFS(工数明細!$G$3:$G$302,工数明細!$B$3:$B$302,$A325,工数明細!$I$3:$I$302,G$212))</f>
        <v/>
      </c>
      <c r="H325" s="51" t="str">
        <f aca="false">IF($A325="","",SUMIFS(工数明細!$G$3:$G$302,工数明細!$B$3:$B$302,$A325,工数明細!$I$3:$I$302,H$212))</f>
        <v/>
      </c>
      <c r="I325" s="51" t="str">
        <f aca="false">IF($A325="","",SUMIFS(工数明細!$G$3:$G$302,工数明細!$B$3:$B$302,$A325,工数明細!$I$3:$I$302,I$212))</f>
        <v/>
      </c>
      <c r="J325" s="51" t="str">
        <f aca="false">IF($A325="","",SUMIFS(工数明細!$G$3:$G$302,工数明細!$B$3:$B$302,$A325,工数明細!$I$3:$I$302,J$212))</f>
        <v/>
      </c>
      <c r="K325" s="51" t="str">
        <f aca="false">IF($A325="","",SUMIFS(工数明細!$G$3:$G$302,工数明細!$B$3:$B$302,$A325,工数明細!$I$3:$I$302,K$212))</f>
        <v/>
      </c>
      <c r="L325" s="51" t="str">
        <f aca="false">IF($A325="","",SUMIFS(工数明細!$G$3:$G$302,工数明細!$B$3:$B$302,$A325,工数明細!$I$3:$I$302,L$212))</f>
        <v/>
      </c>
      <c r="M325" s="51" t="str">
        <f aca="false">IF($A325="","",SUMIFS(工数明細!$G$3:$G$302,工数明細!$B$3:$B$302,$A325,工数明細!$I$3:$I$302,M$212))</f>
        <v/>
      </c>
      <c r="N325" s="51" t="str">
        <f aca="false">IF($A325="","",SUMIFS(工数明細!$G$3:$G$302,工数明細!$B$3:$B$302,$A325,工数明細!$I$3:$I$302,N$212))</f>
        <v/>
      </c>
      <c r="O325" s="51" t="str">
        <f aca="false">IF($A325="","",SUMIFS(工数明細!$G$3:$G$302,工数明細!$B$3:$B$302,$A325,工数明細!$I$3:$I$302,O$212))</f>
        <v/>
      </c>
      <c r="P325" s="51" t="str">
        <f aca="false">IF($A325="","",SUMIFS(工数明細!$G$3:$G$302,工数明細!$B$3:$B$302,$A325,工数明細!$I$3:$I$302,P$212))</f>
        <v/>
      </c>
      <c r="Q325" s="51" t="str">
        <f aca="false">IF($A325="","",SUMIFS(工数明細!$G$3:$G$302,工数明細!$B$3:$B$302,$A325,工数明細!$I$3:$I$302,Q$212))</f>
        <v/>
      </c>
      <c r="R325" s="51" t="str">
        <f aca="false">IF($A325="","",SUMIFS(工数明細!$G$3:$G$302,工数明細!$B$3:$B$302,$A325,工数明細!$I$3:$I$302,R$212))</f>
        <v/>
      </c>
      <c r="S325" s="51" t="str">
        <f aca="false">IF($A325="","",SUMIFS(工数明細!$G$3:$G$302,工数明細!$B$3:$B$302,$A325,工数明細!$I$3:$I$302,S$212))</f>
        <v/>
      </c>
      <c r="T325" s="51" t="str">
        <f aca="false">IF($A325="","",SUMIFS(工数明細!$G$3:$G$302,工数明細!$B$3:$B$302,$A325,工数明細!$I$3:$I$302,T$212))</f>
        <v/>
      </c>
      <c r="U325" s="51" t="str">
        <f aca="false">IF($A325="","",SUMIFS(工数明細!$G$3:$G$302,工数明細!$B$3:$B$302,$A325,工数明細!$I$3:$I$302,U$212))</f>
        <v/>
      </c>
      <c r="V325" s="51" t="str">
        <f aca="false">IF($A325="","",SUMIFS(工数明細!$G$3:$G$302,工数明細!$B$3:$B$302,$A325,工数明細!$I$3:$I$302,V$212))</f>
        <v/>
      </c>
      <c r="W325" s="51" t="str">
        <f aca="false">IF($A325="","",SUMIFS(工数明細!$G$3:$G$302,工数明細!$B$3:$B$302,$A325,工数明細!$I$3:$I$302,W$212))</f>
        <v/>
      </c>
      <c r="X325" s="51" t="str">
        <f aca="false">IF($A325="","",SUMIFS(工数明細!$G$3:$G$302,工数明細!$B$3:$B$302,$A325,工数明細!$I$3:$I$302,X$212))</f>
        <v/>
      </c>
      <c r="Y325" s="51" t="str">
        <f aca="false">IF($A325="","",SUMIFS(工数明細!$G$3:$G$302,工数明細!$B$3:$B$302,$A325,工数明細!$I$3:$I$302,Y$212))</f>
        <v/>
      </c>
      <c r="Z325" s="51" t="str">
        <f aca="false">IF($A325="","",SUMIFS(工数明細!$G$3:$G$302,工数明細!$B$3:$B$302,$A325,工数明細!$I$3:$I$302,Z$212))</f>
        <v/>
      </c>
      <c r="AA325" s="51" t="str">
        <f aca="false">IF($A325="","",SUMIFS(工数明細!$G$3:$G$302,工数明細!$B$3:$B$302,$A325,工数明細!$I$3:$I$302,AA$212))</f>
        <v/>
      </c>
      <c r="AB325" s="51" t="str">
        <f aca="false">IF($A325="","",SUMIFS(工数明細!$G$3:$G$302,工数明細!$B$3:$B$302,$A325,工数明細!$I$3:$I$302,AB$212))</f>
        <v/>
      </c>
      <c r="AC325" s="51" t="str">
        <f aca="false">IF($A325="","",SUMIFS(工数明細!$G$3:$G$302,工数明細!$B$3:$B$302,$A325,工数明細!$I$3:$I$302,AC$212))</f>
        <v/>
      </c>
      <c r="AD325" s="51" t="str">
        <f aca="false">IF($A325="","",SUMIFS(工数明細!$G$3:$G$302,工数明細!$B$3:$B$302,$A325,工数明細!$I$3:$I$302,AD$212))</f>
        <v/>
      </c>
    </row>
    <row r="326" customFormat="false" ht="15.75" hidden="false" customHeight="true" outlineLevel="0" collapsed="false">
      <c r="A326" s="28" t="str">
        <f aca="false">IF(案件管理!$A$115:$A$115="","",案件管理!$A$115:$A$115)</f>
        <v/>
      </c>
      <c r="B326" s="10" t="str">
        <f aca="false">IF($A326="","",案件管理!$B$115:$B$115)</f>
        <v/>
      </c>
      <c r="C326" s="10" t="str">
        <f aca="false">IF($A326="","",案件管理!$D$115:$D$115)</f>
        <v/>
      </c>
      <c r="D326" s="30" t="str">
        <f aca="false">IF($A326="","",案件管理!$AE$115:$AE$115)</f>
        <v/>
      </c>
      <c r="E326" s="30" t="str">
        <f aca="false">IF($A326="","",SUM($G326:$AD326))</f>
        <v/>
      </c>
      <c r="F326" s="51" t="str">
        <f aca="false">IF($A326="","",N($E120)-N($E326))</f>
        <v/>
      </c>
      <c r="G326" s="51" t="str">
        <f aca="false">IF($A326="","",SUMIFS(工数明細!$G$3:$G$302,工数明細!$B$3:$B$302,$A326,工数明細!$I$3:$I$302,G$212))</f>
        <v/>
      </c>
      <c r="H326" s="51" t="str">
        <f aca="false">IF($A326="","",SUMIFS(工数明細!$G$3:$G$302,工数明細!$B$3:$B$302,$A326,工数明細!$I$3:$I$302,H$212))</f>
        <v/>
      </c>
      <c r="I326" s="51" t="str">
        <f aca="false">IF($A326="","",SUMIFS(工数明細!$G$3:$G$302,工数明細!$B$3:$B$302,$A326,工数明細!$I$3:$I$302,I$212))</f>
        <v/>
      </c>
      <c r="J326" s="51" t="str">
        <f aca="false">IF($A326="","",SUMIFS(工数明細!$G$3:$G$302,工数明細!$B$3:$B$302,$A326,工数明細!$I$3:$I$302,J$212))</f>
        <v/>
      </c>
      <c r="K326" s="51" t="str">
        <f aca="false">IF($A326="","",SUMIFS(工数明細!$G$3:$G$302,工数明細!$B$3:$B$302,$A326,工数明細!$I$3:$I$302,K$212))</f>
        <v/>
      </c>
      <c r="L326" s="51" t="str">
        <f aca="false">IF($A326="","",SUMIFS(工数明細!$G$3:$G$302,工数明細!$B$3:$B$302,$A326,工数明細!$I$3:$I$302,L$212))</f>
        <v/>
      </c>
      <c r="M326" s="51" t="str">
        <f aca="false">IF($A326="","",SUMIFS(工数明細!$G$3:$G$302,工数明細!$B$3:$B$302,$A326,工数明細!$I$3:$I$302,M$212))</f>
        <v/>
      </c>
      <c r="N326" s="51" t="str">
        <f aca="false">IF($A326="","",SUMIFS(工数明細!$G$3:$G$302,工数明細!$B$3:$B$302,$A326,工数明細!$I$3:$I$302,N$212))</f>
        <v/>
      </c>
      <c r="O326" s="51" t="str">
        <f aca="false">IF($A326="","",SUMIFS(工数明細!$G$3:$G$302,工数明細!$B$3:$B$302,$A326,工数明細!$I$3:$I$302,O$212))</f>
        <v/>
      </c>
      <c r="P326" s="51" t="str">
        <f aca="false">IF($A326="","",SUMIFS(工数明細!$G$3:$G$302,工数明細!$B$3:$B$302,$A326,工数明細!$I$3:$I$302,P$212))</f>
        <v/>
      </c>
      <c r="Q326" s="51" t="str">
        <f aca="false">IF($A326="","",SUMIFS(工数明細!$G$3:$G$302,工数明細!$B$3:$B$302,$A326,工数明細!$I$3:$I$302,Q$212))</f>
        <v/>
      </c>
      <c r="R326" s="51" t="str">
        <f aca="false">IF($A326="","",SUMIFS(工数明細!$G$3:$G$302,工数明細!$B$3:$B$302,$A326,工数明細!$I$3:$I$302,R$212))</f>
        <v/>
      </c>
      <c r="S326" s="51" t="str">
        <f aca="false">IF($A326="","",SUMIFS(工数明細!$G$3:$G$302,工数明細!$B$3:$B$302,$A326,工数明細!$I$3:$I$302,S$212))</f>
        <v/>
      </c>
      <c r="T326" s="51" t="str">
        <f aca="false">IF($A326="","",SUMIFS(工数明細!$G$3:$G$302,工数明細!$B$3:$B$302,$A326,工数明細!$I$3:$I$302,T$212))</f>
        <v/>
      </c>
      <c r="U326" s="51" t="str">
        <f aca="false">IF($A326="","",SUMIFS(工数明細!$G$3:$G$302,工数明細!$B$3:$B$302,$A326,工数明細!$I$3:$I$302,U$212))</f>
        <v/>
      </c>
      <c r="V326" s="51" t="str">
        <f aca="false">IF($A326="","",SUMIFS(工数明細!$G$3:$G$302,工数明細!$B$3:$B$302,$A326,工数明細!$I$3:$I$302,V$212))</f>
        <v/>
      </c>
      <c r="W326" s="51" t="str">
        <f aca="false">IF($A326="","",SUMIFS(工数明細!$G$3:$G$302,工数明細!$B$3:$B$302,$A326,工数明細!$I$3:$I$302,W$212))</f>
        <v/>
      </c>
      <c r="X326" s="51" t="str">
        <f aca="false">IF($A326="","",SUMIFS(工数明細!$G$3:$G$302,工数明細!$B$3:$B$302,$A326,工数明細!$I$3:$I$302,X$212))</f>
        <v/>
      </c>
      <c r="Y326" s="51" t="str">
        <f aca="false">IF($A326="","",SUMIFS(工数明細!$G$3:$G$302,工数明細!$B$3:$B$302,$A326,工数明細!$I$3:$I$302,Y$212))</f>
        <v/>
      </c>
      <c r="Z326" s="51" t="str">
        <f aca="false">IF($A326="","",SUMIFS(工数明細!$G$3:$G$302,工数明細!$B$3:$B$302,$A326,工数明細!$I$3:$I$302,Z$212))</f>
        <v/>
      </c>
      <c r="AA326" s="51" t="str">
        <f aca="false">IF($A326="","",SUMIFS(工数明細!$G$3:$G$302,工数明細!$B$3:$B$302,$A326,工数明細!$I$3:$I$302,AA$212))</f>
        <v/>
      </c>
      <c r="AB326" s="51" t="str">
        <f aca="false">IF($A326="","",SUMIFS(工数明細!$G$3:$G$302,工数明細!$B$3:$B$302,$A326,工数明細!$I$3:$I$302,AB$212))</f>
        <v/>
      </c>
      <c r="AC326" s="51" t="str">
        <f aca="false">IF($A326="","",SUMIFS(工数明細!$G$3:$G$302,工数明細!$B$3:$B$302,$A326,工数明細!$I$3:$I$302,AC$212))</f>
        <v/>
      </c>
      <c r="AD326" s="51" t="str">
        <f aca="false">IF($A326="","",SUMIFS(工数明細!$G$3:$G$302,工数明細!$B$3:$B$302,$A326,工数明細!$I$3:$I$302,AD$212))</f>
        <v/>
      </c>
    </row>
    <row r="327" customFormat="false" ht="15.75" hidden="false" customHeight="true" outlineLevel="0" collapsed="false">
      <c r="A327" s="28" t="str">
        <f aca="false">IF(案件管理!$A$116:$A$116="","",案件管理!$A$116:$A$116)</f>
        <v/>
      </c>
      <c r="B327" s="10" t="str">
        <f aca="false">IF($A327="","",案件管理!$B$116:$B$116)</f>
        <v/>
      </c>
      <c r="C327" s="10" t="str">
        <f aca="false">IF($A327="","",案件管理!$D$116:$D$116)</f>
        <v/>
      </c>
      <c r="D327" s="30" t="str">
        <f aca="false">IF($A327="","",案件管理!$AE$116:$AE$116)</f>
        <v/>
      </c>
      <c r="E327" s="30" t="str">
        <f aca="false">IF($A327="","",SUM($G327:$AD327))</f>
        <v/>
      </c>
      <c r="F327" s="51" t="str">
        <f aca="false">IF($A327="","",N($E121)-N($E327))</f>
        <v/>
      </c>
      <c r="G327" s="51" t="str">
        <f aca="false">IF($A327="","",SUMIFS(工数明細!$G$3:$G$302,工数明細!$B$3:$B$302,$A327,工数明細!$I$3:$I$302,G$212))</f>
        <v/>
      </c>
      <c r="H327" s="51" t="str">
        <f aca="false">IF($A327="","",SUMIFS(工数明細!$G$3:$G$302,工数明細!$B$3:$B$302,$A327,工数明細!$I$3:$I$302,H$212))</f>
        <v/>
      </c>
      <c r="I327" s="51" t="str">
        <f aca="false">IF($A327="","",SUMIFS(工数明細!$G$3:$G$302,工数明細!$B$3:$B$302,$A327,工数明細!$I$3:$I$302,I$212))</f>
        <v/>
      </c>
      <c r="J327" s="51" t="str">
        <f aca="false">IF($A327="","",SUMIFS(工数明細!$G$3:$G$302,工数明細!$B$3:$B$302,$A327,工数明細!$I$3:$I$302,J$212))</f>
        <v/>
      </c>
      <c r="K327" s="51" t="str">
        <f aca="false">IF($A327="","",SUMIFS(工数明細!$G$3:$G$302,工数明細!$B$3:$B$302,$A327,工数明細!$I$3:$I$302,K$212))</f>
        <v/>
      </c>
      <c r="L327" s="51" t="str">
        <f aca="false">IF($A327="","",SUMIFS(工数明細!$G$3:$G$302,工数明細!$B$3:$B$302,$A327,工数明細!$I$3:$I$302,L$212))</f>
        <v/>
      </c>
      <c r="M327" s="51" t="str">
        <f aca="false">IF($A327="","",SUMIFS(工数明細!$G$3:$G$302,工数明細!$B$3:$B$302,$A327,工数明細!$I$3:$I$302,M$212))</f>
        <v/>
      </c>
      <c r="N327" s="51" t="str">
        <f aca="false">IF($A327="","",SUMIFS(工数明細!$G$3:$G$302,工数明細!$B$3:$B$302,$A327,工数明細!$I$3:$I$302,N$212))</f>
        <v/>
      </c>
      <c r="O327" s="51" t="str">
        <f aca="false">IF($A327="","",SUMIFS(工数明細!$G$3:$G$302,工数明細!$B$3:$B$302,$A327,工数明細!$I$3:$I$302,O$212))</f>
        <v/>
      </c>
      <c r="P327" s="51" t="str">
        <f aca="false">IF($A327="","",SUMIFS(工数明細!$G$3:$G$302,工数明細!$B$3:$B$302,$A327,工数明細!$I$3:$I$302,P$212))</f>
        <v/>
      </c>
      <c r="Q327" s="51" t="str">
        <f aca="false">IF($A327="","",SUMIFS(工数明細!$G$3:$G$302,工数明細!$B$3:$B$302,$A327,工数明細!$I$3:$I$302,Q$212))</f>
        <v/>
      </c>
      <c r="R327" s="51" t="str">
        <f aca="false">IF($A327="","",SUMIFS(工数明細!$G$3:$G$302,工数明細!$B$3:$B$302,$A327,工数明細!$I$3:$I$302,R$212))</f>
        <v/>
      </c>
      <c r="S327" s="51" t="str">
        <f aca="false">IF($A327="","",SUMIFS(工数明細!$G$3:$G$302,工数明細!$B$3:$B$302,$A327,工数明細!$I$3:$I$302,S$212))</f>
        <v/>
      </c>
      <c r="T327" s="51" t="str">
        <f aca="false">IF($A327="","",SUMIFS(工数明細!$G$3:$G$302,工数明細!$B$3:$B$302,$A327,工数明細!$I$3:$I$302,T$212))</f>
        <v/>
      </c>
      <c r="U327" s="51" t="str">
        <f aca="false">IF($A327="","",SUMIFS(工数明細!$G$3:$G$302,工数明細!$B$3:$B$302,$A327,工数明細!$I$3:$I$302,U$212))</f>
        <v/>
      </c>
      <c r="V327" s="51" t="str">
        <f aca="false">IF($A327="","",SUMIFS(工数明細!$G$3:$G$302,工数明細!$B$3:$B$302,$A327,工数明細!$I$3:$I$302,V$212))</f>
        <v/>
      </c>
      <c r="W327" s="51" t="str">
        <f aca="false">IF($A327="","",SUMIFS(工数明細!$G$3:$G$302,工数明細!$B$3:$B$302,$A327,工数明細!$I$3:$I$302,W$212))</f>
        <v/>
      </c>
      <c r="X327" s="51" t="str">
        <f aca="false">IF($A327="","",SUMIFS(工数明細!$G$3:$G$302,工数明細!$B$3:$B$302,$A327,工数明細!$I$3:$I$302,X$212))</f>
        <v/>
      </c>
      <c r="Y327" s="51" t="str">
        <f aca="false">IF($A327="","",SUMIFS(工数明細!$G$3:$G$302,工数明細!$B$3:$B$302,$A327,工数明細!$I$3:$I$302,Y$212))</f>
        <v/>
      </c>
      <c r="Z327" s="51" t="str">
        <f aca="false">IF($A327="","",SUMIFS(工数明細!$G$3:$G$302,工数明細!$B$3:$B$302,$A327,工数明細!$I$3:$I$302,Z$212))</f>
        <v/>
      </c>
      <c r="AA327" s="51" t="str">
        <f aca="false">IF($A327="","",SUMIFS(工数明細!$G$3:$G$302,工数明細!$B$3:$B$302,$A327,工数明細!$I$3:$I$302,AA$212))</f>
        <v/>
      </c>
      <c r="AB327" s="51" t="str">
        <f aca="false">IF($A327="","",SUMIFS(工数明細!$G$3:$G$302,工数明細!$B$3:$B$302,$A327,工数明細!$I$3:$I$302,AB$212))</f>
        <v/>
      </c>
      <c r="AC327" s="51" t="str">
        <f aca="false">IF($A327="","",SUMIFS(工数明細!$G$3:$G$302,工数明細!$B$3:$B$302,$A327,工数明細!$I$3:$I$302,AC$212))</f>
        <v/>
      </c>
      <c r="AD327" s="51" t="str">
        <f aca="false">IF($A327="","",SUMIFS(工数明細!$G$3:$G$302,工数明細!$B$3:$B$302,$A327,工数明細!$I$3:$I$302,AD$212))</f>
        <v/>
      </c>
    </row>
    <row r="328" customFormat="false" ht="15.75" hidden="false" customHeight="true" outlineLevel="0" collapsed="false">
      <c r="A328" s="28" t="str">
        <f aca="false">IF(案件管理!$A$117:$A$117="","",案件管理!$A$117:$A$117)</f>
        <v/>
      </c>
      <c r="B328" s="10" t="str">
        <f aca="false">IF($A328="","",案件管理!$B$117:$B$117)</f>
        <v/>
      </c>
      <c r="C328" s="10" t="str">
        <f aca="false">IF($A328="","",案件管理!$D$117:$D$117)</f>
        <v/>
      </c>
      <c r="D328" s="30" t="str">
        <f aca="false">IF($A328="","",案件管理!$AE$117:$AE$117)</f>
        <v/>
      </c>
      <c r="E328" s="30" t="str">
        <f aca="false">IF($A328="","",SUM($G328:$AD328))</f>
        <v/>
      </c>
      <c r="F328" s="51" t="str">
        <f aca="false">IF($A328="","",N($E122)-N($E328))</f>
        <v/>
      </c>
      <c r="G328" s="51" t="str">
        <f aca="false">IF($A328="","",SUMIFS(工数明細!$G$3:$G$302,工数明細!$B$3:$B$302,$A328,工数明細!$I$3:$I$302,G$212))</f>
        <v/>
      </c>
      <c r="H328" s="51" t="str">
        <f aca="false">IF($A328="","",SUMIFS(工数明細!$G$3:$G$302,工数明細!$B$3:$B$302,$A328,工数明細!$I$3:$I$302,H$212))</f>
        <v/>
      </c>
      <c r="I328" s="51" t="str">
        <f aca="false">IF($A328="","",SUMIFS(工数明細!$G$3:$G$302,工数明細!$B$3:$B$302,$A328,工数明細!$I$3:$I$302,I$212))</f>
        <v/>
      </c>
      <c r="J328" s="51" t="str">
        <f aca="false">IF($A328="","",SUMIFS(工数明細!$G$3:$G$302,工数明細!$B$3:$B$302,$A328,工数明細!$I$3:$I$302,J$212))</f>
        <v/>
      </c>
      <c r="K328" s="51" t="str">
        <f aca="false">IF($A328="","",SUMIFS(工数明細!$G$3:$G$302,工数明細!$B$3:$B$302,$A328,工数明細!$I$3:$I$302,K$212))</f>
        <v/>
      </c>
      <c r="L328" s="51" t="str">
        <f aca="false">IF($A328="","",SUMIFS(工数明細!$G$3:$G$302,工数明細!$B$3:$B$302,$A328,工数明細!$I$3:$I$302,L$212))</f>
        <v/>
      </c>
      <c r="M328" s="51" t="str">
        <f aca="false">IF($A328="","",SUMIFS(工数明細!$G$3:$G$302,工数明細!$B$3:$B$302,$A328,工数明細!$I$3:$I$302,M$212))</f>
        <v/>
      </c>
      <c r="N328" s="51" t="str">
        <f aca="false">IF($A328="","",SUMIFS(工数明細!$G$3:$G$302,工数明細!$B$3:$B$302,$A328,工数明細!$I$3:$I$302,N$212))</f>
        <v/>
      </c>
      <c r="O328" s="51" t="str">
        <f aca="false">IF($A328="","",SUMIFS(工数明細!$G$3:$G$302,工数明細!$B$3:$B$302,$A328,工数明細!$I$3:$I$302,O$212))</f>
        <v/>
      </c>
      <c r="P328" s="51" t="str">
        <f aca="false">IF($A328="","",SUMIFS(工数明細!$G$3:$G$302,工数明細!$B$3:$B$302,$A328,工数明細!$I$3:$I$302,P$212))</f>
        <v/>
      </c>
      <c r="Q328" s="51" t="str">
        <f aca="false">IF($A328="","",SUMIFS(工数明細!$G$3:$G$302,工数明細!$B$3:$B$302,$A328,工数明細!$I$3:$I$302,Q$212))</f>
        <v/>
      </c>
      <c r="R328" s="51" t="str">
        <f aca="false">IF($A328="","",SUMIFS(工数明細!$G$3:$G$302,工数明細!$B$3:$B$302,$A328,工数明細!$I$3:$I$302,R$212))</f>
        <v/>
      </c>
      <c r="S328" s="51" t="str">
        <f aca="false">IF($A328="","",SUMIFS(工数明細!$G$3:$G$302,工数明細!$B$3:$B$302,$A328,工数明細!$I$3:$I$302,S$212))</f>
        <v/>
      </c>
      <c r="T328" s="51" t="str">
        <f aca="false">IF($A328="","",SUMIFS(工数明細!$G$3:$G$302,工数明細!$B$3:$B$302,$A328,工数明細!$I$3:$I$302,T$212))</f>
        <v/>
      </c>
      <c r="U328" s="51" t="str">
        <f aca="false">IF($A328="","",SUMIFS(工数明細!$G$3:$G$302,工数明細!$B$3:$B$302,$A328,工数明細!$I$3:$I$302,U$212))</f>
        <v/>
      </c>
      <c r="V328" s="51" t="str">
        <f aca="false">IF($A328="","",SUMIFS(工数明細!$G$3:$G$302,工数明細!$B$3:$B$302,$A328,工数明細!$I$3:$I$302,V$212))</f>
        <v/>
      </c>
      <c r="W328" s="51" t="str">
        <f aca="false">IF($A328="","",SUMIFS(工数明細!$G$3:$G$302,工数明細!$B$3:$B$302,$A328,工数明細!$I$3:$I$302,W$212))</f>
        <v/>
      </c>
      <c r="X328" s="51" t="str">
        <f aca="false">IF($A328="","",SUMIFS(工数明細!$G$3:$G$302,工数明細!$B$3:$B$302,$A328,工数明細!$I$3:$I$302,X$212))</f>
        <v/>
      </c>
      <c r="Y328" s="51" t="str">
        <f aca="false">IF($A328="","",SUMIFS(工数明細!$G$3:$G$302,工数明細!$B$3:$B$302,$A328,工数明細!$I$3:$I$302,Y$212))</f>
        <v/>
      </c>
      <c r="Z328" s="51" t="str">
        <f aca="false">IF($A328="","",SUMIFS(工数明細!$G$3:$G$302,工数明細!$B$3:$B$302,$A328,工数明細!$I$3:$I$302,Z$212))</f>
        <v/>
      </c>
      <c r="AA328" s="51" t="str">
        <f aca="false">IF($A328="","",SUMIFS(工数明細!$G$3:$G$302,工数明細!$B$3:$B$302,$A328,工数明細!$I$3:$I$302,AA$212))</f>
        <v/>
      </c>
      <c r="AB328" s="51" t="str">
        <f aca="false">IF($A328="","",SUMIFS(工数明細!$G$3:$G$302,工数明細!$B$3:$B$302,$A328,工数明細!$I$3:$I$302,AB$212))</f>
        <v/>
      </c>
      <c r="AC328" s="51" t="str">
        <f aca="false">IF($A328="","",SUMIFS(工数明細!$G$3:$G$302,工数明細!$B$3:$B$302,$A328,工数明細!$I$3:$I$302,AC$212))</f>
        <v/>
      </c>
      <c r="AD328" s="51" t="str">
        <f aca="false">IF($A328="","",SUMIFS(工数明細!$G$3:$G$302,工数明細!$B$3:$B$302,$A328,工数明細!$I$3:$I$302,AD$212))</f>
        <v/>
      </c>
    </row>
    <row r="329" customFormat="false" ht="15.75" hidden="false" customHeight="true" outlineLevel="0" collapsed="false">
      <c r="A329" s="28" t="str">
        <f aca="false">IF(案件管理!$A$118:$A$118="","",案件管理!$A$118:$A$118)</f>
        <v/>
      </c>
      <c r="B329" s="10" t="str">
        <f aca="false">IF($A329="","",案件管理!$B$118:$B$118)</f>
        <v/>
      </c>
      <c r="C329" s="10" t="str">
        <f aca="false">IF($A329="","",案件管理!$D$118:$D$118)</f>
        <v/>
      </c>
      <c r="D329" s="30" t="str">
        <f aca="false">IF($A329="","",案件管理!$AE$118:$AE$118)</f>
        <v/>
      </c>
      <c r="E329" s="30" t="str">
        <f aca="false">IF($A329="","",SUM($G329:$AD329))</f>
        <v/>
      </c>
      <c r="F329" s="51" t="str">
        <f aca="false">IF($A329="","",N($E123)-N($E329))</f>
        <v/>
      </c>
      <c r="G329" s="51" t="str">
        <f aca="false">IF($A329="","",SUMIFS(工数明細!$G$3:$G$302,工数明細!$B$3:$B$302,$A329,工数明細!$I$3:$I$302,G$212))</f>
        <v/>
      </c>
      <c r="H329" s="51" t="str">
        <f aca="false">IF($A329="","",SUMIFS(工数明細!$G$3:$G$302,工数明細!$B$3:$B$302,$A329,工数明細!$I$3:$I$302,H$212))</f>
        <v/>
      </c>
      <c r="I329" s="51" t="str">
        <f aca="false">IF($A329="","",SUMIFS(工数明細!$G$3:$G$302,工数明細!$B$3:$B$302,$A329,工数明細!$I$3:$I$302,I$212))</f>
        <v/>
      </c>
      <c r="J329" s="51" t="str">
        <f aca="false">IF($A329="","",SUMIFS(工数明細!$G$3:$G$302,工数明細!$B$3:$B$302,$A329,工数明細!$I$3:$I$302,J$212))</f>
        <v/>
      </c>
      <c r="K329" s="51" t="str">
        <f aca="false">IF($A329="","",SUMIFS(工数明細!$G$3:$G$302,工数明細!$B$3:$B$302,$A329,工数明細!$I$3:$I$302,K$212))</f>
        <v/>
      </c>
      <c r="L329" s="51" t="str">
        <f aca="false">IF($A329="","",SUMIFS(工数明細!$G$3:$G$302,工数明細!$B$3:$B$302,$A329,工数明細!$I$3:$I$302,L$212))</f>
        <v/>
      </c>
      <c r="M329" s="51" t="str">
        <f aca="false">IF($A329="","",SUMIFS(工数明細!$G$3:$G$302,工数明細!$B$3:$B$302,$A329,工数明細!$I$3:$I$302,M$212))</f>
        <v/>
      </c>
      <c r="N329" s="51" t="str">
        <f aca="false">IF($A329="","",SUMIFS(工数明細!$G$3:$G$302,工数明細!$B$3:$B$302,$A329,工数明細!$I$3:$I$302,N$212))</f>
        <v/>
      </c>
      <c r="O329" s="51" t="str">
        <f aca="false">IF($A329="","",SUMIFS(工数明細!$G$3:$G$302,工数明細!$B$3:$B$302,$A329,工数明細!$I$3:$I$302,O$212))</f>
        <v/>
      </c>
      <c r="P329" s="51" t="str">
        <f aca="false">IF($A329="","",SUMIFS(工数明細!$G$3:$G$302,工数明細!$B$3:$B$302,$A329,工数明細!$I$3:$I$302,P$212))</f>
        <v/>
      </c>
      <c r="Q329" s="51" t="str">
        <f aca="false">IF($A329="","",SUMIFS(工数明細!$G$3:$G$302,工数明細!$B$3:$B$302,$A329,工数明細!$I$3:$I$302,Q$212))</f>
        <v/>
      </c>
      <c r="R329" s="51" t="str">
        <f aca="false">IF($A329="","",SUMIFS(工数明細!$G$3:$G$302,工数明細!$B$3:$B$302,$A329,工数明細!$I$3:$I$302,R$212))</f>
        <v/>
      </c>
      <c r="S329" s="51" t="str">
        <f aca="false">IF($A329="","",SUMIFS(工数明細!$G$3:$G$302,工数明細!$B$3:$B$302,$A329,工数明細!$I$3:$I$302,S$212))</f>
        <v/>
      </c>
      <c r="T329" s="51" t="str">
        <f aca="false">IF($A329="","",SUMIFS(工数明細!$G$3:$G$302,工数明細!$B$3:$B$302,$A329,工数明細!$I$3:$I$302,T$212))</f>
        <v/>
      </c>
      <c r="U329" s="51" t="str">
        <f aca="false">IF($A329="","",SUMIFS(工数明細!$G$3:$G$302,工数明細!$B$3:$B$302,$A329,工数明細!$I$3:$I$302,U$212))</f>
        <v/>
      </c>
      <c r="V329" s="51" t="str">
        <f aca="false">IF($A329="","",SUMIFS(工数明細!$G$3:$G$302,工数明細!$B$3:$B$302,$A329,工数明細!$I$3:$I$302,V$212))</f>
        <v/>
      </c>
      <c r="W329" s="51" t="str">
        <f aca="false">IF($A329="","",SUMIFS(工数明細!$G$3:$G$302,工数明細!$B$3:$B$302,$A329,工数明細!$I$3:$I$302,W$212))</f>
        <v/>
      </c>
      <c r="X329" s="51" t="str">
        <f aca="false">IF($A329="","",SUMIFS(工数明細!$G$3:$G$302,工数明細!$B$3:$B$302,$A329,工数明細!$I$3:$I$302,X$212))</f>
        <v/>
      </c>
      <c r="Y329" s="51" t="str">
        <f aca="false">IF($A329="","",SUMIFS(工数明細!$G$3:$G$302,工数明細!$B$3:$B$302,$A329,工数明細!$I$3:$I$302,Y$212))</f>
        <v/>
      </c>
      <c r="Z329" s="51" t="str">
        <f aca="false">IF($A329="","",SUMIFS(工数明細!$G$3:$G$302,工数明細!$B$3:$B$302,$A329,工数明細!$I$3:$I$302,Z$212))</f>
        <v/>
      </c>
      <c r="AA329" s="51" t="str">
        <f aca="false">IF($A329="","",SUMIFS(工数明細!$G$3:$G$302,工数明細!$B$3:$B$302,$A329,工数明細!$I$3:$I$302,AA$212))</f>
        <v/>
      </c>
      <c r="AB329" s="51" t="str">
        <f aca="false">IF($A329="","",SUMIFS(工数明細!$G$3:$G$302,工数明細!$B$3:$B$302,$A329,工数明細!$I$3:$I$302,AB$212))</f>
        <v/>
      </c>
      <c r="AC329" s="51" t="str">
        <f aca="false">IF($A329="","",SUMIFS(工数明細!$G$3:$G$302,工数明細!$B$3:$B$302,$A329,工数明細!$I$3:$I$302,AC$212))</f>
        <v/>
      </c>
      <c r="AD329" s="51" t="str">
        <f aca="false">IF($A329="","",SUMIFS(工数明細!$G$3:$G$302,工数明細!$B$3:$B$302,$A329,工数明細!$I$3:$I$302,AD$212))</f>
        <v/>
      </c>
    </row>
    <row r="330" customFormat="false" ht="15.75" hidden="false" customHeight="true" outlineLevel="0" collapsed="false">
      <c r="A330" s="28" t="str">
        <f aca="false">IF(案件管理!$A$119:$A$119="","",案件管理!$A$119:$A$119)</f>
        <v/>
      </c>
      <c r="B330" s="10" t="str">
        <f aca="false">IF($A330="","",案件管理!$B$119:$B$119)</f>
        <v/>
      </c>
      <c r="C330" s="10" t="str">
        <f aca="false">IF($A330="","",案件管理!$D$119:$D$119)</f>
        <v/>
      </c>
      <c r="D330" s="30" t="str">
        <f aca="false">IF($A330="","",案件管理!$AE$119:$AE$119)</f>
        <v/>
      </c>
      <c r="E330" s="30" t="str">
        <f aca="false">IF($A330="","",SUM($G330:$AD330))</f>
        <v/>
      </c>
      <c r="F330" s="51" t="str">
        <f aca="false">IF($A330="","",N($E124)-N($E330))</f>
        <v/>
      </c>
      <c r="G330" s="51" t="str">
        <f aca="false">IF($A330="","",SUMIFS(工数明細!$G$3:$G$302,工数明細!$B$3:$B$302,$A330,工数明細!$I$3:$I$302,G$212))</f>
        <v/>
      </c>
      <c r="H330" s="51" t="str">
        <f aca="false">IF($A330="","",SUMIFS(工数明細!$G$3:$G$302,工数明細!$B$3:$B$302,$A330,工数明細!$I$3:$I$302,H$212))</f>
        <v/>
      </c>
      <c r="I330" s="51" t="str">
        <f aca="false">IF($A330="","",SUMIFS(工数明細!$G$3:$G$302,工数明細!$B$3:$B$302,$A330,工数明細!$I$3:$I$302,I$212))</f>
        <v/>
      </c>
      <c r="J330" s="51" t="str">
        <f aca="false">IF($A330="","",SUMIFS(工数明細!$G$3:$G$302,工数明細!$B$3:$B$302,$A330,工数明細!$I$3:$I$302,J$212))</f>
        <v/>
      </c>
      <c r="K330" s="51" t="str">
        <f aca="false">IF($A330="","",SUMIFS(工数明細!$G$3:$G$302,工数明細!$B$3:$B$302,$A330,工数明細!$I$3:$I$302,K$212))</f>
        <v/>
      </c>
      <c r="L330" s="51" t="str">
        <f aca="false">IF($A330="","",SUMIFS(工数明細!$G$3:$G$302,工数明細!$B$3:$B$302,$A330,工数明細!$I$3:$I$302,L$212))</f>
        <v/>
      </c>
      <c r="M330" s="51" t="str">
        <f aca="false">IF($A330="","",SUMIFS(工数明細!$G$3:$G$302,工数明細!$B$3:$B$302,$A330,工数明細!$I$3:$I$302,M$212))</f>
        <v/>
      </c>
      <c r="N330" s="51" t="str">
        <f aca="false">IF($A330="","",SUMIFS(工数明細!$G$3:$G$302,工数明細!$B$3:$B$302,$A330,工数明細!$I$3:$I$302,N$212))</f>
        <v/>
      </c>
      <c r="O330" s="51" t="str">
        <f aca="false">IF($A330="","",SUMIFS(工数明細!$G$3:$G$302,工数明細!$B$3:$B$302,$A330,工数明細!$I$3:$I$302,O$212))</f>
        <v/>
      </c>
      <c r="P330" s="51" t="str">
        <f aca="false">IF($A330="","",SUMIFS(工数明細!$G$3:$G$302,工数明細!$B$3:$B$302,$A330,工数明細!$I$3:$I$302,P$212))</f>
        <v/>
      </c>
      <c r="Q330" s="51" t="str">
        <f aca="false">IF($A330="","",SUMIFS(工数明細!$G$3:$G$302,工数明細!$B$3:$B$302,$A330,工数明細!$I$3:$I$302,Q$212))</f>
        <v/>
      </c>
      <c r="R330" s="51" t="str">
        <f aca="false">IF($A330="","",SUMIFS(工数明細!$G$3:$G$302,工数明細!$B$3:$B$302,$A330,工数明細!$I$3:$I$302,R$212))</f>
        <v/>
      </c>
      <c r="S330" s="51" t="str">
        <f aca="false">IF($A330="","",SUMIFS(工数明細!$G$3:$G$302,工数明細!$B$3:$B$302,$A330,工数明細!$I$3:$I$302,S$212))</f>
        <v/>
      </c>
      <c r="T330" s="51" t="str">
        <f aca="false">IF($A330="","",SUMIFS(工数明細!$G$3:$G$302,工数明細!$B$3:$B$302,$A330,工数明細!$I$3:$I$302,T$212))</f>
        <v/>
      </c>
      <c r="U330" s="51" t="str">
        <f aca="false">IF($A330="","",SUMIFS(工数明細!$G$3:$G$302,工数明細!$B$3:$B$302,$A330,工数明細!$I$3:$I$302,U$212))</f>
        <v/>
      </c>
      <c r="V330" s="51" t="str">
        <f aca="false">IF($A330="","",SUMIFS(工数明細!$G$3:$G$302,工数明細!$B$3:$B$302,$A330,工数明細!$I$3:$I$302,V$212))</f>
        <v/>
      </c>
      <c r="W330" s="51" t="str">
        <f aca="false">IF($A330="","",SUMIFS(工数明細!$G$3:$G$302,工数明細!$B$3:$B$302,$A330,工数明細!$I$3:$I$302,W$212))</f>
        <v/>
      </c>
      <c r="X330" s="51" t="str">
        <f aca="false">IF($A330="","",SUMIFS(工数明細!$G$3:$G$302,工数明細!$B$3:$B$302,$A330,工数明細!$I$3:$I$302,X$212))</f>
        <v/>
      </c>
      <c r="Y330" s="51" t="str">
        <f aca="false">IF($A330="","",SUMIFS(工数明細!$G$3:$G$302,工数明細!$B$3:$B$302,$A330,工数明細!$I$3:$I$302,Y$212))</f>
        <v/>
      </c>
      <c r="Z330" s="51" t="str">
        <f aca="false">IF($A330="","",SUMIFS(工数明細!$G$3:$G$302,工数明細!$B$3:$B$302,$A330,工数明細!$I$3:$I$302,Z$212))</f>
        <v/>
      </c>
      <c r="AA330" s="51" t="str">
        <f aca="false">IF($A330="","",SUMIFS(工数明細!$G$3:$G$302,工数明細!$B$3:$B$302,$A330,工数明細!$I$3:$I$302,AA$212))</f>
        <v/>
      </c>
      <c r="AB330" s="51" t="str">
        <f aca="false">IF($A330="","",SUMIFS(工数明細!$G$3:$G$302,工数明細!$B$3:$B$302,$A330,工数明細!$I$3:$I$302,AB$212))</f>
        <v/>
      </c>
      <c r="AC330" s="51" t="str">
        <f aca="false">IF($A330="","",SUMIFS(工数明細!$G$3:$G$302,工数明細!$B$3:$B$302,$A330,工数明細!$I$3:$I$302,AC$212))</f>
        <v/>
      </c>
      <c r="AD330" s="51" t="str">
        <f aca="false">IF($A330="","",SUMIFS(工数明細!$G$3:$G$302,工数明細!$B$3:$B$302,$A330,工数明細!$I$3:$I$302,AD$212))</f>
        <v/>
      </c>
    </row>
    <row r="331" customFormat="false" ht="15.75" hidden="false" customHeight="true" outlineLevel="0" collapsed="false">
      <c r="A331" s="28" t="str">
        <f aca="false">IF(案件管理!$A$120:$A$120="","",案件管理!$A$120:$A$120)</f>
        <v/>
      </c>
      <c r="B331" s="10" t="str">
        <f aca="false">IF($A331="","",案件管理!$B$120:$B$120)</f>
        <v/>
      </c>
      <c r="C331" s="10" t="str">
        <f aca="false">IF($A331="","",案件管理!$D$120:$D$120)</f>
        <v/>
      </c>
      <c r="D331" s="30" t="str">
        <f aca="false">IF($A331="","",案件管理!$AE$120:$AE$120)</f>
        <v/>
      </c>
      <c r="E331" s="30" t="str">
        <f aca="false">IF($A331="","",SUM($G331:$AD331))</f>
        <v/>
      </c>
      <c r="F331" s="51" t="str">
        <f aca="false">IF($A331="","",N($E125)-N($E331))</f>
        <v/>
      </c>
      <c r="G331" s="51" t="str">
        <f aca="false">IF($A331="","",SUMIFS(工数明細!$G$3:$G$302,工数明細!$B$3:$B$302,$A331,工数明細!$I$3:$I$302,G$212))</f>
        <v/>
      </c>
      <c r="H331" s="51" t="str">
        <f aca="false">IF($A331="","",SUMIFS(工数明細!$G$3:$G$302,工数明細!$B$3:$B$302,$A331,工数明細!$I$3:$I$302,H$212))</f>
        <v/>
      </c>
      <c r="I331" s="51" t="str">
        <f aca="false">IF($A331="","",SUMIFS(工数明細!$G$3:$G$302,工数明細!$B$3:$B$302,$A331,工数明細!$I$3:$I$302,I$212))</f>
        <v/>
      </c>
      <c r="J331" s="51" t="str">
        <f aca="false">IF($A331="","",SUMIFS(工数明細!$G$3:$G$302,工数明細!$B$3:$B$302,$A331,工数明細!$I$3:$I$302,J$212))</f>
        <v/>
      </c>
      <c r="K331" s="51" t="str">
        <f aca="false">IF($A331="","",SUMIFS(工数明細!$G$3:$G$302,工数明細!$B$3:$B$302,$A331,工数明細!$I$3:$I$302,K$212))</f>
        <v/>
      </c>
      <c r="L331" s="51" t="str">
        <f aca="false">IF($A331="","",SUMIFS(工数明細!$G$3:$G$302,工数明細!$B$3:$B$302,$A331,工数明細!$I$3:$I$302,L$212))</f>
        <v/>
      </c>
      <c r="M331" s="51" t="str">
        <f aca="false">IF($A331="","",SUMIFS(工数明細!$G$3:$G$302,工数明細!$B$3:$B$302,$A331,工数明細!$I$3:$I$302,M$212))</f>
        <v/>
      </c>
      <c r="N331" s="51" t="str">
        <f aca="false">IF($A331="","",SUMIFS(工数明細!$G$3:$G$302,工数明細!$B$3:$B$302,$A331,工数明細!$I$3:$I$302,N$212))</f>
        <v/>
      </c>
      <c r="O331" s="51" t="str">
        <f aca="false">IF($A331="","",SUMIFS(工数明細!$G$3:$G$302,工数明細!$B$3:$B$302,$A331,工数明細!$I$3:$I$302,O$212))</f>
        <v/>
      </c>
      <c r="P331" s="51" t="str">
        <f aca="false">IF($A331="","",SUMIFS(工数明細!$G$3:$G$302,工数明細!$B$3:$B$302,$A331,工数明細!$I$3:$I$302,P$212))</f>
        <v/>
      </c>
      <c r="Q331" s="51" t="str">
        <f aca="false">IF($A331="","",SUMIFS(工数明細!$G$3:$G$302,工数明細!$B$3:$B$302,$A331,工数明細!$I$3:$I$302,Q$212))</f>
        <v/>
      </c>
      <c r="R331" s="51" t="str">
        <f aca="false">IF($A331="","",SUMIFS(工数明細!$G$3:$G$302,工数明細!$B$3:$B$302,$A331,工数明細!$I$3:$I$302,R$212))</f>
        <v/>
      </c>
      <c r="S331" s="51" t="str">
        <f aca="false">IF($A331="","",SUMIFS(工数明細!$G$3:$G$302,工数明細!$B$3:$B$302,$A331,工数明細!$I$3:$I$302,S$212))</f>
        <v/>
      </c>
      <c r="T331" s="51" t="str">
        <f aca="false">IF($A331="","",SUMIFS(工数明細!$G$3:$G$302,工数明細!$B$3:$B$302,$A331,工数明細!$I$3:$I$302,T$212))</f>
        <v/>
      </c>
      <c r="U331" s="51" t="str">
        <f aca="false">IF($A331="","",SUMIFS(工数明細!$G$3:$G$302,工数明細!$B$3:$B$302,$A331,工数明細!$I$3:$I$302,U$212))</f>
        <v/>
      </c>
      <c r="V331" s="51" t="str">
        <f aca="false">IF($A331="","",SUMIFS(工数明細!$G$3:$G$302,工数明細!$B$3:$B$302,$A331,工数明細!$I$3:$I$302,V$212))</f>
        <v/>
      </c>
      <c r="W331" s="51" t="str">
        <f aca="false">IF($A331="","",SUMIFS(工数明細!$G$3:$G$302,工数明細!$B$3:$B$302,$A331,工数明細!$I$3:$I$302,W$212))</f>
        <v/>
      </c>
      <c r="X331" s="51" t="str">
        <f aca="false">IF($A331="","",SUMIFS(工数明細!$G$3:$G$302,工数明細!$B$3:$B$302,$A331,工数明細!$I$3:$I$302,X$212))</f>
        <v/>
      </c>
      <c r="Y331" s="51" t="str">
        <f aca="false">IF($A331="","",SUMIFS(工数明細!$G$3:$G$302,工数明細!$B$3:$B$302,$A331,工数明細!$I$3:$I$302,Y$212))</f>
        <v/>
      </c>
      <c r="Z331" s="51" t="str">
        <f aca="false">IF($A331="","",SUMIFS(工数明細!$G$3:$G$302,工数明細!$B$3:$B$302,$A331,工数明細!$I$3:$I$302,Z$212))</f>
        <v/>
      </c>
      <c r="AA331" s="51" t="str">
        <f aca="false">IF($A331="","",SUMIFS(工数明細!$G$3:$G$302,工数明細!$B$3:$B$302,$A331,工数明細!$I$3:$I$302,AA$212))</f>
        <v/>
      </c>
      <c r="AB331" s="51" t="str">
        <f aca="false">IF($A331="","",SUMIFS(工数明細!$G$3:$G$302,工数明細!$B$3:$B$302,$A331,工数明細!$I$3:$I$302,AB$212))</f>
        <v/>
      </c>
      <c r="AC331" s="51" t="str">
        <f aca="false">IF($A331="","",SUMIFS(工数明細!$G$3:$G$302,工数明細!$B$3:$B$302,$A331,工数明細!$I$3:$I$302,AC$212))</f>
        <v/>
      </c>
      <c r="AD331" s="51" t="str">
        <f aca="false">IF($A331="","",SUMIFS(工数明細!$G$3:$G$302,工数明細!$B$3:$B$302,$A331,工数明細!$I$3:$I$302,AD$212))</f>
        <v/>
      </c>
    </row>
    <row r="332" customFormat="false" ht="15.75" hidden="false" customHeight="true" outlineLevel="0" collapsed="false">
      <c r="A332" s="28" t="str">
        <f aca="false">IF(案件管理!$A$121:$A$121="","",案件管理!$A$121:$A$121)</f>
        <v/>
      </c>
      <c r="B332" s="10" t="str">
        <f aca="false">IF($A332="","",案件管理!$B$121:$B$121)</f>
        <v/>
      </c>
      <c r="C332" s="10" t="str">
        <f aca="false">IF($A332="","",案件管理!$D$121:$D$121)</f>
        <v/>
      </c>
      <c r="D332" s="30" t="str">
        <f aca="false">IF($A332="","",案件管理!$AE$121:$AE$121)</f>
        <v/>
      </c>
      <c r="E332" s="30" t="str">
        <f aca="false">IF($A332="","",SUM($G332:$AD332))</f>
        <v/>
      </c>
      <c r="F332" s="51" t="str">
        <f aca="false">IF($A332="","",N($E126)-N($E332))</f>
        <v/>
      </c>
      <c r="G332" s="51" t="str">
        <f aca="false">IF($A332="","",SUMIFS(工数明細!$G$3:$G$302,工数明細!$B$3:$B$302,$A332,工数明細!$I$3:$I$302,G$212))</f>
        <v/>
      </c>
      <c r="H332" s="51" t="str">
        <f aca="false">IF($A332="","",SUMIFS(工数明細!$G$3:$G$302,工数明細!$B$3:$B$302,$A332,工数明細!$I$3:$I$302,H$212))</f>
        <v/>
      </c>
      <c r="I332" s="51" t="str">
        <f aca="false">IF($A332="","",SUMIFS(工数明細!$G$3:$G$302,工数明細!$B$3:$B$302,$A332,工数明細!$I$3:$I$302,I$212))</f>
        <v/>
      </c>
      <c r="J332" s="51" t="str">
        <f aca="false">IF($A332="","",SUMIFS(工数明細!$G$3:$G$302,工数明細!$B$3:$B$302,$A332,工数明細!$I$3:$I$302,J$212))</f>
        <v/>
      </c>
      <c r="K332" s="51" t="str">
        <f aca="false">IF($A332="","",SUMIFS(工数明細!$G$3:$G$302,工数明細!$B$3:$B$302,$A332,工数明細!$I$3:$I$302,K$212))</f>
        <v/>
      </c>
      <c r="L332" s="51" t="str">
        <f aca="false">IF($A332="","",SUMIFS(工数明細!$G$3:$G$302,工数明細!$B$3:$B$302,$A332,工数明細!$I$3:$I$302,L$212))</f>
        <v/>
      </c>
      <c r="M332" s="51" t="str">
        <f aca="false">IF($A332="","",SUMIFS(工数明細!$G$3:$G$302,工数明細!$B$3:$B$302,$A332,工数明細!$I$3:$I$302,M$212))</f>
        <v/>
      </c>
      <c r="N332" s="51" t="str">
        <f aca="false">IF($A332="","",SUMIFS(工数明細!$G$3:$G$302,工数明細!$B$3:$B$302,$A332,工数明細!$I$3:$I$302,N$212))</f>
        <v/>
      </c>
      <c r="O332" s="51" t="str">
        <f aca="false">IF($A332="","",SUMIFS(工数明細!$G$3:$G$302,工数明細!$B$3:$B$302,$A332,工数明細!$I$3:$I$302,O$212))</f>
        <v/>
      </c>
      <c r="P332" s="51" t="str">
        <f aca="false">IF($A332="","",SUMIFS(工数明細!$G$3:$G$302,工数明細!$B$3:$B$302,$A332,工数明細!$I$3:$I$302,P$212))</f>
        <v/>
      </c>
      <c r="Q332" s="51" t="str">
        <f aca="false">IF($A332="","",SUMIFS(工数明細!$G$3:$G$302,工数明細!$B$3:$B$302,$A332,工数明細!$I$3:$I$302,Q$212))</f>
        <v/>
      </c>
      <c r="R332" s="51" t="str">
        <f aca="false">IF($A332="","",SUMIFS(工数明細!$G$3:$G$302,工数明細!$B$3:$B$302,$A332,工数明細!$I$3:$I$302,R$212))</f>
        <v/>
      </c>
      <c r="S332" s="51" t="str">
        <f aca="false">IF($A332="","",SUMIFS(工数明細!$G$3:$G$302,工数明細!$B$3:$B$302,$A332,工数明細!$I$3:$I$302,S$212))</f>
        <v/>
      </c>
      <c r="T332" s="51" t="str">
        <f aca="false">IF($A332="","",SUMIFS(工数明細!$G$3:$G$302,工数明細!$B$3:$B$302,$A332,工数明細!$I$3:$I$302,T$212))</f>
        <v/>
      </c>
      <c r="U332" s="51" t="str">
        <f aca="false">IF($A332="","",SUMIFS(工数明細!$G$3:$G$302,工数明細!$B$3:$B$302,$A332,工数明細!$I$3:$I$302,U$212))</f>
        <v/>
      </c>
      <c r="V332" s="51" t="str">
        <f aca="false">IF($A332="","",SUMIFS(工数明細!$G$3:$G$302,工数明細!$B$3:$B$302,$A332,工数明細!$I$3:$I$302,V$212))</f>
        <v/>
      </c>
      <c r="W332" s="51" t="str">
        <f aca="false">IF($A332="","",SUMIFS(工数明細!$G$3:$G$302,工数明細!$B$3:$B$302,$A332,工数明細!$I$3:$I$302,W$212))</f>
        <v/>
      </c>
      <c r="X332" s="51" t="str">
        <f aca="false">IF($A332="","",SUMIFS(工数明細!$G$3:$G$302,工数明細!$B$3:$B$302,$A332,工数明細!$I$3:$I$302,X$212))</f>
        <v/>
      </c>
      <c r="Y332" s="51" t="str">
        <f aca="false">IF($A332="","",SUMIFS(工数明細!$G$3:$G$302,工数明細!$B$3:$B$302,$A332,工数明細!$I$3:$I$302,Y$212))</f>
        <v/>
      </c>
      <c r="Z332" s="51" t="str">
        <f aca="false">IF($A332="","",SUMIFS(工数明細!$G$3:$G$302,工数明細!$B$3:$B$302,$A332,工数明細!$I$3:$I$302,Z$212))</f>
        <v/>
      </c>
      <c r="AA332" s="51" t="str">
        <f aca="false">IF($A332="","",SUMIFS(工数明細!$G$3:$G$302,工数明細!$B$3:$B$302,$A332,工数明細!$I$3:$I$302,AA$212))</f>
        <v/>
      </c>
      <c r="AB332" s="51" t="str">
        <f aca="false">IF($A332="","",SUMIFS(工数明細!$G$3:$G$302,工数明細!$B$3:$B$302,$A332,工数明細!$I$3:$I$302,AB$212))</f>
        <v/>
      </c>
      <c r="AC332" s="51" t="str">
        <f aca="false">IF($A332="","",SUMIFS(工数明細!$G$3:$G$302,工数明細!$B$3:$B$302,$A332,工数明細!$I$3:$I$302,AC$212))</f>
        <v/>
      </c>
      <c r="AD332" s="51" t="str">
        <f aca="false">IF($A332="","",SUMIFS(工数明細!$G$3:$G$302,工数明細!$B$3:$B$302,$A332,工数明細!$I$3:$I$302,AD$212))</f>
        <v/>
      </c>
    </row>
    <row r="333" customFormat="false" ht="15.75" hidden="false" customHeight="true" outlineLevel="0" collapsed="false">
      <c r="A333" s="28" t="str">
        <f aca="false">IF(案件管理!$A$122:$A$122="","",案件管理!$A$122:$A$122)</f>
        <v/>
      </c>
      <c r="B333" s="10" t="str">
        <f aca="false">IF($A333="","",案件管理!$B$122:$B$122)</f>
        <v/>
      </c>
      <c r="C333" s="10" t="str">
        <f aca="false">IF($A333="","",案件管理!$D$122:$D$122)</f>
        <v/>
      </c>
      <c r="D333" s="30" t="str">
        <f aca="false">IF($A333="","",案件管理!$AE$122:$AE$122)</f>
        <v/>
      </c>
      <c r="E333" s="30" t="str">
        <f aca="false">IF($A333="","",SUM($G333:$AD333))</f>
        <v/>
      </c>
      <c r="F333" s="51" t="str">
        <f aca="false">IF($A333="","",N($E127)-N($E333))</f>
        <v/>
      </c>
      <c r="G333" s="51" t="str">
        <f aca="false">IF($A333="","",SUMIFS(工数明細!$G$3:$G$302,工数明細!$B$3:$B$302,$A333,工数明細!$I$3:$I$302,G$212))</f>
        <v/>
      </c>
      <c r="H333" s="51" t="str">
        <f aca="false">IF($A333="","",SUMIFS(工数明細!$G$3:$G$302,工数明細!$B$3:$B$302,$A333,工数明細!$I$3:$I$302,H$212))</f>
        <v/>
      </c>
      <c r="I333" s="51" t="str">
        <f aca="false">IF($A333="","",SUMIFS(工数明細!$G$3:$G$302,工数明細!$B$3:$B$302,$A333,工数明細!$I$3:$I$302,I$212))</f>
        <v/>
      </c>
      <c r="J333" s="51" t="str">
        <f aca="false">IF($A333="","",SUMIFS(工数明細!$G$3:$G$302,工数明細!$B$3:$B$302,$A333,工数明細!$I$3:$I$302,J$212))</f>
        <v/>
      </c>
      <c r="K333" s="51" t="str">
        <f aca="false">IF($A333="","",SUMIFS(工数明細!$G$3:$G$302,工数明細!$B$3:$B$302,$A333,工数明細!$I$3:$I$302,K$212))</f>
        <v/>
      </c>
      <c r="L333" s="51" t="str">
        <f aca="false">IF($A333="","",SUMIFS(工数明細!$G$3:$G$302,工数明細!$B$3:$B$302,$A333,工数明細!$I$3:$I$302,L$212))</f>
        <v/>
      </c>
      <c r="M333" s="51" t="str">
        <f aca="false">IF($A333="","",SUMIFS(工数明細!$G$3:$G$302,工数明細!$B$3:$B$302,$A333,工数明細!$I$3:$I$302,M$212))</f>
        <v/>
      </c>
      <c r="N333" s="51" t="str">
        <f aca="false">IF($A333="","",SUMIFS(工数明細!$G$3:$G$302,工数明細!$B$3:$B$302,$A333,工数明細!$I$3:$I$302,N$212))</f>
        <v/>
      </c>
      <c r="O333" s="51" t="str">
        <f aca="false">IF($A333="","",SUMIFS(工数明細!$G$3:$G$302,工数明細!$B$3:$B$302,$A333,工数明細!$I$3:$I$302,O$212))</f>
        <v/>
      </c>
      <c r="P333" s="51" t="str">
        <f aca="false">IF($A333="","",SUMIFS(工数明細!$G$3:$G$302,工数明細!$B$3:$B$302,$A333,工数明細!$I$3:$I$302,P$212))</f>
        <v/>
      </c>
      <c r="Q333" s="51" t="str">
        <f aca="false">IF($A333="","",SUMIFS(工数明細!$G$3:$G$302,工数明細!$B$3:$B$302,$A333,工数明細!$I$3:$I$302,Q$212))</f>
        <v/>
      </c>
      <c r="R333" s="51" t="str">
        <f aca="false">IF($A333="","",SUMIFS(工数明細!$G$3:$G$302,工数明細!$B$3:$B$302,$A333,工数明細!$I$3:$I$302,R$212))</f>
        <v/>
      </c>
      <c r="S333" s="51" t="str">
        <f aca="false">IF($A333="","",SUMIFS(工数明細!$G$3:$G$302,工数明細!$B$3:$B$302,$A333,工数明細!$I$3:$I$302,S$212))</f>
        <v/>
      </c>
      <c r="T333" s="51" t="str">
        <f aca="false">IF($A333="","",SUMIFS(工数明細!$G$3:$G$302,工数明細!$B$3:$B$302,$A333,工数明細!$I$3:$I$302,T$212))</f>
        <v/>
      </c>
      <c r="U333" s="51" t="str">
        <f aca="false">IF($A333="","",SUMIFS(工数明細!$G$3:$G$302,工数明細!$B$3:$B$302,$A333,工数明細!$I$3:$I$302,U$212))</f>
        <v/>
      </c>
      <c r="V333" s="51" t="str">
        <f aca="false">IF($A333="","",SUMIFS(工数明細!$G$3:$G$302,工数明細!$B$3:$B$302,$A333,工数明細!$I$3:$I$302,V$212))</f>
        <v/>
      </c>
      <c r="W333" s="51" t="str">
        <f aca="false">IF($A333="","",SUMIFS(工数明細!$G$3:$G$302,工数明細!$B$3:$B$302,$A333,工数明細!$I$3:$I$302,W$212))</f>
        <v/>
      </c>
      <c r="X333" s="51" t="str">
        <f aca="false">IF($A333="","",SUMIFS(工数明細!$G$3:$G$302,工数明細!$B$3:$B$302,$A333,工数明細!$I$3:$I$302,X$212))</f>
        <v/>
      </c>
      <c r="Y333" s="51" t="str">
        <f aca="false">IF($A333="","",SUMIFS(工数明細!$G$3:$G$302,工数明細!$B$3:$B$302,$A333,工数明細!$I$3:$I$302,Y$212))</f>
        <v/>
      </c>
      <c r="Z333" s="51" t="str">
        <f aca="false">IF($A333="","",SUMIFS(工数明細!$G$3:$G$302,工数明細!$B$3:$B$302,$A333,工数明細!$I$3:$I$302,Z$212))</f>
        <v/>
      </c>
      <c r="AA333" s="51" t="str">
        <f aca="false">IF($A333="","",SUMIFS(工数明細!$G$3:$G$302,工数明細!$B$3:$B$302,$A333,工数明細!$I$3:$I$302,AA$212))</f>
        <v/>
      </c>
      <c r="AB333" s="51" t="str">
        <f aca="false">IF($A333="","",SUMIFS(工数明細!$G$3:$G$302,工数明細!$B$3:$B$302,$A333,工数明細!$I$3:$I$302,AB$212))</f>
        <v/>
      </c>
      <c r="AC333" s="51" t="str">
        <f aca="false">IF($A333="","",SUMIFS(工数明細!$G$3:$G$302,工数明細!$B$3:$B$302,$A333,工数明細!$I$3:$I$302,AC$212))</f>
        <v/>
      </c>
      <c r="AD333" s="51" t="str">
        <f aca="false">IF($A333="","",SUMIFS(工数明細!$G$3:$G$302,工数明細!$B$3:$B$302,$A333,工数明細!$I$3:$I$302,AD$212))</f>
        <v/>
      </c>
    </row>
    <row r="334" customFormat="false" ht="15.75" hidden="false" customHeight="true" outlineLevel="0" collapsed="false">
      <c r="A334" s="28" t="str">
        <f aca="false">IF(案件管理!$A$123:$A$123="","",案件管理!$A$123:$A$123)</f>
        <v/>
      </c>
      <c r="B334" s="10" t="str">
        <f aca="false">IF($A334="","",案件管理!$B$123:$B$123)</f>
        <v/>
      </c>
      <c r="C334" s="10" t="str">
        <f aca="false">IF($A334="","",案件管理!$D$123:$D$123)</f>
        <v/>
      </c>
      <c r="D334" s="30" t="str">
        <f aca="false">IF($A334="","",案件管理!$AE$123:$AE$123)</f>
        <v/>
      </c>
      <c r="E334" s="30" t="str">
        <f aca="false">IF($A334="","",SUM($G334:$AD334))</f>
        <v/>
      </c>
      <c r="F334" s="51" t="str">
        <f aca="false">IF($A334="","",N($E128)-N($E334))</f>
        <v/>
      </c>
      <c r="G334" s="51" t="str">
        <f aca="false">IF($A334="","",SUMIFS(工数明細!$G$3:$G$302,工数明細!$B$3:$B$302,$A334,工数明細!$I$3:$I$302,G$212))</f>
        <v/>
      </c>
      <c r="H334" s="51" t="str">
        <f aca="false">IF($A334="","",SUMIFS(工数明細!$G$3:$G$302,工数明細!$B$3:$B$302,$A334,工数明細!$I$3:$I$302,H$212))</f>
        <v/>
      </c>
      <c r="I334" s="51" t="str">
        <f aca="false">IF($A334="","",SUMIFS(工数明細!$G$3:$G$302,工数明細!$B$3:$B$302,$A334,工数明細!$I$3:$I$302,I$212))</f>
        <v/>
      </c>
      <c r="J334" s="51" t="str">
        <f aca="false">IF($A334="","",SUMIFS(工数明細!$G$3:$G$302,工数明細!$B$3:$B$302,$A334,工数明細!$I$3:$I$302,J$212))</f>
        <v/>
      </c>
      <c r="K334" s="51" t="str">
        <f aca="false">IF($A334="","",SUMIFS(工数明細!$G$3:$G$302,工数明細!$B$3:$B$302,$A334,工数明細!$I$3:$I$302,K$212))</f>
        <v/>
      </c>
      <c r="L334" s="51" t="str">
        <f aca="false">IF($A334="","",SUMIFS(工数明細!$G$3:$G$302,工数明細!$B$3:$B$302,$A334,工数明細!$I$3:$I$302,L$212))</f>
        <v/>
      </c>
      <c r="M334" s="51" t="str">
        <f aca="false">IF($A334="","",SUMIFS(工数明細!$G$3:$G$302,工数明細!$B$3:$B$302,$A334,工数明細!$I$3:$I$302,M$212))</f>
        <v/>
      </c>
      <c r="N334" s="51" t="str">
        <f aca="false">IF($A334="","",SUMIFS(工数明細!$G$3:$G$302,工数明細!$B$3:$B$302,$A334,工数明細!$I$3:$I$302,N$212))</f>
        <v/>
      </c>
      <c r="O334" s="51" t="str">
        <f aca="false">IF($A334="","",SUMIFS(工数明細!$G$3:$G$302,工数明細!$B$3:$B$302,$A334,工数明細!$I$3:$I$302,O$212))</f>
        <v/>
      </c>
      <c r="P334" s="51" t="str">
        <f aca="false">IF($A334="","",SUMIFS(工数明細!$G$3:$G$302,工数明細!$B$3:$B$302,$A334,工数明細!$I$3:$I$302,P$212))</f>
        <v/>
      </c>
      <c r="Q334" s="51" t="str">
        <f aca="false">IF($A334="","",SUMIFS(工数明細!$G$3:$G$302,工数明細!$B$3:$B$302,$A334,工数明細!$I$3:$I$302,Q$212))</f>
        <v/>
      </c>
      <c r="R334" s="51" t="str">
        <f aca="false">IF($A334="","",SUMIFS(工数明細!$G$3:$G$302,工数明細!$B$3:$B$302,$A334,工数明細!$I$3:$I$302,R$212))</f>
        <v/>
      </c>
      <c r="S334" s="51" t="str">
        <f aca="false">IF($A334="","",SUMIFS(工数明細!$G$3:$G$302,工数明細!$B$3:$B$302,$A334,工数明細!$I$3:$I$302,S$212))</f>
        <v/>
      </c>
      <c r="T334" s="51" t="str">
        <f aca="false">IF($A334="","",SUMIFS(工数明細!$G$3:$G$302,工数明細!$B$3:$B$302,$A334,工数明細!$I$3:$I$302,T$212))</f>
        <v/>
      </c>
      <c r="U334" s="51" t="str">
        <f aca="false">IF($A334="","",SUMIFS(工数明細!$G$3:$G$302,工数明細!$B$3:$B$302,$A334,工数明細!$I$3:$I$302,U$212))</f>
        <v/>
      </c>
      <c r="V334" s="51" t="str">
        <f aca="false">IF($A334="","",SUMIFS(工数明細!$G$3:$G$302,工数明細!$B$3:$B$302,$A334,工数明細!$I$3:$I$302,V$212))</f>
        <v/>
      </c>
      <c r="W334" s="51" t="str">
        <f aca="false">IF($A334="","",SUMIFS(工数明細!$G$3:$G$302,工数明細!$B$3:$B$302,$A334,工数明細!$I$3:$I$302,W$212))</f>
        <v/>
      </c>
      <c r="X334" s="51" t="str">
        <f aca="false">IF($A334="","",SUMIFS(工数明細!$G$3:$G$302,工数明細!$B$3:$B$302,$A334,工数明細!$I$3:$I$302,X$212))</f>
        <v/>
      </c>
      <c r="Y334" s="51" t="str">
        <f aca="false">IF($A334="","",SUMIFS(工数明細!$G$3:$G$302,工数明細!$B$3:$B$302,$A334,工数明細!$I$3:$I$302,Y$212))</f>
        <v/>
      </c>
      <c r="Z334" s="51" t="str">
        <f aca="false">IF($A334="","",SUMIFS(工数明細!$G$3:$G$302,工数明細!$B$3:$B$302,$A334,工数明細!$I$3:$I$302,Z$212))</f>
        <v/>
      </c>
      <c r="AA334" s="51" t="str">
        <f aca="false">IF($A334="","",SUMIFS(工数明細!$G$3:$G$302,工数明細!$B$3:$B$302,$A334,工数明細!$I$3:$I$302,AA$212))</f>
        <v/>
      </c>
      <c r="AB334" s="51" t="str">
        <f aca="false">IF($A334="","",SUMIFS(工数明細!$G$3:$G$302,工数明細!$B$3:$B$302,$A334,工数明細!$I$3:$I$302,AB$212))</f>
        <v/>
      </c>
      <c r="AC334" s="51" t="str">
        <f aca="false">IF($A334="","",SUMIFS(工数明細!$G$3:$G$302,工数明細!$B$3:$B$302,$A334,工数明細!$I$3:$I$302,AC$212))</f>
        <v/>
      </c>
      <c r="AD334" s="51" t="str">
        <f aca="false">IF($A334="","",SUMIFS(工数明細!$G$3:$G$302,工数明細!$B$3:$B$302,$A334,工数明細!$I$3:$I$302,AD$212))</f>
        <v/>
      </c>
    </row>
    <row r="335" customFormat="false" ht="15.75" hidden="false" customHeight="true" outlineLevel="0" collapsed="false">
      <c r="A335" s="28" t="str">
        <f aca="false">IF(案件管理!$A$124:$A$124="","",案件管理!$A$124:$A$124)</f>
        <v/>
      </c>
      <c r="B335" s="10" t="str">
        <f aca="false">IF($A335="","",案件管理!$B$124:$B$124)</f>
        <v/>
      </c>
      <c r="C335" s="10" t="str">
        <f aca="false">IF($A335="","",案件管理!$D$124:$D$124)</f>
        <v/>
      </c>
      <c r="D335" s="30" t="str">
        <f aca="false">IF($A335="","",案件管理!$AE$124:$AE$124)</f>
        <v/>
      </c>
      <c r="E335" s="30" t="str">
        <f aca="false">IF($A335="","",SUM($G335:$AD335))</f>
        <v/>
      </c>
      <c r="F335" s="51" t="str">
        <f aca="false">IF($A335="","",N($E129)-N($E335))</f>
        <v/>
      </c>
      <c r="G335" s="51" t="str">
        <f aca="false">IF($A335="","",SUMIFS(工数明細!$G$3:$G$302,工数明細!$B$3:$B$302,$A335,工数明細!$I$3:$I$302,G$212))</f>
        <v/>
      </c>
      <c r="H335" s="51" t="str">
        <f aca="false">IF($A335="","",SUMIFS(工数明細!$G$3:$G$302,工数明細!$B$3:$B$302,$A335,工数明細!$I$3:$I$302,H$212))</f>
        <v/>
      </c>
      <c r="I335" s="51" t="str">
        <f aca="false">IF($A335="","",SUMIFS(工数明細!$G$3:$G$302,工数明細!$B$3:$B$302,$A335,工数明細!$I$3:$I$302,I$212))</f>
        <v/>
      </c>
      <c r="J335" s="51" t="str">
        <f aca="false">IF($A335="","",SUMIFS(工数明細!$G$3:$G$302,工数明細!$B$3:$B$302,$A335,工数明細!$I$3:$I$302,J$212))</f>
        <v/>
      </c>
      <c r="K335" s="51" t="str">
        <f aca="false">IF($A335="","",SUMIFS(工数明細!$G$3:$G$302,工数明細!$B$3:$B$302,$A335,工数明細!$I$3:$I$302,K$212))</f>
        <v/>
      </c>
      <c r="L335" s="51" t="str">
        <f aca="false">IF($A335="","",SUMIFS(工数明細!$G$3:$G$302,工数明細!$B$3:$B$302,$A335,工数明細!$I$3:$I$302,L$212))</f>
        <v/>
      </c>
      <c r="M335" s="51" t="str">
        <f aca="false">IF($A335="","",SUMIFS(工数明細!$G$3:$G$302,工数明細!$B$3:$B$302,$A335,工数明細!$I$3:$I$302,M$212))</f>
        <v/>
      </c>
      <c r="N335" s="51" t="str">
        <f aca="false">IF($A335="","",SUMIFS(工数明細!$G$3:$G$302,工数明細!$B$3:$B$302,$A335,工数明細!$I$3:$I$302,N$212))</f>
        <v/>
      </c>
      <c r="O335" s="51" t="str">
        <f aca="false">IF($A335="","",SUMIFS(工数明細!$G$3:$G$302,工数明細!$B$3:$B$302,$A335,工数明細!$I$3:$I$302,O$212))</f>
        <v/>
      </c>
      <c r="P335" s="51" t="str">
        <f aca="false">IF($A335="","",SUMIFS(工数明細!$G$3:$G$302,工数明細!$B$3:$B$302,$A335,工数明細!$I$3:$I$302,P$212))</f>
        <v/>
      </c>
      <c r="Q335" s="51" t="str">
        <f aca="false">IF($A335="","",SUMIFS(工数明細!$G$3:$G$302,工数明細!$B$3:$B$302,$A335,工数明細!$I$3:$I$302,Q$212))</f>
        <v/>
      </c>
      <c r="R335" s="51" t="str">
        <f aca="false">IF($A335="","",SUMIFS(工数明細!$G$3:$G$302,工数明細!$B$3:$B$302,$A335,工数明細!$I$3:$I$302,R$212))</f>
        <v/>
      </c>
      <c r="S335" s="51" t="str">
        <f aca="false">IF($A335="","",SUMIFS(工数明細!$G$3:$G$302,工数明細!$B$3:$B$302,$A335,工数明細!$I$3:$I$302,S$212))</f>
        <v/>
      </c>
      <c r="T335" s="51" t="str">
        <f aca="false">IF($A335="","",SUMIFS(工数明細!$G$3:$G$302,工数明細!$B$3:$B$302,$A335,工数明細!$I$3:$I$302,T$212))</f>
        <v/>
      </c>
      <c r="U335" s="51" t="str">
        <f aca="false">IF($A335="","",SUMIFS(工数明細!$G$3:$G$302,工数明細!$B$3:$B$302,$A335,工数明細!$I$3:$I$302,U$212))</f>
        <v/>
      </c>
      <c r="V335" s="51" t="str">
        <f aca="false">IF($A335="","",SUMIFS(工数明細!$G$3:$G$302,工数明細!$B$3:$B$302,$A335,工数明細!$I$3:$I$302,V$212))</f>
        <v/>
      </c>
      <c r="W335" s="51" t="str">
        <f aca="false">IF($A335="","",SUMIFS(工数明細!$G$3:$G$302,工数明細!$B$3:$B$302,$A335,工数明細!$I$3:$I$302,W$212))</f>
        <v/>
      </c>
      <c r="X335" s="51" t="str">
        <f aca="false">IF($A335="","",SUMIFS(工数明細!$G$3:$G$302,工数明細!$B$3:$B$302,$A335,工数明細!$I$3:$I$302,X$212))</f>
        <v/>
      </c>
      <c r="Y335" s="51" t="str">
        <f aca="false">IF($A335="","",SUMIFS(工数明細!$G$3:$G$302,工数明細!$B$3:$B$302,$A335,工数明細!$I$3:$I$302,Y$212))</f>
        <v/>
      </c>
      <c r="Z335" s="51" t="str">
        <f aca="false">IF($A335="","",SUMIFS(工数明細!$G$3:$G$302,工数明細!$B$3:$B$302,$A335,工数明細!$I$3:$I$302,Z$212))</f>
        <v/>
      </c>
      <c r="AA335" s="51" t="str">
        <f aca="false">IF($A335="","",SUMIFS(工数明細!$G$3:$G$302,工数明細!$B$3:$B$302,$A335,工数明細!$I$3:$I$302,AA$212))</f>
        <v/>
      </c>
      <c r="AB335" s="51" t="str">
        <f aca="false">IF($A335="","",SUMIFS(工数明細!$G$3:$G$302,工数明細!$B$3:$B$302,$A335,工数明細!$I$3:$I$302,AB$212))</f>
        <v/>
      </c>
      <c r="AC335" s="51" t="str">
        <f aca="false">IF($A335="","",SUMIFS(工数明細!$G$3:$G$302,工数明細!$B$3:$B$302,$A335,工数明細!$I$3:$I$302,AC$212))</f>
        <v/>
      </c>
      <c r="AD335" s="51" t="str">
        <f aca="false">IF($A335="","",SUMIFS(工数明細!$G$3:$G$302,工数明細!$B$3:$B$302,$A335,工数明細!$I$3:$I$302,AD$212))</f>
        <v/>
      </c>
    </row>
    <row r="336" customFormat="false" ht="15.75" hidden="false" customHeight="true" outlineLevel="0" collapsed="false">
      <c r="A336" s="28" t="str">
        <f aca="false">IF(案件管理!$A$125:$A$125="","",案件管理!$A$125:$A$125)</f>
        <v/>
      </c>
      <c r="B336" s="10" t="str">
        <f aca="false">IF($A336="","",案件管理!$B$125:$B$125)</f>
        <v/>
      </c>
      <c r="C336" s="10" t="str">
        <f aca="false">IF($A336="","",案件管理!$D$125:$D$125)</f>
        <v/>
      </c>
      <c r="D336" s="30" t="str">
        <f aca="false">IF($A336="","",案件管理!$AE$125:$AE$125)</f>
        <v/>
      </c>
      <c r="E336" s="30" t="str">
        <f aca="false">IF($A336="","",SUM($G336:$AD336))</f>
        <v/>
      </c>
      <c r="F336" s="51" t="str">
        <f aca="false">IF($A336="","",N($E130)-N($E336))</f>
        <v/>
      </c>
      <c r="G336" s="51" t="str">
        <f aca="false">IF($A336="","",SUMIFS(工数明細!$G$3:$G$302,工数明細!$B$3:$B$302,$A336,工数明細!$I$3:$I$302,G$212))</f>
        <v/>
      </c>
      <c r="H336" s="51" t="str">
        <f aca="false">IF($A336="","",SUMIFS(工数明細!$G$3:$G$302,工数明細!$B$3:$B$302,$A336,工数明細!$I$3:$I$302,H$212))</f>
        <v/>
      </c>
      <c r="I336" s="51" t="str">
        <f aca="false">IF($A336="","",SUMIFS(工数明細!$G$3:$G$302,工数明細!$B$3:$B$302,$A336,工数明細!$I$3:$I$302,I$212))</f>
        <v/>
      </c>
      <c r="J336" s="51" t="str">
        <f aca="false">IF($A336="","",SUMIFS(工数明細!$G$3:$G$302,工数明細!$B$3:$B$302,$A336,工数明細!$I$3:$I$302,J$212))</f>
        <v/>
      </c>
      <c r="K336" s="51" t="str">
        <f aca="false">IF($A336="","",SUMIFS(工数明細!$G$3:$G$302,工数明細!$B$3:$B$302,$A336,工数明細!$I$3:$I$302,K$212))</f>
        <v/>
      </c>
      <c r="L336" s="51" t="str">
        <f aca="false">IF($A336="","",SUMIFS(工数明細!$G$3:$G$302,工数明細!$B$3:$B$302,$A336,工数明細!$I$3:$I$302,L$212))</f>
        <v/>
      </c>
      <c r="M336" s="51" t="str">
        <f aca="false">IF($A336="","",SUMIFS(工数明細!$G$3:$G$302,工数明細!$B$3:$B$302,$A336,工数明細!$I$3:$I$302,M$212))</f>
        <v/>
      </c>
      <c r="N336" s="51" t="str">
        <f aca="false">IF($A336="","",SUMIFS(工数明細!$G$3:$G$302,工数明細!$B$3:$B$302,$A336,工数明細!$I$3:$I$302,N$212))</f>
        <v/>
      </c>
      <c r="O336" s="51" t="str">
        <f aca="false">IF($A336="","",SUMIFS(工数明細!$G$3:$G$302,工数明細!$B$3:$B$302,$A336,工数明細!$I$3:$I$302,O$212))</f>
        <v/>
      </c>
      <c r="P336" s="51" t="str">
        <f aca="false">IF($A336="","",SUMIFS(工数明細!$G$3:$G$302,工数明細!$B$3:$B$302,$A336,工数明細!$I$3:$I$302,P$212))</f>
        <v/>
      </c>
      <c r="Q336" s="51" t="str">
        <f aca="false">IF($A336="","",SUMIFS(工数明細!$G$3:$G$302,工数明細!$B$3:$B$302,$A336,工数明細!$I$3:$I$302,Q$212))</f>
        <v/>
      </c>
      <c r="R336" s="51" t="str">
        <f aca="false">IF($A336="","",SUMIFS(工数明細!$G$3:$G$302,工数明細!$B$3:$B$302,$A336,工数明細!$I$3:$I$302,R$212))</f>
        <v/>
      </c>
      <c r="S336" s="51" t="str">
        <f aca="false">IF($A336="","",SUMIFS(工数明細!$G$3:$G$302,工数明細!$B$3:$B$302,$A336,工数明細!$I$3:$I$302,S$212))</f>
        <v/>
      </c>
      <c r="T336" s="51" t="str">
        <f aca="false">IF($A336="","",SUMIFS(工数明細!$G$3:$G$302,工数明細!$B$3:$B$302,$A336,工数明細!$I$3:$I$302,T$212))</f>
        <v/>
      </c>
      <c r="U336" s="51" t="str">
        <f aca="false">IF($A336="","",SUMIFS(工数明細!$G$3:$G$302,工数明細!$B$3:$B$302,$A336,工数明細!$I$3:$I$302,U$212))</f>
        <v/>
      </c>
      <c r="V336" s="51" t="str">
        <f aca="false">IF($A336="","",SUMIFS(工数明細!$G$3:$G$302,工数明細!$B$3:$B$302,$A336,工数明細!$I$3:$I$302,V$212))</f>
        <v/>
      </c>
      <c r="W336" s="51" t="str">
        <f aca="false">IF($A336="","",SUMIFS(工数明細!$G$3:$G$302,工数明細!$B$3:$B$302,$A336,工数明細!$I$3:$I$302,W$212))</f>
        <v/>
      </c>
      <c r="X336" s="51" t="str">
        <f aca="false">IF($A336="","",SUMIFS(工数明細!$G$3:$G$302,工数明細!$B$3:$B$302,$A336,工数明細!$I$3:$I$302,X$212))</f>
        <v/>
      </c>
      <c r="Y336" s="51" t="str">
        <f aca="false">IF($A336="","",SUMIFS(工数明細!$G$3:$G$302,工数明細!$B$3:$B$302,$A336,工数明細!$I$3:$I$302,Y$212))</f>
        <v/>
      </c>
      <c r="Z336" s="51" t="str">
        <f aca="false">IF($A336="","",SUMIFS(工数明細!$G$3:$G$302,工数明細!$B$3:$B$302,$A336,工数明細!$I$3:$I$302,Z$212))</f>
        <v/>
      </c>
      <c r="AA336" s="51" t="str">
        <f aca="false">IF($A336="","",SUMIFS(工数明細!$G$3:$G$302,工数明細!$B$3:$B$302,$A336,工数明細!$I$3:$I$302,AA$212))</f>
        <v/>
      </c>
      <c r="AB336" s="51" t="str">
        <f aca="false">IF($A336="","",SUMIFS(工数明細!$G$3:$G$302,工数明細!$B$3:$B$302,$A336,工数明細!$I$3:$I$302,AB$212))</f>
        <v/>
      </c>
      <c r="AC336" s="51" t="str">
        <f aca="false">IF($A336="","",SUMIFS(工数明細!$G$3:$G$302,工数明細!$B$3:$B$302,$A336,工数明細!$I$3:$I$302,AC$212))</f>
        <v/>
      </c>
      <c r="AD336" s="51" t="str">
        <f aca="false">IF($A336="","",SUMIFS(工数明細!$G$3:$G$302,工数明細!$B$3:$B$302,$A336,工数明細!$I$3:$I$302,AD$212))</f>
        <v/>
      </c>
    </row>
    <row r="337" customFormat="false" ht="15.75" hidden="false" customHeight="true" outlineLevel="0" collapsed="false">
      <c r="A337" s="28" t="str">
        <f aca="false">IF(案件管理!$A$126:$A$126="","",案件管理!$A$126:$A$126)</f>
        <v/>
      </c>
      <c r="B337" s="10" t="str">
        <f aca="false">IF($A337="","",案件管理!$B$126:$B$126)</f>
        <v/>
      </c>
      <c r="C337" s="10" t="str">
        <f aca="false">IF($A337="","",案件管理!$D$126:$D$126)</f>
        <v/>
      </c>
      <c r="D337" s="30" t="str">
        <f aca="false">IF($A337="","",案件管理!$AE$126:$AE$126)</f>
        <v/>
      </c>
      <c r="E337" s="30" t="str">
        <f aca="false">IF($A337="","",SUM($G337:$AD337))</f>
        <v/>
      </c>
      <c r="F337" s="51" t="str">
        <f aca="false">IF($A337="","",N($E131)-N($E337))</f>
        <v/>
      </c>
      <c r="G337" s="51" t="str">
        <f aca="false">IF($A337="","",SUMIFS(工数明細!$G$3:$G$302,工数明細!$B$3:$B$302,$A337,工数明細!$I$3:$I$302,G$212))</f>
        <v/>
      </c>
      <c r="H337" s="51" t="str">
        <f aca="false">IF($A337="","",SUMIFS(工数明細!$G$3:$G$302,工数明細!$B$3:$B$302,$A337,工数明細!$I$3:$I$302,H$212))</f>
        <v/>
      </c>
      <c r="I337" s="51" t="str">
        <f aca="false">IF($A337="","",SUMIFS(工数明細!$G$3:$G$302,工数明細!$B$3:$B$302,$A337,工数明細!$I$3:$I$302,I$212))</f>
        <v/>
      </c>
      <c r="J337" s="51" t="str">
        <f aca="false">IF($A337="","",SUMIFS(工数明細!$G$3:$G$302,工数明細!$B$3:$B$302,$A337,工数明細!$I$3:$I$302,J$212))</f>
        <v/>
      </c>
      <c r="K337" s="51" t="str">
        <f aca="false">IF($A337="","",SUMIFS(工数明細!$G$3:$G$302,工数明細!$B$3:$B$302,$A337,工数明細!$I$3:$I$302,K$212))</f>
        <v/>
      </c>
      <c r="L337" s="51" t="str">
        <f aca="false">IF($A337="","",SUMIFS(工数明細!$G$3:$G$302,工数明細!$B$3:$B$302,$A337,工数明細!$I$3:$I$302,L$212))</f>
        <v/>
      </c>
      <c r="M337" s="51" t="str">
        <f aca="false">IF($A337="","",SUMIFS(工数明細!$G$3:$G$302,工数明細!$B$3:$B$302,$A337,工数明細!$I$3:$I$302,M$212))</f>
        <v/>
      </c>
      <c r="N337" s="51" t="str">
        <f aca="false">IF($A337="","",SUMIFS(工数明細!$G$3:$G$302,工数明細!$B$3:$B$302,$A337,工数明細!$I$3:$I$302,N$212))</f>
        <v/>
      </c>
      <c r="O337" s="51" t="str">
        <f aca="false">IF($A337="","",SUMIFS(工数明細!$G$3:$G$302,工数明細!$B$3:$B$302,$A337,工数明細!$I$3:$I$302,O$212))</f>
        <v/>
      </c>
      <c r="P337" s="51" t="str">
        <f aca="false">IF($A337="","",SUMIFS(工数明細!$G$3:$G$302,工数明細!$B$3:$B$302,$A337,工数明細!$I$3:$I$302,P$212))</f>
        <v/>
      </c>
      <c r="Q337" s="51" t="str">
        <f aca="false">IF($A337="","",SUMIFS(工数明細!$G$3:$G$302,工数明細!$B$3:$B$302,$A337,工数明細!$I$3:$I$302,Q$212))</f>
        <v/>
      </c>
      <c r="R337" s="51" t="str">
        <f aca="false">IF($A337="","",SUMIFS(工数明細!$G$3:$G$302,工数明細!$B$3:$B$302,$A337,工数明細!$I$3:$I$302,R$212))</f>
        <v/>
      </c>
      <c r="S337" s="51" t="str">
        <f aca="false">IF($A337="","",SUMIFS(工数明細!$G$3:$G$302,工数明細!$B$3:$B$302,$A337,工数明細!$I$3:$I$302,S$212))</f>
        <v/>
      </c>
      <c r="T337" s="51" t="str">
        <f aca="false">IF($A337="","",SUMIFS(工数明細!$G$3:$G$302,工数明細!$B$3:$B$302,$A337,工数明細!$I$3:$I$302,T$212))</f>
        <v/>
      </c>
      <c r="U337" s="51" t="str">
        <f aca="false">IF($A337="","",SUMIFS(工数明細!$G$3:$G$302,工数明細!$B$3:$B$302,$A337,工数明細!$I$3:$I$302,U$212))</f>
        <v/>
      </c>
      <c r="V337" s="51" t="str">
        <f aca="false">IF($A337="","",SUMIFS(工数明細!$G$3:$G$302,工数明細!$B$3:$B$302,$A337,工数明細!$I$3:$I$302,V$212))</f>
        <v/>
      </c>
      <c r="W337" s="51" t="str">
        <f aca="false">IF($A337="","",SUMIFS(工数明細!$G$3:$G$302,工数明細!$B$3:$B$302,$A337,工数明細!$I$3:$I$302,W$212))</f>
        <v/>
      </c>
      <c r="X337" s="51" t="str">
        <f aca="false">IF($A337="","",SUMIFS(工数明細!$G$3:$G$302,工数明細!$B$3:$B$302,$A337,工数明細!$I$3:$I$302,X$212))</f>
        <v/>
      </c>
      <c r="Y337" s="51" t="str">
        <f aca="false">IF($A337="","",SUMIFS(工数明細!$G$3:$G$302,工数明細!$B$3:$B$302,$A337,工数明細!$I$3:$I$302,Y$212))</f>
        <v/>
      </c>
      <c r="Z337" s="51" t="str">
        <f aca="false">IF($A337="","",SUMIFS(工数明細!$G$3:$G$302,工数明細!$B$3:$B$302,$A337,工数明細!$I$3:$I$302,Z$212))</f>
        <v/>
      </c>
      <c r="AA337" s="51" t="str">
        <f aca="false">IF($A337="","",SUMIFS(工数明細!$G$3:$G$302,工数明細!$B$3:$B$302,$A337,工数明細!$I$3:$I$302,AA$212))</f>
        <v/>
      </c>
      <c r="AB337" s="51" t="str">
        <f aca="false">IF($A337="","",SUMIFS(工数明細!$G$3:$G$302,工数明細!$B$3:$B$302,$A337,工数明細!$I$3:$I$302,AB$212))</f>
        <v/>
      </c>
      <c r="AC337" s="51" t="str">
        <f aca="false">IF($A337="","",SUMIFS(工数明細!$G$3:$G$302,工数明細!$B$3:$B$302,$A337,工数明細!$I$3:$I$302,AC$212))</f>
        <v/>
      </c>
      <c r="AD337" s="51" t="str">
        <f aca="false">IF($A337="","",SUMIFS(工数明細!$G$3:$G$302,工数明細!$B$3:$B$302,$A337,工数明細!$I$3:$I$302,AD$212))</f>
        <v/>
      </c>
    </row>
    <row r="338" customFormat="false" ht="15.75" hidden="false" customHeight="true" outlineLevel="0" collapsed="false">
      <c r="A338" s="28" t="str">
        <f aca="false">IF(案件管理!$A$127:$A$127="","",案件管理!$A$127:$A$127)</f>
        <v/>
      </c>
      <c r="B338" s="10" t="str">
        <f aca="false">IF($A338="","",案件管理!$B$127:$B$127)</f>
        <v/>
      </c>
      <c r="C338" s="10" t="str">
        <f aca="false">IF($A338="","",案件管理!$D$127:$D$127)</f>
        <v/>
      </c>
      <c r="D338" s="30" t="str">
        <f aca="false">IF($A338="","",案件管理!$AE$127:$AE$127)</f>
        <v/>
      </c>
      <c r="E338" s="30" t="str">
        <f aca="false">IF($A338="","",SUM($G338:$AD338))</f>
        <v/>
      </c>
      <c r="F338" s="51" t="str">
        <f aca="false">IF($A338="","",N($E132)-N($E338))</f>
        <v/>
      </c>
      <c r="G338" s="51" t="str">
        <f aca="false">IF($A338="","",SUMIFS(工数明細!$G$3:$G$302,工数明細!$B$3:$B$302,$A338,工数明細!$I$3:$I$302,G$212))</f>
        <v/>
      </c>
      <c r="H338" s="51" t="str">
        <f aca="false">IF($A338="","",SUMIFS(工数明細!$G$3:$G$302,工数明細!$B$3:$B$302,$A338,工数明細!$I$3:$I$302,H$212))</f>
        <v/>
      </c>
      <c r="I338" s="51" t="str">
        <f aca="false">IF($A338="","",SUMIFS(工数明細!$G$3:$G$302,工数明細!$B$3:$B$302,$A338,工数明細!$I$3:$I$302,I$212))</f>
        <v/>
      </c>
      <c r="J338" s="51" t="str">
        <f aca="false">IF($A338="","",SUMIFS(工数明細!$G$3:$G$302,工数明細!$B$3:$B$302,$A338,工数明細!$I$3:$I$302,J$212))</f>
        <v/>
      </c>
      <c r="K338" s="51" t="str">
        <f aca="false">IF($A338="","",SUMIFS(工数明細!$G$3:$G$302,工数明細!$B$3:$B$302,$A338,工数明細!$I$3:$I$302,K$212))</f>
        <v/>
      </c>
      <c r="L338" s="51" t="str">
        <f aca="false">IF($A338="","",SUMIFS(工数明細!$G$3:$G$302,工数明細!$B$3:$B$302,$A338,工数明細!$I$3:$I$302,L$212))</f>
        <v/>
      </c>
      <c r="M338" s="51" t="str">
        <f aca="false">IF($A338="","",SUMIFS(工数明細!$G$3:$G$302,工数明細!$B$3:$B$302,$A338,工数明細!$I$3:$I$302,M$212))</f>
        <v/>
      </c>
      <c r="N338" s="51" t="str">
        <f aca="false">IF($A338="","",SUMIFS(工数明細!$G$3:$G$302,工数明細!$B$3:$B$302,$A338,工数明細!$I$3:$I$302,N$212))</f>
        <v/>
      </c>
      <c r="O338" s="51" t="str">
        <f aca="false">IF($A338="","",SUMIFS(工数明細!$G$3:$G$302,工数明細!$B$3:$B$302,$A338,工数明細!$I$3:$I$302,O$212))</f>
        <v/>
      </c>
      <c r="P338" s="51" t="str">
        <f aca="false">IF($A338="","",SUMIFS(工数明細!$G$3:$G$302,工数明細!$B$3:$B$302,$A338,工数明細!$I$3:$I$302,P$212))</f>
        <v/>
      </c>
      <c r="Q338" s="51" t="str">
        <f aca="false">IF($A338="","",SUMIFS(工数明細!$G$3:$G$302,工数明細!$B$3:$B$302,$A338,工数明細!$I$3:$I$302,Q$212))</f>
        <v/>
      </c>
      <c r="R338" s="51" t="str">
        <f aca="false">IF($A338="","",SUMIFS(工数明細!$G$3:$G$302,工数明細!$B$3:$B$302,$A338,工数明細!$I$3:$I$302,R$212))</f>
        <v/>
      </c>
      <c r="S338" s="51" t="str">
        <f aca="false">IF($A338="","",SUMIFS(工数明細!$G$3:$G$302,工数明細!$B$3:$B$302,$A338,工数明細!$I$3:$I$302,S$212))</f>
        <v/>
      </c>
      <c r="T338" s="51" t="str">
        <f aca="false">IF($A338="","",SUMIFS(工数明細!$G$3:$G$302,工数明細!$B$3:$B$302,$A338,工数明細!$I$3:$I$302,T$212))</f>
        <v/>
      </c>
      <c r="U338" s="51" t="str">
        <f aca="false">IF($A338="","",SUMIFS(工数明細!$G$3:$G$302,工数明細!$B$3:$B$302,$A338,工数明細!$I$3:$I$302,U$212))</f>
        <v/>
      </c>
      <c r="V338" s="51" t="str">
        <f aca="false">IF($A338="","",SUMIFS(工数明細!$G$3:$G$302,工数明細!$B$3:$B$302,$A338,工数明細!$I$3:$I$302,V$212))</f>
        <v/>
      </c>
      <c r="W338" s="51" t="str">
        <f aca="false">IF($A338="","",SUMIFS(工数明細!$G$3:$G$302,工数明細!$B$3:$B$302,$A338,工数明細!$I$3:$I$302,W$212))</f>
        <v/>
      </c>
      <c r="X338" s="51" t="str">
        <f aca="false">IF($A338="","",SUMIFS(工数明細!$G$3:$G$302,工数明細!$B$3:$B$302,$A338,工数明細!$I$3:$I$302,X$212))</f>
        <v/>
      </c>
      <c r="Y338" s="51" t="str">
        <f aca="false">IF($A338="","",SUMIFS(工数明細!$G$3:$G$302,工数明細!$B$3:$B$302,$A338,工数明細!$I$3:$I$302,Y$212))</f>
        <v/>
      </c>
      <c r="Z338" s="51" t="str">
        <f aca="false">IF($A338="","",SUMIFS(工数明細!$G$3:$G$302,工数明細!$B$3:$B$302,$A338,工数明細!$I$3:$I$302,Z$212))</f>
        <v/>
      </c>
      <c r="AA338" s="51" t="str">
        <f aca="false">IF($A338="","",SUMIFS(工数明細!$G$3:$G$302,工数明細!$B$3:$B$302,$A338,工数明細!$I$3:$I$302,AA$212))</f>
        <v/>
      </c>
      <c r="AB338" s="51" t="str">
        <f aca="false">IF($A338="","",SUMIFS(工数明細!$G$3:$G$302,工数明細!$B$3:$B$302,$A338,工数明細!$I$3:$I$302,AB$212))</f>
        <v/>
      </c>
      <c r="AC338" s="51" t="str">
        <f aca="false">IF($A338="","",SUMIFS(工数明細!$G$3:$G$302,工数明細!$B$3:$B$302,$A338,工数明細!$I$3:$I$302,AC$212))</f>
        <v/>
      </c>
      <c r="AD338" s="51" t="str">
        <f aca="false">IF($A338="","",SUMIFS(工数明細!$G$3:$G$302,工数明細!$B$3:$B$302,$A338,工数明細!$I$3:$I$302,AD$212))</f>
        <v/>
      </c>
    </row>
    <row r="339" customFormat="false" ht="15.75" hidden="false" customHeight="true" outlineLevel="0" collapsed="false">
      <c r="A339" s="28" t="str">
        <f aca="false">IF(案件管理!$A$128:$A$128="","",案件管理!$A$128:$A$128)</f>
        <v/>
      </c>
      <c r="B339" s="10" t="str">
        <f aca="false">IF($A339="","",案件管理!$B$128:$B$128)</f>
        <v/>
      </c>
      <c r="C339" s="10" t="str">
        <f aca="false">IF($A339="","",案件管理!$D$128:$D$128)</f>
        <v/>
      </c>
      <c r="D339" s="30" t="str">
        <f aca="false">IF($A339="","",案件管理!$AE$128:$AE$128)</f>
        <v/>
      </c>
      <c r="E339" s="30" t="str">
        <f aca="false">IF($A339="","",SUM($G339:$AD339))</f>
        <v/>
      </c>
      <c r="F339" s="51" t="str">
        <f aca="false">IF($A339="","",N($E133)-N($E339))</f>
        <v/>
      </c>
      <c r="G339" s="51" t="str">
        <f aca="false">IF($A339="","",SUMIFS(工数明細!$G$3:$G$302,工数明細!$B$3:$B$302,$A339,工数明細!$I$3:$I$302,G$212))</f>
        <v/>
      </c>
      <c r="H339" s="51" t="str">
        <f aca="false">IF($A339="","",SUMIFS(工数明細!$G$3:$G$302,工数明細!$B$3:$B$302,$A339,工数明細!$I$3:$I$302,H$212))</f>
        <v/>
      </c>
      <c r="I339" s="51" t="str">
        <f aca="false">IF($A339="","",SUMIFS(工数明細!$G$3:$G$302,工数明細!$B$3:$B$302,$A339,工数明細!$I$3:$I$302,I$212))</f>
        <v/>
      </c>
      <c r="J339" s="51" t="str">
        <f aca="false">IF($A339="","",SUMIFS(工数明細!$G$3:$G$302,工数明細!$B$3:$B$302,$A339,工数明細!$I$3:$I$302,J$212))</f>
        <v/>
      </c>
      <c r="K339" s="51" t="str">
        <f aca="false">IF($A339="","",SUMIFS(工数明細!$G$3:$G$302,工数明細!$B$3:$B$302,$A339,工数明細!$I$3:$I$302,K$212))</f>
        <v/>
      </c>
      <c r="L339" s="51" t="str">
        <f aca="false">IF($A339="","",SUMIFS(工数明細!$G$3:$G$302,工数明細!$B$3:$B$302,$A339,工数明細!$I$3:$I$302,L$212))</f>
        <v/>
      </c>
      <c r="M339" s="51" t="str">
        <f aca="false">IF($A339="","",SUMIFS(工数明細!$G$3:$G$302,工数明細!$B$3:$B$302,$A339,工数明細!$I$3:$I$302,M$212))</f>
        <v/>
      </c>
      <c r="N339" s="51" t="str">
        <f aca="false">IF($A339="","",SUMIFS(工数明細!$G$3:$G$302,工数明細!$B$3:$B$302,$A339,工数明細!$I$3:$I$302,N$212))</f>
        <v/>
      </c>
      <c r="O339" s="51" t="str">
        <f aca="false">IF($A339="","",SUMIFS(工数明細!$G$3:$G$302,工数明細!$B$3:$B$302,$A339,工数明細!$I$3:$I$302,O$212))</f>
        <v/>
      </c>
      <c r="P339" s="51" t="str">
        <f aca="false">IF($A339="","",SUMIFS(工数明細!$G$3:$G$302,工数明細!$B$3:$B$302,$A339,工数明細!$I$3:$I$302,P$212))</f>
        <v/>
      </c>
      <c r="Q339" s="51" t="str">
        <f aca="false">IF($A339="","",SUMIFS(工数明細!$G$3:$G$302,工数明細!$B$3:$B$302,$A339,工数明細!$I$3:$I$302,Q$212))</f>
        <v/>
      </c>
      <c r="R339" s="51" t="str">
        <f aca="false">IF($A339="","",SUMIFS(工数明細!$G$3:$G$302,工数明細!$B$3:$B$302,$A339,工数明細!$I$3:$I$302,R$212))</f>
        <v/>
      </c>
      <c r="S339" s="51" t="str">
        <f aca="false">IF($A339="","",SUMIFS(工数明細!$G$3:$G$302,工数明細!$B$3:$B$302,$A339,工数明細!$I$3:$I$302,S$212))</f>
        <v/>
      </c>
      <c r="T339" s="51" t="str">
        <f aca="false">IF($A339="","",SUMIFS(工数明細!$G$3:$G$302,工数明細!$B$3:$B$302,$A339,工数明細!$I$3:$I$302,T$212))</f>
        <v/>
      </c>
      <c r="U339" s="51" t="str">
        <f aca="false">IF($A339="","",SUMIFS(工数明細!$G$3:$G$302,工数明細!$B$3:$B$302,$A339,工数明細!$I$3:$I$302,U$212))</f>
        <v/>
      </c>
      <c r="V339" s="51" t="str">
        <f aca="false">IF($A339="","",SUMIFS(工数明細!$G$3:$G$302,工数明細!$B$3:$B$302,$A339,工数明細!$I$3:$I$302,V$212))</f>
        <v/>
      </c>
      <c r="W339" s="51" t="str">
        <f aca="false">IF($A339="","",SUMIFS(工数明細!$G$3:$G$302,工数明細!$B$3:$B$302,$A339,工数明細!$I$3:$I$302,W$212))</f>
        <v/>
      </c>
      <c r="X339" s="51" t="str">
        <f aca="false">IF($A339="","",SUMIFS(工数明細!$G$3:$G$302,工数明細!$B$3:$B$302,$A339,工数明細!$I$3:$I$302,X$212))</f>
        <v/>
      </c>
      <c r="Y339" s="51" t="str">
        <f aca="false">IF($A339="","",SUMIFS(工数明細!$G$3:$G$302,工数明細!$B$3:$B$302,$A339,工数明細!$I$3:$I$302,Y$212))</f>
        <v/>
      </c>
      <c r="Z339" s="51" t="str">
        <f aca="false">IF($A339="","",SUMIFS(工数明細!$G$3:$G$302,工数明細!$B$3:$B$302,$A339,工数明細!$I$3:$I$302,Z$212))</f>
        <v/>
      </c>
      <c r="AA339" s="51" t="str">
        <f aca="false">IF($A339="","",SUMIFS(工数明細!$G$3:$G$302,工数明細!$B$3:$B$302,$A339,工数明細!$I$3:$I$302,AA$212))</f>
        <v/>
      </c>
      <c r="AB339" s="51" t="str">
        <f aca="false">IF($A339="","",SUMIFS(工数明細!$G$3:$G$302,工数明細!$B$3:$B$302,$A339,工数明細!$I$3:$I$302,AB$212))</f>
        <v/>
      </c>
      <c r="AC339" s="51" t="str">
        <f aca="false">IF($A339="","",SUMIFS(工数明細!$G$3:$G$302,工数明細!$B$3:$B$302,$A339,工数明細!$I$3:$I$302,AC$212))</f>
        <v/>
      </c>
      <c r="AD339" s="51" t="str">
        <f aca="false">IF($A339="","",SUMIFS(工数明細!$G$3:$G$302,工数明細!$B$3:$B$302,$A339,工数明細!$I$3:$I$302,AD$212))</f>
        <v/>
      </c>
    </row>
    <row r="340" customFormat="false" ht="15.75" hidden="false" customHeight="true" outlineLevel="0" collapsed="false">
      <c r="A340" s="28" t="str">
        <f aca="false">IF(案件管理!$A$129:$A$129="","",案件管理!$A$129:$A$129)</f>
        <v/>
      </c>
      <c r="B340" s="10" t="str">
        <f aca="false">IF($A340="","",案件管理!$B$129:$B$129)</f>
        <v/>
      </c>
      <c r="C340" s="10" t="str">
        <f aca="false">IF($A340="","",案件管理!$D$129:$D$129)</f>
        <v/>
      </c>
      <c r="D340" s="30" t="str">
        <f aca="false">IF($A340="","",案件管理!$AE$129:$AE$129)</f>
        <v/>
      </c>
      <c r="E340" s="30" t="str">
        <f aca="false">IF($A340="","",SUM($G340:$AD340))</f>
        <v/>
      </c>
      <c r="F340" s="51" t="str">
        <f aca="false">IF($A340="","",N($E134)-N($E340))</f>
        <v/>
      </c>
      <c r="G340" s="51" t="str">
        <f aca="false">IF($A340="","",SUMIFS(工数明細!$G$3:$G$302,工数明細!$B$3:$B$302,$A340,工数明細!$I$3:$I$302,G$212))</f>
        <v/>
      </c>
      <c r="H340" s="51" t="str">
        <f aca="false">IF($A340="","",SUMIFS(工数明細!$G$3:$G$302,工数明細!$B$3:$B$302,$A340,工数明細!$I$3:$I$302,H$212))</f>
        <v/>
      </c>
      <c r="I340" s="51" t="str">
        <f aca="false">IF($A340="","",SUMIFS(工数明細!$G$3:$G$302,工数明細!$B$3:$B$302,$A340,工数明細!$I$3:$I$302,I$212))</f>
        <v/>
      </c>
      <c r="J340" s="51" t="str">
        <f aca="false">IF($A340="","",SUMIFS(工数明細!$G$3:$G$302,工数明細!$B$3:$B$302,$A340,工数明細!$I$3:$I$302,J$212))</f>
        <v/>
      </c>
      <c r="K340" s="51" t="str">
        <f aca="false">IF($A340="","",SUMIFS(工数明細!$G$3:$G$302,工数明細!$B$3:$B$302,$A340,工数明細!$I$3:$I$302,K$212))</f>
        <v/>
      </c>
      <c r="L340" s="51" t="str">
        <f aca="false">IF($A340="","",SUMIFS(工数明細!$G$3:$G$302,工数明細!$B$3:$B$302,$A340,工数明細!$I$3:$I$302,L$212))</f>
        <v/>
      </c>
      <c r="M340" s="51" t="str">
        <f aca="false">IF($A340="","",SUMIFS(工数明細!$G$3:$G$302,工数明細!$B$3:$B$302,$A340,工数明細!$I$3:$I$302,M$212))</f>
        <v/>
      </c>
      <c r="N340" s="51" t="str">
        <f aca="false">IF($A340="","",SUMIFS(工数明細!$G$3:$G$302,工数明細!$B$3:$B$302,$A340,工数明細!$I$3:$I$302,N$212))</f>
        <v/>
      </c>
      <c r="O340" s="51" t="str">
        <f aca="false">IF($A340="","",SUMIFS(工数明細!$G$3:$G$302,工数明細!$B$3:$B$302,$A340,工数明細!$I$3:$I$302,O$212))</f>
        <v/>
      </c>
      <c r="P340" s="51" t="str">
        <f aca="false">IF($A340="","",SUMIFS(工数明細!$G$3:$G$302,工数明細!$B$3:$B$302,$A340,工数明細!$I$3:$I$302,P$212))</f>
        <v/>
      </c>
      <c r="Q340" s="51" t="str">
        <f aca="false">IF($A340="","",SUMIFS(工数明細!$G$3:$G$302,工数明細!$B$3:$B$302,$A340,工数明細!$I$3:$I$302,Q$212))</f>
        <v/>
      </c>
      <c r="R340" s="51" t="str">
        <f aca="false">IF($A340="","",SUMIFS(工数明細!$G$3:$G$302,工数明細!$B$3:$B$302,$A340,工数明細!$I$3:$I$302,R$212))</f>
        <v/>
      </c>
      <c r="S340" s="51" t="str">
        <f aca="false">IF($A340="","",SUMIFS(工数明細!$G$3:$G$302,工数明細!$B$3:$B$302,$A340,工数明細!$I$3:$I$302,S$212))</f>
        <v/>
      </c>
      <c r="T340" s="51" t="str">
        <f aca="false">IF($A340="","",SUMIFS(工数明細!$G$3:$G$302,工数明細!$B$3:$B$302,$A340,工数明細!$I$3:$I$302,T$212))</f>
        <v/>
      </c>
      <c r="U340" s="51" t="str">
        <f aca="false">IF($A340="","",SUMIFS(工数明細!$G$3:$G$302,工数明細!$B$3:$B$302,$A340,工数明細!$I$3:$I$302,U$212))</f>
        <v/>
      </c>
      <c r="V340" s="51" t="str">
        <f aca="false">IF($A340="","",SUMIFS(工数明細!$G$3:$G$302,工数明細!$B$3:$B$302,$A340,工数明細!$I$3:$I$302,V$212))</f>
        <v/>
      </c>
      <c r="W340" s="51" t="str">
        <f aca="false">IF($A340="","",SUMIFS(工数明細!$G$3:$G$302,工数明細!$B$3:$B$302,$A340,工数明細!$I$3:$I$302,W$212))</f>
        <v/>
      </c>
      <c r="X340" s="51" t="str">
        <f aca="false">IF($A340="","",SUMIFS(工数明細!$G$3:$G$302,工数明細!$B$3:$B$302,$A340,工数明細!$I$3:$I$302,X$212))</f>
        <v/>
      </c>
      <c r="Y340" s="51" t="str">
        <f aca="false">IF($A340="","",SUMIFS(工数明細!$G$3:$G$302,工数明細!$B$3:$B$302,$A340,工数明細!$I$3:$I$302,Y$212))</f>
        <v/>
      </c>
      <c r="Z340" s="51" t="str">
        <f aca="false">IF($A340="","",SUMIFS(工数明細!$G$3:$G$302,工数明細!$B$3:$B$302,$A340,工数明細!$I$3:$I$302,Z$212))</f>
        <v/>
      </c>
      <c r="AA340" s="51" t="str">
        <f aca="false">IF($A340="","",SUMIFS(工数明細!$G$3:$G$302,工数明細!$B$3:$B$302,$A340,工数明細!$I$3:$I$302,AA$212))</f>
        <v/>
      </c>
      <c r="AB340" s="51" t="str">
        <f aca="false">IF($A340="","",SUMIFS(工数明細!$G$3:$G$302,工数明細!$B$3:$B$302,$A340,工数明細!$I$3:$I$302,AB$212))</f>
        <v/>
      </c>
      <c r="AC340" s="51" t="str">
        <f aca="false">IF($A340="","",SUMIFS(工数明細!$G$3:$G$302,工数明細!$B$3:$B$302,$A340,工数明細!$I$3:$I$302,AC$212))</f>
        <v/>
      </c>
      <c r="AD340" s="51" t="str">
        <f aca="false">IF($A340="","",SUMIFS(工数明細!$G$3:$G$302,工数明細!$B$3:$B$302,$A340,工数明細!$I$3:$I$302,AD$212))</f>
        <v/>
      </c>
    </row>
    <row r="341" customFormat="false" ht="15.75" hidden="false" customHeight="true" outlineLevel="0" collapsed="false">
      <c r="A341" s="28" t="str">
        <f aca="false">IF(案件管理!$A$130:$A$130="","",案件管理!$A$130:$A$130)</f>
        <v/>
      </c>
      <c r="B341" s="10" t="str">
        <f aca="false">IF($A341="","",案件管理!$B$130:$B$130)</f>
        <v/>
      </c>
      <c r="C341" s="10" t="str">
        <f aca="false">IF($A341="","",案件管理!$D$130:$D$130)</f>
        <v/>
      </c>
      <c r="D341" s="30" t="str">
        <f aca="false">IF($A341="","",案件管理!$AE$130:$AE$130)</f>
        <v/>
      </c>
      <c r="E341" s="30" t="str">
        <f aca="false">IF($A341="","",SUM($G341:$AD341))</f>
        <v/>
      </c>
      <c r="F341" s="51" t="str">
        <f aca="false">IF($A341="","",N($E135)-N($E341))</f>
        <v/>
      </c>
      <c r="G341" s="51" t="str">
        <f aca="false">IF($A341="","",SUMIFS(工数明細!$G$3:$G$302,工数明細!$B$3:$B$302,$A341,工数明細!$I$3:$I$302,G$212))</f>
        <v/>
      </c>
      <c r="H341" s="51" t="str">
        <f aca="false">IF($A341="","",SUMIFS(工数明細!$G$3:$G$302,工数明細!$B$3:$B$302,$A341,工数明細!$I$3:$I$302,H$212))</f>
        <v/>
      </c>
      <c r="I341" s="51" t="str">
        <f aca="false">IF($A341="","",SUMIFS(工数明細!$G$3:$G$302,工数明細!$B$3:$B$302,$A341,工数明細!$I$3:$I$302,I$212))</f>
        <v/>
      </c>
      <c r="J341" s="51" t="str">
        <f aca="false">IF($A341="","",SUMIFS(工数明細!$G$3:$G$302,工数明細!$B$3:$B$302,$A341,工数明細!$I$3:$I$302,J$212))</f>
        <v/>
      </c>
      <c r="K341" s="51" t="str">
        <f aca="false">IF($A341="","",SUMIFS(工数明細!$G$3:$G$302,工数明細!$B$3:$B$302,$A341,工数明細!$I$3:$I$302,K$212))</f>
        <v/>
      </c>
      <c r="L341" s="51" t="str">
        <f aca="false">IF($A341="","",SUMIFS(工数明細!$G$3:$G$302,工数明細!$B$3:$B$302,$A341,工数明細!$I$3:$I$302,L$212))</f>
        <v/>
      </c>
      <c r="M341" s="51" t="str">
        <f aca="false">IF($A341="","",SUMIFS(工数明細!$G$3:$G$302,工数明細!$B$3:$B$302,$A341,工数明細!$I$3:$I$302,M$212))</f>
        <v/>
      </c>
      <c r="N341" s="51" t="str">
        <f aca="false">IF($A341="","",SUMIFS(工数明細!$G$3:$G$302,工数明細!$B$3:$B$302,$A341,工数明細!$I$3:$I$302,N$212))</f>
        <v/>
      </c>
      <c r="O341" s="51" t="str">
        <f aca="false">IF($A341="","",SUMIFS(工数明細!$G$3:$G$302,工数明細!$B$3:$B$302,$A341,工数明細!$I$3:$I$302,O$212))</f>
        <v/>
      </c>
      <c r="P341" s="51" t="str">
        <f aca="false">IF($A341="","",SUMIFS(工数明細!$G$3:$G$302,工数明細!$B$3:$B$302,$A341,工数明細!$I$3:$I$302,P$212))</f>
        <v/>
      </c>
      <c r="Q341" s="51" t="str">
        <f aca="false">IF($A341="","",SUMIFS(工数明細!$G$3:$G$302,工数明細!$B$3:$B$302,$A341,工数明細!$I$3:$I$302,Q$212))</f>
        <v/>
      </c>
      <c r="R341" s="51" t="str">
        <f aca="false">IF($A341="","",SUMIFS(工数明細!$G$3:$G$302,工数明細!$B$3:$B$302,$A341,工数明細!$I$3:$I$302,R$212))</f>
        <v/>
      </c>
      <c r="S341" s="51" t="str">
        <f aca="false">IF($A341="","",SUMIFS(工数明細!$G$3:$G$302,工数明細!$B$3:$B$302,$A341,工数明細!$I$3:$I$302,S$212))</f>
        <v/>
      </c>
      <c r="T341" s="51" t="str">
        <f aca="false">IF($A341="","",SUMIFS(工数明細!$G$3:$G$302,工数明細!$B$3:$B$302,$A341,工数明細!$I$3:$I$302,T$212))</f>
        <v/>
      </c>
      <c r="U341" s="51" t="str">
        <f aca="false">IF($A341="","",SUMIFS(工数明細!$G$3:$G$302,工数明細!$B$3:$B$302,$A341,工数明細!$I$3:$I$302,U$212))</f>
        <v/>
      </c>
      <c r="V341" s="51" t="str">
        <f aca="false">IF($A341="","",SUMIFS(工数明細!$G$3:$G$302,工数明細!$B$3:$B$302,$A341,工数明細!$I$3:$I$302,V$212))</f>
        <v/>
      </c>
      <c r="W341" s="51" t="str">
        <f aca="false">IF($A341="","",SUMIFS(工数明細!$G$3:$G$302,工数明細!$B$3:$B$302,$A341,工数明細!$I$3:$I$302,W$212))</f>
        <v/>
      </c>
      <c r="X341" s="51" t="str">
        <f aca="false">IF($A341="","",SUMIFS(工数明細!$G$3:$G$302,工数明細!$B$3:$B$302,$A341,工数明細!$I$3:$I$302,X$212))</f>
        <v/>
      </c>
      <c r="Y341" s="51" t="str">
        <f aca="false">IF($A341="","",SUMIFS(工数明細!$G$3:$G$302,工数明細!$B$3:$B$302,$A341,工数明細!$I$3:$I$302,Y$212))</f>
        <v/>
      </c>
      <c r="Z341" s="51" t="str">
        <f aca="false">IF($A341="","",SUMIFS(工数明細!$G$3:$G$302,工数明細!$B$3:$B$302,$A341,工数明細!$I$3:$I$302,Z$212))</f>
        <v/>
      </c>
      <c r="AA341" s="51" t="str">
        <f aca="false">IF($A341="","",SUMIFS(工数明細!$G$3:$G$302,工数明細!$B$3:$B$302,$A341,工数明細!$I$3:$I$302,AA$212))</f>
        <v/>
      </c>
      <c r="AB341" s="51" t="str">
        <f aca="false">IF($A341="","",SUMIFS(工数明細!$G$3:$G$302,工数明細!$B$3:$B$302,$A341,工数明細!$I$3:$I$302,AB$212))</f>
        <v/>
      </c>
      <c r="AC341" s="51" t="str">
        <f aca="false">IF($A341="","",SUMIFS(工数明細!$G$3:$G$302,工数明細!$B$3:$B$302,$A341,工数明細!$I$3:$I$302,AC$212))</f>
        <v/>
      </c>
      <c r="AD341" s="51" t="str">
        <f aca="false">IF($A341="","",SUMIFS(工数明細!$G$3:$G$302,工数明細!$B$3:$B$302,$A341,工数明細!$I$3:$I$302,AD$212))</f>
        <v/>
      </c>
    </row>
    <row r="342" customFormat="false" ht="15.75" hidden="false" customHeight="true" outlineLevel="0" collapsed="false">
      <c r="A342" s="28" t="str">
        <f aca="false">IF(案件管理!$A$131:$A$131="","",案件管理!$A$131:$A$131)</f>
        <v/>
      </c>
      <c r="B342" s="10" t="str">
        <f aca="false">IF($A342="","",案件管理!$B$131:$B$131)</f>
        <v/>
      </c>
      <c r="C342" s="10" t="str">
        <f aca="false">IF($A342="","",案件管理!$D$131:$D$131)</f>
        <v/>
      </c>
      <c r="D342" s="30" t="str">
        <f aca="false">IF($A342="","",案件管理!$AE$131:$AE$131)</f>
        <v/>
      </c>
      <c r="E342" s="30" t="str">
        <f aca="false">IF($A342="","",SUM($G342:$AD342))</f>
        <v/>
      </c>
      <c r="F342" s="51" t="str">
        <f aca="false">IF($A342="","",N($E136)-N($E342))</f>
        <v/>
      </c>
      <c r="G342" s="51" t="str">
        <f aca="false">IF($A342="","",SUMIFS(工数明細!$G$3:$G$302,工数明細!$B$3:$B$302,$A342,工数明細!$I$3:$I$302,G$212))</f>
        <v/>
      </c>
      <c r="H342" s="51" t="str">
        <f aca="false">IF($A342="","",SUMIFS(工数明細!$G$3:$G$302,工数明細!$B$3:$B$302,$A342,工数明細!$I$3:$I$302,H$212))</f>
        <v/>
      </c>
      <c r="I342" s="51" t="str">
        <f aca="false">IF($A342="","",SUMIFS(工数明細!$G$3:$G$302,工数明細!$B$3:$B$302,$A342,工数明細!$I$3:$I$302,I$212))</f>
        <v/>
      </c>
      <c r="J342" s="51" t="str">
        <f aca="false">IF($A342="","",SUMIFS(工数明細!$G$3:$G$302,工数明細!$B$3:$B$302,$A342,工数明細!$I$3:$I$302,J$212))</f>
        <v/>
      </c>
      <c r="K342" s="51" t="str">
        <f aca="false">IF($A342="","",SUMIFS(工数明細!$G$3:$G$302,工数明細!$B$3:$B$302,$A342,工数明細!$I$3:$I$302,K$212))</f>
        <v/>
      </c>
      <c r="L342" s="51" t="str">
        <f aca="false">IF($A342="","",SUMIFS(工数明細!$G$3:$G$302,工数明細!$B$3:$B$302,$A342,工数明細!$I$3:$I$302,L$212))</f>
        <v/>
      </c>
      <c r="M342" s="51" t="str">
        <f aca="false">IF($A342="","",SUMIFS(工数明細!$G$3:$G$302,工数明細!$B$3:$B$302,$A342,工数明細!$I$3:$I$302,M$212))</f>
        <v/>
      </c>
      <c r="N342" s="51" t="str">
        <f aca="false">IF($A342="","",SUMIFS(工数明細!$G$3:$G$302,工数明細!$B$3:$B$302,$A342,工数明細!$I$3:$I$302,N$212))</f>
        <v/>
      </c>
      <c r="O342" s="51" t="str">
        <f aca="false">IF($A342="","",SUMIFS(工数明細!$G$3:$G$302,工数明細!$B$3:$B$302,$A342,工数明細!$I$3:$I$302,O$212))</f>
        <v/>
      </c>
      <c r="P342" s="51" t="str">
        <f aca="false">IF($A342="","",SUMIFS(工数明細!$G$3:$G$302,工数明細!$B$3:$B$302,$A342,工数明細!$I$3:$I$302,P$212))</f>
        <v/>
      </c>
      <c r="Q342" s="51" t="str">
        <f aca="false">IF($A342="","",SUMIFS(工数明細!$G$3:$G$302,工数明細!$B$3:$B$302,$A342,工数明細!$I$3:$I$302,Q$212))</f>
        <v/>
      </c>
      <c r="R342" s="51" t="str">
        <f aca="false">IF($A342="","",SUMIFS(工数明細!$G$3:$G$302,工数明細!$B$3:$B$302,$A342,工数明細!$I$3:$I$302,R$212))</f>
        <v/>
      </c>
      <c r="S342" s="51" t="str">
        <f aca="false">IF($A342="","",SUMIFS(工数明細!$G$3:$G$302,工数明細!$B$3:$B$302,$A342,工数明細!$I$3:$I$302,S$212))</f>
        <v/>
      </c>
      <c r="T342" s="51" t="str">
        <f aca="false">IF($A342="","",SUMIFS(工数明細!$G$3:$G$302,工数明細!$B$3:$B$302,$A342,工数明細!$I$3:$I$302,T$212))</f>
        <v/>
      </c>
      <c r="U342" s="51" t="str">
        <f aca="false">IF($A342="","",SUMIFS(工数明細!$G$3:$G$302,工数明細!$B$3:$B$302,$A342,工数明細!$I$3:$I$302,U$212))</f>
        <v/>
      </c>
      <c r="V342" s="51" t="str">
        <f aca="false">IF($A342="","",SUMIFS(工数明細!$G$3:$G$302,工数明細!$B$3:$B$302,$A342,工数明細!$I$3:$I$302,V$212))</f>
        <v/>
      </c>
      <c r="W342" s="51" t="str">
        <f aca="false">IF($A342="","",SUMIFS(工数明細!$G$3:$G$302,工数明細!$B$3:$B$302,$A342,工数明細!$I$3:$I$302,W$212))</f>
        <v/>
      </c>
      <c r="X342" s="51" t="str">
        <f aca="false">IF($A342="","",SUMIFS(工数明細!$G$3:$G$302,工数明細!$B$3:$B$302,$A342,工数明細!$I$3:$I$302,X$212))</f>
        <v/>
      </c>
      <c r="Y342" s="51" t="str">
        <f aca="false">IF($A342="","",SUMIFS(工数明細!$G$3:$G$302,工数明細!$B$3:$B$302,$A342,工数明細!$I$3:$I$302,Y$212))</f>
        <v/>
      </c>
      <c r="Z342" s="51" t="str">
        <f aca="false">IF($A342="","",SUMIFS(工数明細!$G$3:$G$302,工数明細!$B$3:$B$302,$A342,工数明細!$I$3:$I$302,Z$212))</f>
        <v/>
      </c>
      <c r="AA342" s="51" t="str">
        <f aca="false">IF($A342="","",SUMIFS(工数明細!$G$3:$G$302,工数明細!$B$3:$B$302,$A342,工数明細!$I$3:$I$302,AA$212))</f>
        <v/>
      </c>
      <c r="AB342" s="51" t="str">
        <f aca="false">IF($A342="","",SUMIFS(工数明細!$G$3:$G$302,工数明細!$B$3:$B$302,$A342,工数明細!$I$3:$I$302,AB$212))</f>
        <v/>
      </c>
      <c r="AC342" s="51" t="str">
        <f aca="false">IF($A342="","",SUMIFS(工数明細!$G$3:$G$302,工数明細!$B$3:$B$302,$A342,工数明細!$I$3:$I$302,AC$212))</f>
        <v/>
      </c>
      <c r="AD342" s="51" t="str">
        <f aca="false">IF($A342="","",SUMIFS(工数明細!$G$3:$G$302,工数明細!$B$3:$B$302,$A342,工数明細!$I$3:$I$302,AD$212))</f>
        <v/>
      </c>
    </row>
    <row r="343" customFormat="false" ht="15.75" hidden="false" customHeight="true" outlineLevel="0" collapsed="false">
      <c r="A343" s="28" t="str">
        <f aca="false">IF(案件管理!$A$132:$A$132="","",案件管理!$A$132:$A$132)</f>
        <v/>
      </c>
      <c r="B343" s="10" t="str">
        <f aca="false">IF($A343="","",案件管理!$B$132:$B$132)</f>
        <v/>
      </c>
      <c r="C343" s="10" t="str">
        <f aca="false">IF($A343="","",案件管理!$D$132:$D$132)</f>
        <v/>
      </c>
      <c r="D343" s="30" t="str">
        <f aca="false">IF($A343="","",案件管理!$AE$132:$AE$132)</f>
        <v/>
      </c>
      <c r="E343" s="30" t="str">
        <f aca="false">IF($A343="","",SUM($G343:$AD343))</f>
        <v/>
      </c>
      <c r="F343" s="51" t="str">
        <f aca="false">IF($A343="","",N($E137)-N($E343))</f>
        <v/>
      </c>
      <c r="G343" s="51" t="str">
        <f aca="false">IF($A343="","",SUMIFS(工数明細!$G$3:$G$302,工数明細!$B$3:$B$302,$A343,工数明細!$I$3:$I$302,G$212))</f>
        <v/>
      </c>
      <c r="H343" s="51" t="str">
        <f aca="false">IF($A343="","",SUMIFS(工数明細!$G$3:$G$302,工数明細!$B$3:$B$302,$A343,工数明細!$I$3:$I$302,H$212))</f>
        <v/>
      </c>
      <c r="I343" s="51" t="str">
        <f aca="false">IF($A343="","",SUMIFS(工数明細!$G$3:$G$302,工数明細!$B$3:$B$302,$A343,工数明細!$I$3:$I$302,I$212))</f>
        <v/>
      </c>
      <c r="J343" s="51" t="str">
        <f aca="false">IF($A343="","",SUMIFS(工数明細!$G$3:$G$302,工数明細!$B$3:$B$302,$A343,工数明細!$I$3:$I$302,J$212))</f>
        <v/>
      </c>
      <c r="K343" s="51" t="str">
        <f aca="false">IF($A343="","",SUMIFS(工数明細!$G$3:$G$302,工数明細!$B$3:$B$302,$A343,工数明細!$I$3:$I$302,K$212))</f>
        <v/>
      </c>
      <c r="L343" s="51" t="str">
        <f aca="false">IF($A343="","",SUMIFS(工数明細!$G$3:$G$302,工数明細!$B$3:$B$302,$A343,工数明細!$I$3:$I$302,L$212))</f>
        <v/>
      </c>
      <c r="M343" s="51" t="str">
        <f aca="false">IF($A343="","",SUMIFS(工数明細!$G$3:$G$302,工数明細!$B$3:$B$302,$A343,工数明細!$I$3:$I$302,M$212))</f>
        <v/>
      </c>
      <c r="N343" s="51" t="str">
        <f aca="false">IF($A343="","",SUMIFS(工数明細!$G$3:$G$302,工数明細!$B$3:$B$302,$A343,工数明細!$I$3:$I$302,N$212))</f>
        <v/>
      </c>
      <c r="O343" s="51" t="str">
        <f aca="false">IF($A343="","",SUMIFS(工数明細!$G$3:$G$302,工数明細!$B$3:$B$302,$A343,工数明細!$I$3:$I$302,O$212))</f>
        <v/>
      </c>
      <c r="P343" s="51" t="str">
        <f aca="false">IF($A343="","",SUMIFS(工数明細!$G$3:$G$302,工数明細!$B$3:$B$302,$A343,工数明細!$I$3:$I$302,P$212))</f>
        <v/>
      </c>
      <c r="Q343" s="51" t="str">
        <f aca="false">IF($A343="","",SUMIFS(工数明細!$G$3:$G$302,工数明細!$B$3:$B$302,$A343,工数明細!$I$3:$I$302,Q$212))</f>
        <v/>
      </c>
      <c r="R343" s="51" t="str">
        <f aca="false">IF($A343="","",SUMIFS(工数明細!$G$3:$G$302,工数明細!$B$3:$B$302,$A343,工数明細!$I$3:$I$302,R$212))</f>
        <v/>
      </c>
      <c r="S343" s="51" t="str">
        <f aca="false">IF($A343="","",SUMIFS(工数明細!$G$3:$G$302,工数明細!$B$3:$B$302,$A343,工数明細!$I$3:$I$302,S$212))</f>
        <v/>
      </c>
      <c r="T343" s="51" t="str">
        <f aca="false">IF($A343="","",SUMIFS(工数明細!$G$3:$G$302,工数明細!$B$3:$B$302,$A343,工数明細!$I$3:$I$302,T$212))</f>
        <v/>
      </c>
      <c r="U343" s="51" t="str">
        <f aca="false">IF($A343="","",SUMIFS(工数明細!$G$3:$G$302,工数明細!$B$3:$B$302,$A343,工数明細!$I$3:$I$302,U$212))</f>
        <v/>
      </c>
      <c r="V343" s="51" t="str">
        <f aca="false">IF($A343="","",SUMIFS(工数明細!$G$3:$G$302,工数明細!$B$3:$B$302,$A343,工数明細!$I$3:$I$302,V$212))</f>
        <v/>
      </c>
      <c r="W343" s="51" t="str">
        <f aca="false">IF($A343="","",SUMIFS(工数明細!$G$3:$G$302,工数明細!$B$3:$B$302,$A343,工数明細!$I$3:$I$302,W$212))</f>
        <v/>
      </c>
      <c r="X343" s="51" t="str">
        <f aca="false">IF($A343="","",SUMIFS(工数明細!$G$3:$G$302,工数明細!$B$3:$B$302,$A343,工数明細!$I$3:$I$302,X$212))</f>
        <v/>
      </c>
      <c r="Y343" s="51" t="str">
        <f aca="false">IF($A343="","",SUMIFS(工数明細!$G$3:$G$302,工数明細!$B$3:$B$302,$A343,工数明細!$I$3:$I$302,Y$212))</f>
        <v/>
      </c>
      <c r="Z343" s="51" t="str">
        <f aca="false">IF($A343="","",SUMIFS(工数明細!$G$3:$G$302,工数明細!$B$3:$B$302,$A343,工数明細!$I$3:$I$302,Z$212))</f>
        <v/>
      </c>
      <c r="AA343" s="51" t="str">
        <f aca="false">IF($A343="","",SUMIFS(工数明細!$G$3:$G$302,工数明細!$B$3:$B$302,$A343,工数明細!$I$3:$I$302,AA$212))</f>
        <v/>
      </c>
      <c r="AB343" s="51" t="str">
        <f aca="false">IF($A343="","",SUMIFS(工数明細!$G$3:$G$302,工数明細!$B$3:$B$302,$A343,工数明細!$I$3:$I$302,AB$212))</f>
        <v/>
      </c>
      <c r="AC343" s="51" t="str">
        <f aca="false">IF($A343="","",SUMIFS(工数明細!$G$3:$G$302,工数明細!$B$3:$B$302,$A343,工数明細!$I$3:$I$302,AC$212))</f>
        <v/>
      </c>
      <c r="AD343" s="51" t="str">
        <f aca="false">IF($A343="","",SUMIFS(工数明細!$G$3:$G$302,工数明細!$B$3:$B$302,$A343,工数明細!$I$3:$I$302,AD$212))</f>
        <v/>
      </c>
    </row>
    <row r="344" customFormat="false" ht="15.75" hidden="false" customHeight="true" outlineLevel="0" collapsed="false">
      <c r="A344" s="28" t="str">
        <f aca="false">IF(案件管理!$A$133:$A$133="","",案件管理!$A$133:$A$133)</f>
        <v/>
      </c>
      <c r="B344" s="10" t="str">
        <f aca="false">IF($A344="","",案件管理!$B$133:$B$133)</f>
        <v/>
      </c>
      <c r="C344" s="10" t="str">
        <f aca="false">IF($A344="","",案件管理!$D$133:$D$133)</f>
        <v/>
      </c>
      <c r="D344" s="30" t="str">
        <f aca="false">IF($A344="","",案件管理!$AE$133:$AE$133)</f>
        <v/>
      </c>
      <c r="E344" s="30" t="str">
        <f aca="false">IF($A344="","",SUM($G344:$AD344))</f>
        <v/>
      </c>
      <c r="F344" s="51" t="str">
        <f aca="false">IF($A344="","",N($E138)-N($E344))</f>
        <v/>
      </c>
      <c r="G344" s="51" t="str">
        <f aca="false">IF($A344="","",SUMIFS(工数明細!$G$3:$G$302,工数明細!$B$3:$B$302,$A344,工数明細!$I$3:$I$302,G$212))</f>
        <v/>
      </c>
      <c r="H344" s="51" t="str">
        <f aca="false">IF($A344="","",SUMIFS(工数明細!$G$3:$G$302,工数明細!$B$3:$B$302,$A344,工数明細!$I$3:$I$302,H$212))</f>
        <v/>
      </c>
      <c r="I344" s="51" t="str">
        <f aca="false">IF($A344="","",SUMIFS(工数明細!$G$3:$G$302,工数明細!$B$3:$B$302,$A344,工数明細!$I$3:$I$302,I$212))</f>
        <v/>
      </c>
      <c r="J344" s="51" t="str">
        <f aca="false">IF($A344="","",SUMIFS(工数明細!$G$3:$G$302,工数明細!$B$3:$B$302,$A344,工数明細!$I$3:$I$302,J$212))</f>
        <v/>
      </c>
      <c r="K344" s="51" t="str">
        <f aca="false">IF($A344="","",SUMIFS(工数明細!$G$3:$G$302,工数明細!$B$3:$B$302,$A344,工数明細!$I$3:$I$302,K$212))</f>
        <v/>
      </c>
      <c r="L344" s="51" t="str">
        <f aca="false">IF($A344="","",SUMIFS(工数明細!$G$3:$G$302,工数明細!$B$3:$B$302,$A344,工数明細!$I$3:$I$302,L$212))</f>
        <v/>
      </c>
      <c r="M344" s="51" t="str">
        <f aca="false">IF($A344="","",SUMIFS(工数明細!$G$3:$G$302,工数明細!$B$3:$B$302,$A344,工数明細!$I$3:$I$302,M$212))</f>
        <v/>
      </c>
      <c r="N344" s="51" t="str">
        <f aca="false">IF($A344="","",SUMIFS(工数明細!$G$3:$G$302,工数明細!$B$3:$B$302,$A344,工数明細!$I$3:$I$302,N$212))</f>
        <v/>
      </c>
      <c r="O344" s="51" t="str">
        <f aca="false">IF($A344="","",SUMIFS(工数明細!$G$3:$G$302,工数明細!$B$3:$B$302,$A344,工数明細!$I$3:$I$302,O$212))</f>
        <v/>
      </c>
      <c r="P344" s="51" t="str">
        <f aca="false">IF($A344="","",SUMIFS(工数明細!$G$3:$G$302,工数明細!$B$3:$B$302,$A344,工数明細!$I$3:$I$302,P$212))</f>
        <v/>
      </c>
      <c r="Q344" s="51" t="str">
        <f aca="false">IF($A344="","",SUMIFS(工数明細!$G$3:$G$302,工数明細!$B$3:$B$302,$A344,工数明細!$I$3:$I$302,Q$212))</f>
        <v/>
      </c>
      <c r="R344" s="51" t="str">
        <f aca="false">IF($A344="","",SUMIFS(工数明細!$G$3:$G$302,工数明細!$B$3:$B$302,$A344,工数明細!$I$3:$I$302,R$212))</f>
        <v/>
      </c>
      <c r="S344" s="51" t="str">
        <f aca="false">IF($A344="","",SUMIFS(工数明細!$G$3:$G$302,工数明細!$B$3:$B$302,$A344,工数明細!$I$3:$I$302,S$212))</f>
        <v/>
      </c>
      <c r="T344" s="51" t="str">
        <f aca="false">IF($A344="","",SUMIFS(工数明細!$G$3:$G$302,工数明細!$B$3:$B$302,$A344,工数明細!$I$3:$I$302,T$212))</f>
        <v/>
      </c>
      <c r="U344" s="51" t="str">
        <f aca="false">IF($A344="","",SUMIFS(工数明細!$G$3:$G$302,工数明細!$B$3:$B$302,$A344,工数明細!$I$3:$I$302,U$212))</f>
        <v/>
      </c>
      <c r="V344" s="51" t="str">
        <f aca="false">IF($A344="","",SUMIFS(工数明細!$G$3:$G$302,工数明細!$B$3:$B$302,$A344,工数明細!$I$3:$I$302,V$212))</f>
        <v/>
      </c>
      <c r="W344" s="51" t="str">
        <f aca="false">IF($A344="","",SUMIFS(工数明細!$G$3:$G$302,工数明細!$B$3:$B$302,$A344,工数明細!$I$3:$I$302,W$212))</f>
        <v/>
      </c>
      <c r="X344" s="51" t="str">
        <f aca="false">IF($A344="","",SUMIFS(工数明細!$G$3:$G$302,工数明細!$B$3:$B$302,$A344,工数明細!$I$3:$I$302,X$212))</f>
        <v/>
      </c>
      <c r="Y344" s="51" t="str">
        <f aca="false">IF($A344="","",SUMIFS(工数明細!$G$3:$G$302,工数明細!$B$3:$B$302,$A344,工数明細!$I$3:$I$302,Y$212))</f>
        <v/>
      </c>
      <c r="Z344" s="51" t="str">
        <f aca="false">IF($A344="","",SUMIFS(工数明細!$G$3:$G$302,工数明細!$B$3:$B$302,$A344,工数明細!$I$3:$I$302,Z$212))</f>
        <v/>
      </c>
      <c r="AA344" s="51" t="str">
        <f aca="false">IF($A344="","",SUMIFS(工数明細!$G$3:$G$302,工数明細!$B$3:$B$302,$A344,工数明細!$I$3:$I$302,AA$212))</f>
        <v/>
      </c>
      <c r="AB344" s="51" t="str">
        <f aca="false">IF($A344="","",SUMIFS(工数明細!$G$3:$G$302,工数明細!$B$3:$B$302,$A344,工数明細!$I$3:$I$302,AB$212))</f>
        <v/>
      </c>
      <c r="AC344" s="51" t="str">
        <f aca="false">IF($A344="","",SUMIFS(工数明細!$G$3:$G$302,工数明細!$B$3:$B$302,$A344,工数明細!$I$3:$I$302,AC$212))</f>
        <v/>
      </c>
      <c r="AD344" s="51" t="str">
        <f aca="false">IF($A344="","",SUMIFS(工数明細!$G$3:$G$302,工数明細!$B$3:$B$302,$A344,工数明細!$I$3:$I$302,AD$212))</f>
        <v/>
      </c>
    </row>
    <row r="345" customFormat="false" ht="15.75" hidden="false" customHeight="true" outlineLevel="0" collapsed="false">
      <c r="A345" s="28" t="str">
        <f aca="false">IF(案件管理!$A$134:$A$134="","",案件管理!$A$134:$A$134)</f>
        <v/>
      </c>
      <c r="B345" s="10" t="str">
        <f aca="false">IF($A345="","",案件管理!$B$134:$B$134)</f>
        <v/>
      </c>
      <c r="C345" s="10" t="str">
        <f aca="false">IF($A345="","",案件管理!$D$134:$D$134)</f>
        <v/>
      </c>
      <c r="D345" s="30" t="str">
        <f aca="false">IF($A345="","",案件管理!$AE$134:$AE$134)</f>
        <v/>
      </c>
      <c r="E345" s="30" t="str">
        <f aca="false">IF($A345="","",SUM($G345:$AD345))</f>
        <v/>
      </c>
      <c r="F345" s="51" t="str">
        <f aca="false">IF($A345="","",N($E139)-N($E345))</f>
        <v/>
      </c>
      <c r="G345" s="51" t="str">
        <f aca="false">IF($A345="","",SUMIFS(工数明細!$G$3:$G$302,工数明細!$B$3:$B$302,$A345,工数明細!$I$3:$I$302,G$212))</f>
        <v/>
      </c>
      <c r="H345" s="51" t="str">
        <f aca="false">IF($A345="","",SUMIFS(工数明細!$G$3:$G$302,工数明細!$B$3:$B$302,$A345,工数明細!$I$3:$I$302,H$212))</f>
        <v/>
      </c>
      <c r="I345" s="51" t="str">
        <f aca="false">IF($A345="","",SUMIFS(工数明細!$G$3:$G$302,工数明細!$B$3:$B$302,$A345,工数明細!$I$3:$I$302,I$212))</f>
        <v/>
      </c>
      <c r="J345" s="51" t="str">
        <f aca="false">IF($A345="","",SUMIFS(工数明細!$G$3:$G$302,工数明細!$B$3:$B$302,$A345,工数明細!$I$3:$I$302,J$212))</f>
        <v/>
      </c>
      <c r="K345" s="51" t="str">
        <f aca="false">IF($A345="","",SUMIFS(工数明細!$G$3:$G$302,工数明細!$B$3:$B$302,$A345,工数明細!$I$3:$I$302,K$212))</f>
        <v/>
      </c>
      <c r="L345" s="51" t="str">
        <f aca="false">IF($A345="","",SUMIFS(工数明細!$G$3:$G$302,工数明細!$B$3:$B$302,$A345,工数明細!$I$3:$I$302,L$212))</f>
        <v/>
      </c>
      <c r="M345" s="51" t="str">
        <f aca="false">IF($A345="","",SUMIFS(工数明細!$G$3:$G$302,工数明細!$B$3:$B$302,$A345,工数明細!$I$3:$I$302,M$212))</f>
        <v/>
      </c>
      <c r="N345" s="51" t="str">
        <f aca="false">IF($A345="","",SUMIFS(工数明細!$G$3:$G$302,工数明細!$B$3:$B$302,$A345,工数明細!$I$3:$I$302,N$212))</f>
        <v/>
      </c>
      <c r="O345" s="51" t="str">
        <f aca="false">IF($A345="","",SUMIFS(工数明細!$G$3:$G$302,工数明細!$B$3:$B$302,$A345,工数明細!$I$3:$I$302,O$212))</f>
        <v/>
      </c>
      <c r="P345" s="51" t="str">
        <f aca="false">IF($A345="","",SUMIFS(工数明細!$G$3:$G$302,工数明細!$B$3:$B$302,$A345,工数明細!$I$3:$I$302,P$212))</f>
        <v/>
      </c>
      <c r="Q345" s="51" t="str">
        <f aca="false">IF($A345="","",SUMIFS(工数明細!$G$3:$G$302,工数明細!$B$3:$B$302,$A345,工数明細!$I$3:$I$302,Q$212))</f>
        <v/>
      </c>
      <c r="R345" s="51" t="str">
        <f aca="false">IF($A345="","",SUMIFS(工数明細!$G$3:$G$302,工数明細!$B$3:$B$302,$A345,工数明細!$I$3:$I$302,R$212))</f>
        <v/>
      </c>
      <c r="S345" s="51" t="str">
        <f aca="false">IF($A345="","",SUMIFS(工数明細!$G$3:$G$302,工数明細!$B$3:$B$302,$A345,工数明細!$I$3:$I$302,S$212))</f>
        <v/>
      </c>
      <c r="T345" s="51" t="str">
        <f aca="false">IF($A345="","",SUMIFS(工数明細!$G$3:$G$302,工数明細!$B$3:$B$302,$A345,工数明細!$I$3:$I$302,T$212))</f>
        <v/>
      </c>
      <c r="U345" s="51" t="str">
        <f aca="false">IF($A345="","",SUMIFS(工数明細!$G$3:$G$302,工数明細!$B$3:$B$302,$A345,工数明細!$I$3:$I$302,U$212))</f>
        <v/>
      </c>
      <c r="V345" s="51" t="str">
        <f aca="false">IF($A345="","",SUMIFS(工数明細!$G$3:$G$302,工数明細!$B$3:$B$302,$A345,工数明細!$I$3:$I$302,V$212))</f>
        <v/>
      </c>
      <c r="W345" s="51" t="str">
        <f aca="false">IF($A345="","",SUMIFS(工数明細!$G$3:$G$302,工数明細!$B$3:$B$302,$A345,工数明細!$I$3:$I$302,W$212))</f>
        <v/>
      </c>
      <c r="X345" s="51" t="str">
        <f aca="false">IF($A345="","",SUMIFS(工数明細!$G$3:$G$302,工数明細!$B$3:$B$302,$A345,工数明細!$I$3:$I$302,X$212))</f>
        <v/>
      </c>
      <c r="Y345" s="51" t="str">
        <f aca="false">IF($A345="","",SUMIFS(工数明細!$G$3:$G$302,工数明細!$B$3:$B$302,$A345,工数明細!$I$3:$I$302,Y$212))</f>
        <v/>
      </c>
      <c r="Z345" s="51" t="str">
        <f aca="false">IF($A345="","",SUMIFS(工数明細!$G$3:$G$302,工数明細!$B$3:$B$302,$A345,工数明細!$I$3:$I$302,Z$212))</f>
        <v/>
      </c>
      <c r="AA345" s="51" t="str">
        <f aca="false">IF($A345="","",SUMIFS(工数明細!$G$3:$G$302,工数明細!$B$3:$B$302,$A345,工数明細!$I$3:$I$302,AA$212))</f>
        <v/>
      </c>
      <c r="AB345" s="51" t="str">
        <f aca="false">IF($A345="","",SUMIFS(工数明細!$G$3:$G$302,工数明細!$B$3:$B$302,$A345,工数明細!$I$3:$I$302,AB$212))</f>
        <v/>
      </c>
      <c r="AC345" s="51" t="str">
        <f aca="false">IF($A345="","",SUMIFS(工数明細!$G$3:$G$302,工数明細!$B$3:$B$302,$A345,工数明細!$I$3:$I$302,AC$212))</f>
        <v/>
      </c>
      <c r="AD345" s="51" t="str">
        <f aca="false">IF($A345="","",SUMIFS(工数明細!$G$3:$G$302,工数明細!$B$3:$B$302,$A345,工数明細!$I$3:$I$302,AD$212))</f>
        <v/>
      </c>
    </row>
    <row r="346" customFormat="false" ht="15.75" hidden="false" customHeight="true" outlineLevel="0" collapsed="false">
      <c r="A346" s="28" t="str">
        <f aca="false">IF(案件管理!$A$135:$A$135="","",案件管理!$A$135:$A$135)</f>
        <v/>
      </c>
      <c r="B346" s="10" t="str">
        <f aca="false">IF($A346="","",案件管理!$B$135:$B$135)</f>
        <v/>
      </c>
      <c r="C346" s="10" t="str">
        <f aca="false">IF($A346="","",案件管理!$D$135:$D$135)</f>
        <v/>
      </c>
      <c r="D346" s="30" t="str">
        <f aca="false">IF($A346="","",案件管理!$AE$135:$AE$135)</f>
        <v/>
      </c>
      <c r="E346" s="30" t="str">
        <f aca="false">IF($A346="","",SUM($G346:$AD346))</f>
        <v/>
      </c>
      <c r="F346" s="51" t="str">
        <f aca="false">IF($A346="","",N($E140)-N($E346))</f>
        <v/>
      </c>
      <c r="G346" s="51" t="str">
        <f aca="false">IF($A346="","",SUMIFS(工数明細!$G$3:$G$302,工数明細!$B$3:$B$302,$A346,工数明細!$I$3:$I$302,G$212))</f>
        <v/>
      </c>
      <c r="H346" s="51" t="str">
        <f aca="false">IF($A346="","",SUMIFS(工数明細!$G$3:$G$302,工数明細!$B$3:$B$302,$A346,工数明細!$I$3:$I$302,H$212))</f>
        <v/>
      </c>
      <c r="I346" s="51" t="str">
        <f aca="false">IF($A346="","",SUMIFS(工数明細!$G$3:$G$302,工数明細!$B$3:$B$302,$A346,工数明細!$I$3:$I$302,I$212))</f>
        <v/>
      </c>
      <c r="J346" s="51" t="str">
        <f aca="false">IF($A346="","",SUMIFS(工数明細!$G$3:$G$302,工数明細!$B$3:$B$302,$A346,工数明細!$I$3:$I$302,J$212))</f>
        <v/>
      </c>
      <c r="K346" s="51" t="str">
        <f aca="false">IF($A346="","",SUMIFS(工数明細!$G$3:$G$302,工数明細!$B$3:$B$302,$A346,工数明細!$I$3:$I$302,K$212))</f>
        <v/>
      </c>
      <c r="L346" s="51" t="str">
        <f aca="false">IF($A346="","",SUMIFS(工数明細!$G$3:$G$302,工数明細!$B$3:$B$302,$A346,工数明細!$I$3:$I$302,L$212))</f>
        <v/>
      </c>
      <c r="M346" s="51" t="str">
        <f aca="false">IF($A346="","",SUMIFS(工数明細!$G$3:$G$302,工数明細!$B$3:$B$302,$A346,工数明細!$I$3:$I$302,M$212))</f>
        <v/>
      </c>
      <c r="N346" s="51" t="str">
        <f aca="false">IF($A346="","",SUMIFS(工数明細!$G$3:$G$302,工数明細!$B$3:$B$302,$A346,工数明細!$I$3:$I$302,N$212))</f>
        <v/>
      </c>
      <c r="O346" s="51" t="str">
        <f aca="false">IF($A346="","",SUMIFS(工数明細!$G$3:$G$302,工数明細!$B$3:$B$302,$A346,工数明細!$I$3:$I$302,O$212))</f>
        <v/>
      </c>
      <c r="P346" s="51" t="str">
        <f aca="false">IF($A346="","",SUMIFS(工数明細!$G$3:$G$302,工数明細!$B$3:$B$302,$A346,工数明細!$I$3:$I$302,P$212))</f>
        <v/>
      </c>
      <c r="Q346" s="51" t="str">
        <f aca="false">IF($A346="","",SUMIFS(工数明細!$G$3:$G$302,工数明細!$B$3:$B$302,$A346,工数明細!$I$3:$I$302,Q$212))</f>
        <v/>
      </c>
      <c r="R346" s="51" t="str">
        <f aca="false">IF($A346="","",SUMIFS(工数明細!$G$3:$G$302,工数明細!$B$3:$B$302,$A346,工数明細!$I$3:$I$302,R$212))</f>
        <v/>
      </c>
      <c r="S346" s="51" t="str">
        <f aca="false">IF($A346="","",SUMIFS(工数明細!$G$3:$G$302,工数明細!$B$3:$B$302,$A346,工数明細!$I$3:$I$302,S$212))</f>
        <v/>
      </c>
      <c r="T346" s="51" t="str">
        <f aca="false">IF($A346="","",SUMIFS(工数明細!$G$3:$G$302,工数明細!$B$3:$B$302,$A346,工数明細!$I$3:$I$302,T$212))</f>
        <v/>
      </c>
      <c r="U346" s="51" t="str">
        <f aca="false">IF($A346="","",SUMIFS(工数明細!$G$3:$G$302,工数明細!$B$3:$B$302,$A346,工数明細!$I$3:$I$302,U$212))</f>
        <v/>
      </c>
      <c r="V346" s="51" t="str">
        <f aca="false">IF($A346="","",SUMIFS(工数明細!$G$3:$G$302,工数明細!$B$3:$B$302,$A346,工数明細!$I$3:$I$302,V$212))</f>
        <v/>
      </c>
      <c r="W346" s="51" t="str">
        <f aca="false">IF($A346="","",SUMIFS(工数明細!$G$3:$G$302,工数明細!$B$3:$B$302,$A346,工数明細!$I$3:$I$302,W$212))</f>
        <v/>
      </c>
      <c r="X346" s="51" t="str">
        <f aca="false">IF($A346="","",SUMIFS(工数明細!$G$3:$G$302,工数明細!$B$3:$B$302,$A346,工数明細!$I$3:$I$302,X$212))</f>
        <v/>
      </c>
      <c r="Y346" s="51" t="str">
        <f aca="false">IF($A346="","",SUMIFS(工数明細!$G$3:$G$302,工数明細!$B$3:$B$302,$A346,工数明細!$I$3:$I$302,Y$212))</f>
        <v/>
      </c>
      <c r="Z346" s="51" t="str">
        <f aca="false">IF($A346="","",SUMIFS(工数明細!$G$3:$G$302,工数明細!$B$3:$B$302,$A346,工数明細!$I$3:$I$302,Z$212))</f>
        <v/>
      </c>
      <c r="AA346" s="51" t="str">
        <f aca="false">IF($A346="","",SUMIFS(工数明細!$G$3:$G$302,工数明細!$B$3:$B$302,$A346,工数明細!$I$3:$I$302,AA$212))</f>
        <v/>
      </c>
      <c r="AB346" s="51" t="str">
        <f aca="false">IF($A346="","",SUMIFS(工数明細!$G$3:$G$302,工数明細!$B$3:$B$302,$A346,工数明細!$I$3:$I$302,AB$212))</f>
        <v/>
      </c>
      <c r="AC346" s="51" t="str">
        <f aca="false">IF($A346="","",SUMIFS(工数明細!$G$3:$G$302,工数明細!$B$3:$B$302,$A346,工数明細!$I$3:$I$302,AC$212))</f>
        <v/>
      </c>
      <c r="AD346" s="51" t="str">
        <f aca="false">IF($A346="","",SUMIFS(工数明細!$G$3:$G$302,工数明細!$B$3:$B$302,$A346,工数明細!$I$3:$I$302,AD$212))</f>
        <v/>
      </c>
    </row>
    <row r="347" customFormat="false" ht="15.75" hidden="false" customHeight="true" outlineLevel="0" collapsed="false">
      <c r="A347" s="28" t="str">
        <f aca="false">IF(案件管理!$A$136:$A$136="","",案件管理!$A$136:$A$136)</f>
        <v/>
      </c>
      <c r="B347" s="10" t="str">
        <f aca="false">IF($A347="","",案件管理!$B$136:$B$136)</f>
        <v/>
      </c>
      <c r="C347" s="10" t="str">
        <f aca="false">IF($A347="","",案件管理!$D$136:$D$136)</f>
        <v/>
      </c>
      <c r="D347" s="30" t="str">
        <f aca="false">IF($A347="","",案件管理!$AE$136:$AE$136)</f>
        <v/>
      </c>
      <c r="E347" s="30" t="str">
        <f aca="false">IF($A347="","",SUM($G347:$AD347))</f>
        <v/>
      </c>
      <c r="F347" s="51" t="str">
        <f aca="false">IF($A347="","",N($E141)-N($E347))</f>
        <v/>
      </c>
      <c r="G347" s="51" t="str">
        <f aca="false">IF($A347="","",SUMIFS(工数明細!$G$3:$G$302,工数明細!$B$3:$B$302,$A347,工数明細!$I$3:$I$302,G$212))</f>
        <v/>
      </c>
      <c r="H347" s="51" t="str">
        <f aca="false">IF($A347="","",SUMIFS(工数明細!$G$3:$G$302,工数明細!$B$3:$B$302,$A347,工数明細!$I$3:$I$302,H$212))</f>
        <v/>
      </c>
      <c r="I347" s="51" t="str">
        <f aca="false">IF($A347="","",SUMIFS(工数明細!$G$3:$G$302,工数明細!$B$3:$B$302,$A347,工数明細!$I$3:$I$302,I$212))</f>
        <v/>
      </c>
      <c r="J347" s="51" t="str">
        <f aca="false">IF($A347="","",SUMIFS(工数明細!$G$3:$G$302,工数明細!$B$3:$B$302,$A347,工数明細!$I$3:$I$302,J$212))</f>
        <v/>
      </c>
      <c r="K347" s="51" t="str">
        <f aca="false">IF($A347="","",SUMIFS(工数明細!$G$3:$G$302,工数明細!$B$3:$B$302,$A347,工数明細!$I$3:$I$302,K$212))</f>
        <v/>
      </c>
      <c r="L347" s="51" t="str">
        <f aca="false">IF($A347="","",SUMIFS(工数明細!$G$3:$G$302,工数明細!$B$3:$B$302,$A347,工数明細!$I$3:$I$302,L$212))</f>
        <v/>
      </c>
      <c r="M347" s="51" t="str">
        <f aca="false">IF($A347="","",SUMIFS(工数明細!$G$3:$G$302,工数明細!$B$3:$B$302,$A347,工数明細!$I$3:$I$302,M$212))</f>
        <v/>
      </c>
      <c r="N347" s="51" t="str">
        <f aca="false">IF($A347="","",SUMIFS(工数明細!$G$3:$G$302,工数明細!$B$3:$B$302,$A347,工数明細!$I$3:$I$302,N$212))</f>
        <v/>
      </c>
      <c r="O347" s="51" t="str">
        <f aca="false">IF($A347="","",SUMIFS(工数明細!$G$3:$G$302,工数明細!$B$3:$B$302,$A347,工数明細!$I$3:$I$302,O$212))</f>
        <v/>
      </c>
      <c r="P347" s="51" t="str">
        <f aca="false">IF($A347="","",SUMIFS(工数明細!$G$3:$G$302,工数明細!$B$3:$B$302,$A347,工数明細!$I$3:$I$302,P$212))</f>
        <v/>
      </c>
      <c r="Q347" s="51" t="str">
        <f aca="false">IF($A347="","",SUMIFS(工数明細!$G$3:$G$302,工数明細!$B$3:$B$302,$A347,工数明細!$I$3:$I$302,Q$212))</f>
        <v/>
      </c>
      <c r="R347" s="51" t="str">
        <f aca="false">IF($A347="","",SUMIFS(工数明細!$G$3:$G$302,工数明細!$B$3:$B$302,$A347,工数明細!$I$3:$I$302,R$212))</f>
        <v/>
      </c>
      <c r="S347" s="51" t="str">
        <f aca="false">IF($A347="","",SUMIFS(工数明細!$G$3:$G$302,工数明細!$B$3:$B$302,$A347,工数明細!$I$3:$I$302,S$212))</f>
        <v/>
      </c>
      <c r="T347" s="51" t="str">
        <f aca="false">IF($A347="","",SUMIFS(工数明細!$G$3:$G$302,工数明細!$B$3:$B$302,$A347,工数明細!$I$3:$I$302,T$212))</f>
        <v/>
      </c>
      <c r="U347" s="51" t="str">
        <f aca="false">IF($A347="","",SUMIFS(工数明細!$G$3:$G$302,工数明細!$B$3:$B$302,$A347,工数明細!$I$3:$I$302,U$212))</f>
        <v/>
      </c>
      <c r="V347" s="51" t="str">
        <f aca="false">IF($A347="","",SUMIFS(工数明細!$G$3:$G$302,工数明細!$B$3:$B$302,$A347,工数明細!$I$3:$I$302,V$212))</f>
        <v/>
      </c>
      <c r="W347" s="51" t="str">
        <f aca="false">IF($A347="","",SUMIFS(工数明細!$G$3:$G$302,工数明細!$B$3:$B$302,$A347,工数明細!$I$3:$I$302,W$212))</f>
        <v/>
      </c>
      <c r="X347" s="51" t="str">
        <f aca="false">IF($A347="","",SUMIFS(工数明細!$G$3:$G$302,工数明細!$B$3:$B$302,$A347,工数明細!$I$3:$I$302,X$212))</f>
        <v/>
      </c>
      <c r="Y347" s="51" t="str">
        <f aca="false">IF($A347="","",SUMIFS(工数明細!$G$3:$G$302,工数明細!$B$3:$B$302,$A347,工数明細!$I$3:$I$302,Y$212))</f>
        <v/>
      </c>
      <c r="Z347" s="51" t="str">
        <f aca="false">IF($A347="","",SUMIFS(工数明細!$G$3:$G$302,工数明細!$B$3:$B$302,$A347,工数明細!$I$3:$I$302,Z$212))</f>
        <v/>
      </c>
      <c r="AA347" s="51" t="str">
        <f aca="false">IF($A347="","",SUMIFS(工数明細!$G$3:$G$302,工数明細!$B$3:$B$302,$A347,工数明細!$I$3:$I$302,AA$212))</f>
        <v/>
      </c>
      <c r="AB347" s="51" t="str">
        <f aca="false">IF($A347="","",SUMIFS(工数明細!$G$3:$G$302,工数明細!$B$3:$B$302,$A347,工数明細!$I$3:$I$302,AB$212))</f>
        <v/>
      </c>
      <c r="AC347" s="51" t="str">
        <f aca="false">IF($A347="","",SUMIFS(工数明細!$G$3:$G$302,工数明細!$B$3:$B$302,$A347,工数明細!$I$3:$I$302,AC$212))</f>
        <v/>
      </c>
      <c r="AD347" s="51" t="str">
        <f aca="false">IF($A347="","",SUMIFS(工数明細!$G$3:$G$302,工数明細!$B$3:$B$302,$A347,工数明細!$I$3:$I$302,AD$212))</f>
        <v/>
      </c>
    </row>
    <row r="348" customFormat="false" ht="15.75" hidden="false" customHeight="true" outlineLevel="0" collapsed="false">
      <c r="A348" s="28" t="str">
        <f aca="false">IF(案件管理!$A$137:$A$137="","",案件管理!$A$137:$A$137)</f>
        <v/>
      </c>
      <c r="B348" s="10" t="str">
        <f aca="false">IF($A348="","",案件管理!$B$137:$B$137)</f>
        <v/>
      </c>
      <c r="C348" s="10" t="str">
        <f aca="false">IF($A348="","",案件管理!$D$137:$D$137)</f>
        <v/>
      </c>
      <c r="D348" s="30" t="str">
        <f aca="false">IF($A348="","",案件管理!$AE$137:$AE$137)</f>
        <v/>
      </c>
      <c r="E348" s="30" t="str">
        <f aca="false">IF($A348="","",SUM($G348:$AD348))</f>
        <v/>
      </c>
      <c r="F348" s="51" t="str">
        <f aca="false">IF($A348="","",N($E142)-N($E348))</f>
        <v/>
      </c>
      <c r="G348" s="51" t="str">
        <f aca="false">IF($A348="","",SUMIFS(工数明細!$G$3:$G$302,工数明細!$B$3:$B$302,$A348,工数明細!$I$3:$I$302,G$212))</f>
        <v/>
      </c>
      <c r="H348" s="51" t="str">
        <f aca="false">IF($A348="","",SUMIFS(工数明細!$G$3:$G$302,工数明細!$B$3:$B$302,$A348,工数明細!$I$3:$I$302,H$212))</f>
        <v/>
      </c>
      <c r="I348" s="51" t="str">
        <f aca="false">IF($A348="","",SUMIFS(工数明細!$G$3:$G$302,工数明細!$B$3:$B$302,$A348,工数明細!$I$3:$I$302,I$212))</f>
        <v/>
      </c>
      <c r="J348" s="51" t="str">
        <f aca="false">IF($A348="","",SUMIFS(工数明細!$G$3:$G$302,工数明細!$B$3:$B$302,$A348,工数明細!$I$3:$I$302,J$212))</f>
        <v/>
      </c>
      <c r="K348" s="51" t="str">
        <f aca="false">IF($A348="","",SUMIFS(工数明細!$G$3:$G$302,工数明細!$B$3:$B$302,$A348,工数明細!$I$3:$I$302,K$212))</f>
        <v/>
      </c>
      <c r="L348" s="51" t="str">
        <f aca="false">IF($A348="","",SUMIFS(工数明細!$G$3:$G$302,工数明細!$B$3:$B$302,$A348,工数明細!$I$3:$I$302,L$212))</f>
        <v/>
      </c>
      <c r="M348" s="51" t="str">
        <f aca="false">IF($A348="","",SUMIFS(工数明細!$G$3:$G$302,工数明細!$B$3:$B$302,$A348,工数明細!$I$3:$I$302,M$212))</f>
        <v/>
      </c>
      <c r="N348" s="51" t="str">
        <f aca="false">IF($A348="","",SUMIFS(工数明細!$G$3:$G$302,工数明細!$B$3:$B$302,$A348,工数明細!$I$3:$I$302,N$212))</f>
        <v/>
      </c>
      <c r="O348" s="51" t="str">
        <f aca="false">IF($A348="","",SUMIFS(工数明細!$G$3:$G$302,工数明細!$B$3:$B$302,$A348,工数明細!$I$3:$I$302,O$212))</f>
        <v/>
      </c>
      <c r="P348" s="51" t="str">
        <f aca="false">IF($A348="","",SUMIFS(工数明細!$G$3:$G$302,工数明細!$B$3:$B$302,$A348,工数明細!$I$3:$I$302,P$212))</f>
        <v/>
      </c>
      <c r="Q348" s="51" t="str">
        <f aca="false">IF($A348="","",SUMIFS(工数明細!$G$3:$G$302,工数明細!$B$3:$B$302,$A348,工数明細!$I$3:$I$302,Q$212))</f>
        <v/>
      </c>
      <c r="R348" s="51" t="str">
        <f aca="false">IF($A348="","",SUMIFS(工数明細!$G$3:$G$302,工数明細!$B$3:$B$302,$A348,工数明細!$I$3:$I$302,R$212))</f>
        <v/>
      </c>
      <c r="S348" s="51" t="str">
        <f aca="false">IF($A348="","",SUMIFS(工数明細!$G$3:$G$302,工数明細!$B$3:$B$302,$A348,工数明細!$I$3:$I$302,S$212))</f>
        <v/>
      </c>
      <c r="T348" s="51" t="str">
        <f aca="false">IF($A348="","",SUMIFS(工数明細!$G$3:$G$302,工数明細!$B$3:$B$302,$A348,工数明細!$I$3:$I$302,T$212))</f>
        <v/>
      </c>
      <c r="U348" s="51" t="str">
        <f aca="false">IF($A348="","",SUMIFS(工数明細!$G$3:$G$302,工数明細!$B$3:$B$302,$A348,工数明細!$I$3:$I$302,U$212))</f>
        <v/>
      </c>
      <c r="V348" s="51" t="str">
        <f aca="false">IF($A348="","",SUMIFS(工数明細!$G$3:$G$302,工数明細!$B$3:$B$302,$A348,工数明細!$I$3:$I$302,V$212))</f>
        <v/>
      </c>
      <c r="W348" s="51" t="str">
        <f aca="false">IF($A348="","",SUMIFS(工数明細!$G$3:$G$302,工数明細!$B$3:$B$302,$A348,工数明細!$I$3:$I$302,W$212))</f>
        <v/>
      </c>
      <c r="X348" s="51" t="str">
        <f aca="false">IF($A348="","",SUMIFS(工数明細!$G$3:$G$302,工数明細!$B$3:$B$302,$A348,工数明細!$I$3:$I$302,X$212))</f>
        <v/>
      </c>
      <c r="Y348" s="51" t="str">
        <f aca="false">IF($A348="","",SUMIFS(工数明細!$G$3:$G$302,工数明細!$B$3:$B$302,$A348,工数明細!$I$3:$I$302,Y$212))</f>
        <v/>
      </c>
      <c r="Z348" s="51" t="str">
        <f aca="false">IF($A348="","",SUMIFS(工数明細!$G$3:$G$302,工数明細!$B$3:$B$302,$A348,工数明細!$I$3:$I$302,Z$212))</f>
        <v/>
      </c>
      <c r="AA348" s="51" t="str">
        <f aca="false">IF($A348="","",SUMIFS(工数明細!$G$3:$G$302,工数明細!$B$3:$B$302,$A348,工数明細!$I$3:$I$302,AA$212))</f>
        <v/>
      </c>
      <c r="AB348" s="51" t="str">
        <f aca="false">IF($A348="","",SUMIFS(工数明細!$G$3:$G$302,工数明細!$B$3:$B$302,$A348,工数明細!$I$3:$I$302,AB$212))</f>
        <v/>
      </c>
      <c r="AC348" s="51" t="str">
        <f aca="false">IF($A348="","",SUMIFS(工数明細!$G$3:$G$302,工数明細!$B$3:$B$302,$A348,工数明細!$I$3:$I$302,AC$212))</f>
        <v/>
      </c>
      <c r="AD348" s="51" t="str">
        <f aca="false">IF($A348="","",SUMIFS(工数明細!$G$3:$G$302,工数明細!$B$3:$B$302,$A348,工数明細!$I$3:$I$302,AD$212))</f>
        <v/>
      </c>
    </row>
    <row r="349" customFormat="false" ht="15.75" hidden="false" customHeight="true" outlineLevel="0" collapsed="false">
      <c r="A349" s="28" t="str">
        <f aca="false">IF(案件管理!$A$138:$A$138="","",案件管理!$A$138:$A$138)</f>
        <v/>
      </c>
      <c r="B349" s="10" t="str">
        <f aca="false">IF($A349="","",案件管理!$B$138:$B$138)</f>
        <v/>
      </c>
      <c r="C349" s="10" t="str">
        <f aca="false">IF($A349="","",案件管理!$D$138:$D$138)</f>
        <v/>
      </c>
      <c r="D349" s="30" t="str">
        <f aca="false">IF($A349="","",案件管理!$AE$138:$AE$138)</f>
        <v/>
      </c>
      <c r="E349" s="30" t="str">
        <f aca="false">IF($A349="","",SUM($G349:$AD349))</f>
        <v/>
      </c>
      <c r="F349" s="51" t="str">
        <f aca="false">IF($A349="","",N($E143)-N($E349))</f>
        <v/>
      </c>
      <c r="G349" s="51" t="str">
        <f aca="false">IF($A349="","",SUMIFS(工数明細!$G$3:$G$302,工数明細!$B$3:$B$302,$A349,工数明細!$I$3:$I$302,G$212))</f>
        <v/>
      </c>
      <c r="H349" s="51" t="str">
        <f aca="false">IF($A349="","",SUMIFS(工数明細!$G$3:$G$302,工数明細!$B$3:$B$302,$A349,工数明細!$I$3:$I$302,H$212))</f>
        <v/>
      </c>
      <c r="I349" s="51" t="str">
        <f aca="false">IF($A349="","",SUMIFS(工数明細!$G$3:$G$302,工数明細!$B$3:$B$302,$A349,工数明細!$I$3:$I$302,I$212))</f>
        <v/>
      </c>
      <c r="J349" s="51" t="str">
        <f aca="false">IF($A349="","",SUMIFS(工数明細!$G$3:$G$302,工数明細!$B$3:$B$302,$A349,工数明細!$I$3:$I$302,J$212))</f>
        <v/>
      </c>
      <c r="K349" s="51" t="str">
        <f aca="false">IF($A349="","",SUMIFS(工数明細!$G$3:$G$302,工数明細!$B$3:$B$302,$A349,工数明細!$I$3:$I$302,K$212))</f>
        <v/>
      </c>
      <c r="L349" s="51" t="str">
        <f aca="false">IF($A349="","",SUMIFS(工数明細!$G$3:$G$302,工数明細!$B$3:$B$302,$A349,工数明細!$I$3:$I$302,L$212))</f>
        <v/>
      </c>
      <c r="M349" s="51" t="str">
        <f aca="false">IF($A349="","",SUMIFS(工数明細!$G$3:$G$302,工数明細!$B$3:$B$302,$A349,工数明細!$I$3:$I$302,M$212))</f>
        <v/>
      </c>
      <c r="N349" s="51" t="str">
        <f aca="false">IF($A349="","",SUMIFS(工数明細!$G$3:$G$302,工数明細!$B$3:$B$302,$A349,工数明細!$I$3:$I$302,N$212))</f>
        <v/>
      </c>
      <c r="O349" s="51" t="str">
        <f aca="false">IF($A349="","",SUMIFS(工数明細!$G$3:$G$302,工数明細!$B$3:$B$302,$A349,工数明細!$I$3:$I$302,O$212))</f>
        <v/>
      </c>
      <c r="P349" s="51" t="str">
        <f aca="false">IF($A349="","",SUMIFS(工数明細!$G$3:$G$302,工数明細!$B$3:$B$302,$A349,工数明細!$I$3:$I$302,P$212))</f>
        <v/>
      </c>
      <c r="Q349" s="51" t="str">
        <f aca="false">IF($A349="","",SUMIFS(工数明細!$G$3:$G$302,工数明細!$B$3:$B$302,$A349,工数明細!$I$3:$I$302,Q$212))</f>
        <v/>
      </c>
      <c r="R349" s="51" t="str">
        <f aca="false">IF($A349="","",SUMIFS(工数明細!$G$3:$G$302,工数明細!$B$3:$B$302,$A349,工数明細!$I$3:$I$302,R$212))</f>
        <v/>
      </c>
      <c r="S349" s="51" t="str">
        <f aca="false">IF($A349="","",SUMIFS(工数明細!$G$3:$G$302,工数明細!$B$3:$B$302,$A349,工数明細!$I$3:$I$302,S$212))</f>
        <v/>
      </c>
      <c r="T349" s="51" t="str">
        <f aca="false">IF($A349="","",SUMIFS(工数明細!$G$3:$G$302,工数明細!$B$3:$B$302,$A349,工数明細!$I$3:$I$302,T$212))</f>
        <v/>
      </c>
      <c r="U349" s="51" t="str">
        <f aca="false">IF($A349="","",SUMIFS(工数明細!$G$3:$G$302,工数明細!$B$3:$B$302,$A349,工数明細!$I$3:$I$302,U$212))</f>
        <v/>
      </c>
      <c r="V349" s="51" t="str">
        <f aca="false">IF($A349="","",SUMIFS(工数明細!$G$3:$G$302,工数明細!$B$3:$B$302,$A349,工数明細!$I$3:$I$302,V$212))</f>
        <v/>
      </c>
      <c r="W349" s="51" t="str">
        <f aca="false">IF($A349="","",SUMIFS(工数明細!$G$3:$G$302,工数明細!$B$3:$B$302,$A349,工数明細!$I$3:$I$302,W$212))</f>
        <v/>
      </c>
      <c r="X349" s="51" t="str">
        <f aca="false">IF($A349="","",SUMIFS(工数明細!$G$3:$G$302,工数明細!$B$3:$B$302,$A349,工数明細!$I$3:$I$302,X$212))</f>
        <v/>
      </c>
      <c r="Y349" s="51" t="str">
        <f aca="false">IF($A349="","",SUMIFS(工数明細!$G$3:$G$302,工数明細!$B$3:$B$302,$A349,工数明細!$I$3:$I$302,Y$212))</f>
        <v/>
      </c>
      <c r="Z349" s="51" t="str">
        <f aca="false">IF($A349="","",SUMIFS(工数明細!$G$3:$G$302,工数明細!$B$3:$B$302,$A349,工数明細!$I$3:$I$302,Z$212))</f>
        <v/>
      </c>
      <c r="AA349" s="51" t="str">
        <f aca="false">IF($A349="","",SUMIFS(工数明細!$G$3:$G$302,工数明細!$B$3:$B$302,$A349,工数明細!$I$3:$I$302,AA$212))</f>
        <v/>
      </c>
      <c r="AB349" s="51" t="str">
        <f aca="false">IF($A349="","",SUMIFS(工数明細!$G$3:$G$302,工数明細!$B$3:$B$302,$A349,工数明細!$I$3:$I$302,AB$212))</f>
        <v/>
      </c>
      <c r="AC349" s="51" t="str">
        <f aca="false">IF($A349="","",SUMIFS(工数明細!$G$3:$G$302,工数明細!$B$3:$B$302,$A349,工数明細!$I$3:$I$302,AC$212))</f>
        <v/>
      </c>
      <c r="AD349" s="51" t="str">
        <f aca="false">IF($A349="","",SUMIFS(工数明細!$G$3:$G$302,工数明細!$B$3:$B$302,$A349,工数明細!$I$3:$I$302,AD$212))</f>
        <v/>
      </c>
    </row>
    <row r="350" customFormat="false" ht="15.75" hidden="false" customHeight="true" outlineLevel="0" collapsed="false">
      <c r="A350" s="28" t="str">
        <f aca="false">IF(案件管理!$A$139:$A$139="","",案件管理!$A$139:$A$139)</f>
        <v/>
      </c>
      <c r="B350" s="10" t="str">
        <f aca="false">IF($A350="","",案件管理!$B$139:$B$139)</f>
        <v/>
      </c>
      <c r="C350" s="10" t="str">
        <f aca="false">IF($A350="","",案件管理!$D$139:$D$139)</f>
        <v/>
      </c>
      <c r="D350" s="30" t="str">
        <f aca="false">IF($A350="","",案件管理!$AE$139:$AE$139)</f>
        <v/>
      </c>
      <c r="E350" s="30" t="str">
        <f aca="false">IF($A350="","",SUM($G350:$AD350))</f>
        <v/>
      </c>
      <c r="F350" s="51" t="str">
        <f aca="false">IF($A350="","",N($E144)-N($E350))</f>
        <v/>
      </c>
      <c r="G350" s="51" t="str">
        <f aca="false">IF($A350="","",SUMIFS(工数明細!$G$3:$G$302,工数明細!$B$3:$B$302,$A350,工数明細!$I$3:$I$302,G$212))</f>
        <v/>
      </c>
      <c r="H350" s="51" t="str">
        <f aca="false">IF($A350="","",SUMIFS(工数明細!$G$3:$G$302,工数明細!$B$3:$B$302,$A350,工数明細!$I$3:$I$302,H$212))</f>
        <v/>
      </c>
      <c r="I350" s="51" t="str">
        <f aca="false">IF($A350="","",SUMIFS(工数明細!$G$3:$G$302,工数明細!$B$3:$B$302,$A350,工数明細!$I$3:$I$302,I$212))</f>
        <v/>
      </c>
      <c r="J350" s="51" t="str">
        <f aca="false">IF($A350="","",SUMIFS(工数明細!$G$3:$G$302,工数明細!$B$3:$B$302,$A350,工数明細!$I$3:$I$302,J$212))</f>
        <v/>
      </c>
      <c r="K350" s="51" t="str">
        <f aca="false">IF($A350="","",SUMIFS(工数明細!$G$3:$G$302,工数明細!$B$3:$B$302,$A350,工数明細!$I$3:$I$302,K$212))</f>
        <v/>
      </c>
      <c r="L350" s="51" t="str">
        <f aca="false">IF($A350="","",SUMIFS(工数明細!$G$3:$G$302,工数明細!$B$3:$B$302,$A350,工数明細!$I$3:$I$302,L$212))</f>
        <v/>
      </c>
      <c r="M350" s="51" t="str">
        <f aca="false">IF($A350="","",SUMIFS(工数明細!$G$3:$G$302,工数明細!$B$3:$B$302,$A350,工数明細!$I$3:$I$302,M$212))</f>
        <v/>
      </c>
      <c r="N350" s="51" t="str">
        <f aca="false">IF($A350="","",SUMIFS(工数明細!$G$3:$G$302,工数明細!$B$3:$B$302,$A350,工数明細!$I$3:$I$302,N$212))</f>
        <v/>
      </c>
      <c r="O350" s="51" t="str">
        <f aca="false">IF($A350="","",SUMIFS(工数明細!$G$3:$G$302,工数明細!$B$3:$B$302,$A350,工数明細!$I$3:$I$302,O$212))</f>
        <v/>
      </c>
      <c r="P350" s="51" t="str">
        <f aca="false">IF($A350="","",SUMIFS(工数明細!$G$3:$G$302,工数明細!$B$3:$B$302,$A350,工数明細!$I$3:$I$302,P$212))</f>
        <v/>
      </c>
      <c r="Q350" s="51" t="str">
        <f aca="false">IF($A350="","",SUMIFS(工数明細!$G$3:$G$302,工数明細!$B$3:$B$302,$A350,工数明細!$I$3:$I$302,Q$212))</f>
        <v/>
      </c>
      <c r="R350" s="51" t="str">
        <f aca="false">IF($A350="","",SUMIFS(工数明細!$G$3:$G$302,工数明細!$B$3:$B$302,$A350,工数明細!$I$3:$I$302,R$212))</f>
        <v/>
      </c>
      <c r="S350" s="51" t="str">
        <f aca="false">IF($A350="","",SUMIFS(工数明細!$G$3:$G$302,工数明細!$B$3:$B$302,$A350,工数明細!$I$3:$I$302,S$212))</f>
        <v/>
      </c>
      <c r="T350" s="51" t="str">
        <f aca="false">IF($A350="","",SUMIFS(工数明細!$G$3:$G$302,工数明細!$B$3:$B$302,$A350,工数明細!$I$3:$I$302,T$212))</f>
        <v/>
      </c>
      <c r="U350" s="51" t="str">
        <f aca="false">IF($A350="","",SUMIFS(工数明細!$G$3:$G$302,工数明細!$B$3:$B$302,$A350,工数明細!$I$3:$I$302,U$212))</f>
        <v/>
      </c>
      <c r="V350" s="51" t="str">
        <f aca="false">IF($A350="","",SUMIFS(工数明細!$G$3:$G$302,工数明細!$B$3:$B$302,$A350,工数明細!$I$3:$I$302,V$212))</f>
        <v/>
      </c>
      <c r="W350" s="51" t="str">
        <f aca="false">IF($A350="","",SUMIFS(工数明細!$G$3:$G$302,工数明細!$B$3:$B$302,$A350,工数明細!$I$3:$I$302,W$212))</f>
        <v/>
      </c>
      <c r="X350" s="51" t="str">
        <f aca="false">IF($A350="","",SUMIFS(工数明細!$G$3:$G$302,工数明細!$B$3:$B$302,$A350,工数明細!$I$3:$I$302,X$212))</f>
        <v/>
      </c>
      <c r="Y350" s="51" t="str">
        <f aca="false">IF($A350="","",SUMIFS(工数明細!$G$3:$G$302,工数明細!$B$3:$B$302,$A350,工数明細!$I$3:$I$302,Y$212))</f>
        <v/>
      </c>
      <c r="Z350" s="51" t="str">
        <f aca="false">IF($A350="","",SUMIFS(工数明細!$G$3:$G$302,工数明細!$B$3:$B$302,$A350,工数明細!$I$3:$I$302,Z$212))</f>
        <v/>
      </c>
      <c r="AA350" s="51" t="str">
        <f aca="false">IF($A350="","",SUMIFS(工数明細!$G$3:$G$302,工数明細!$B$3:$B$302,$A350,工数明細!$I$3:$I$302,AA$212))</f>
        <v/>
      </c>
      <c r="AB350" s="51" t="str">
        <f aca="false">IF($A350="","",SUMIFS(工数明細!$G$3:$G$302,工数明細!$B$3:$B$302,$A350,工数明細!$I$3:$I$302,AB$212))</f>
        <v/>
      </c>
      <c r="AC350" s="51" t="str">
        <f aca="false">IF($A350="","",SUMIFS(工数明細!$G$3:$G$302,工数明細!$B$3:$B$302,$A350,工数明細!$I$3:$I$302,AC$212))</f>
        <v/>
      </c>
      <c r="AD350" s="51" t="str">
        <f aca="false">IF($A350="","",SUMIFS(工数明細!$G$3:$G$302,工数明細!$B$3:$B$302,$A350,工数明細!$I$3:$I$302,AD$212))</f>
        <v/>
      </c>
    </row>
    <row r="351" customFormat="false" ht="15.75" hidden="false" customHeight="true" outlineLevel="0" collapsed="false">
      <c r="A351" s="28" t="str">
        <f aca="false">IF(案件管理!$A$140:$A$140="","",案件管理!$A$140:$A$140)</f>
        <v/>
      </c>
      <c r="B351" s="10" t="str">
        <f aca="false">IF($A351="","",案件管理!$B$140:$B$140)</f>
        <v/>
      </c>
      <c r="C351" s="10" t="str">
        <f aca="false">IF($A351="","",案件管理!$D$140:$D$140)</f>
        <v/>
      </c>
      <c r="D351" s="30" t="str">
        <f aca="false">IF($A351="","",案件管理!$AE$140:$AE$140)</f>
        <v/>
      </c>
      <c r="E351" s="30" t="str">
        <f aca="false">IF($A351="","",SUM($G351:$AD351))</f>
        <v/>
      </c>
      <c r="F351" s="51" t="str">
        <f aca="false">IF($A351="","",N($E145)-N($E351))</f>
        <v/>
      </c>
      <c r="G351" s="51" t="str">
        <f aca="false">IF($A351="","",SUMIFS(工数明細!$G$3:$G$302,工数明細!$B$3:$B$302,$A351,工数明細!$I$3:$I$302,G$212))</f>
        <v/>
      </c>
      <c r="H351" s="51" t="str">
        <f aca="false">IF($A351="","",SUMIFS(工数明細!$G$3:$G$302,工数明細!$B$3:$B$302,$A351,工数明細!$I$3:$I$302,H$212))</f>
        <v/>
      </c>
      <c r="I351" s="51" t="str">
        <f aca="false">IF($A351="","",SUMIFS(工数明細!$G$3:$G$302,工数明細!$B$3:$B$302,$A351,工数明細!$I$3:$I$302,I$212))</f>
        <v/>
      </c>
      <c r="J351" s="51" t="str">
        <f aca="false">IF($A351="","",SUMIFS(工数明細!$G$3:$G$302,工数明細!$B$3:$B$302,$A351,工数明細!$I$3:$I$302,J$212))</f>
        <v/>
      </c>
      <c r="K351" s="51" t="str">
        <f aca="false">IF($A351="","",SUMIFS(工数明細!$G$3:$G$302,工数明細!$B$3:$B$302,$A351,工数明細!$I$3:$I$302,K$212))</f>
        <v/>
      </c>
      <c r="L351" s="51" t="str">
        <f aca="false">IF($A351="","",SUMIFS(工数明細!$G$3:$G$302,工数明細!$B$3:$B$302,$A351,工数明細!$I$3:$I$302,L$212))</f>
        <v/>
      </c>
      <c r="M351" s="51" t="str">
        <f aca="false">IF($A351="","",SUMIFS(工数明細!$G$3:$G$302,工数明細!$B$3:$B$302,$A351,工数明細!$I$3:$I$302,M$212))</f>
        <v/>
      </c>
      <c r="N351" s="51" t="str">
        <f aca="false">IF($A351="","",SUMIFS(工数明細!$G$3:$G$302,工数明細!$B$3:$B$302,$A351,工数明細!$I$3:$I$302,N$212))</f>
        <v/>
      </c>
      <c r="O351" s="51" t="str">
        <f aca="false">IF($A351="","",SUMIFS(工数明細!$G$3:$G$302,工数明細!$B$3:$B$302,$A351,工数明細!$I$3:$I$302,O$212))</f>
        <v/>
      </c>
      <c r="P351" s="51" t="str">
        <f aca="false">IF($A351="","",SUMIFS(工数明細!$G$3:$G$302,工数明細!$B$3:$B$302,$A351,工数明細!$I$3:$I$302,P$212))</f>
        <v/>
      </c>
      <c r="Q351" s="51" t="str">
        <f aca="false">IF($A351="","",SUMIFS(工数明細!$G$3:$G$302,工数明細!$B$3:$B$302,$A351,工数明細!$I$3:$I$302,Q$212))</f>
        <v/>
      </c>
      <c r="R351" s="51" t="str">
        <f aca="false">IF($A351="","",SUMIFS(工数明細!$G$3:$G$302,工数明細!$B$3:$B$302,$A351,工数明細!$I$3:$I$302,R$212))</f>
        <v/>
      </c>
      <c r="S351" s="51" t="str">
        <f aca="false">IF($A351="","",SUMIFS(工数明細!$G$3:$G$302,工数明細!$B$3:$B$302,$A351,工数明細!$I$3:$I$302,S$212))</f>
        <v/>
      </c>
      <c r="T351" s="51" t="str">
        <f aca="false">IF($A351="","",SUMIFS(工数明細!$G$3:$G$302,工数明細!$B$3:$B$302,$A351,工数明細!$I$3:$I$302,T$212))</f>
        <v/>
      </c>
      <c r="U351" s="51" t="str">
        <f aca="false">IF($A351="","",SUMIFS(工数明細!$G$3:$G$302,工数明細!$B$3:$B$302,$A351,工数明細!$I$3:$I$302,U$212))</f>
        <v/>
      </c>
      <c r="V351" s="51" t="str">
        <f aca="false">IF($A351="","",SUMIFS(工数明細!$G$3:$G$302,工数明細!$B$3:$B$302,$A351,工数明細!$I$3:$I$302,V$212))</f>
        <v/>
      </c>
      <c r="W351" s="51" t="str">
        <f aca="false">IF($A351="","",SUMIFS(工数明細!$G$3:$G$302,工数明細!$B$3:$B$302,$A351,工数明細!$I$3:$I$302,W$212))</f>
        <v/>
      </c>
      <c r="X351" s="51" t="str">
        <f aca="false">IF($A351="","",SUMIFS(工数明細!$G$3:$G$302,工数明細!$B$3:$B$302,$A351,工数明細!$I$3:$I$302,X$212))</f>
        <v/>
      </c>
      <c r="Y351" s="51" t="str">
        <f aca="false">IF($A351="","",SUMIFS(工数明細!$G$3:$G$302,工数明細!$B$3:$B$302,$A351,工数明細!$I$3:$I$302,Y$212))</f>
        <v/>
      </c>
      <c r="Z351" s="51" t="str">
        <f aca="false">IF($A351="","",SUMIFS(工数明細!$G$3:$G$302,工数明細!$B$3:$B$302,$A351,工数明細!$I$3:$I$302,Z$212))</f>
        <v/>
      </c>
      <c r="AA351" s="51" t="str">
        <f aca="false">IF($A351="","",SUMIFS(工数明細!$G$3:$G$302,工数明細!$B$3:$B$302,$A351,工数明細!$I$3:$I$302,AA$212))</f>
        <v/>
      </c>
      <c r="AB351" s="51" t="str">
        <f aca="false">IF($A351="","",SUMIFS(工数明細!$G$3:$G$302,工数明細!$B$3:$B$302,$A351,工数明細!$I$3:$I$302,AB$212))</f>
        <v/>
      </c>
      <c r="AC351" s="51" t="str">
        <f aca="false">IF($A351="","",SUMIFS(工数明細!$G$3:$G$302,工数明細!$B$3:$B$302,$A351,工数明細!$I$3:$I$302,AC$212))</f>
        <v/>
      </c>
      <c r="AD351" s="51" t="str">
        <f aca="false">IF($A351="","",SUMIFS(工数明細!$G$3:$G$302,工数明細!$B$3:$B$302,$A351,工数明細!$I$3:$I$302,AD$212))</f>
        <v/>
      </c>
    </row>
    <row r="352" customFormat="false" ht="15.75" hidden="false" customHeight="true" outlineLevel="0" collapsed="false">
      <c r="A352" s="28" t="str">
        <f aca="false">IF(案件管理!$A$141:$A$141="","",案件管理!$A$141:$A$141)</f>
        <v/>
      </c>
      <c r="B352" s="10" t="str">
        <f aca="false">IF($A352="","",案件管理!$B$141:$B$141)</f>
        <v/>
      </c>
      <c r="C352" s="10" t="str">
        <f aca="false">IF($A352="","",案件管理!$D$141:$D$141)</f>
        <v/>
      </c>
      <c r="D352" s="30" t="str">
        <f aca="false">IF($A352="","",案件管理!$AE$141:$AE$141)</f>
        <v/>
      </c>
      <c r="E352" s="30" t="str">
        <f aca="false">IF($A352="","",SUM($G352:$AD352))</f>
        <v/>
      </c>
      <c r="F352" s="51" t="str">
        <f aca="false">IF($A352="","",N($E146)-N($E352))</f>
        <v/>
      </c>
      <c r="G352" s="51" t="str">
        <f aca="false">IF($A352="","",SUMIFS(工数明細!$G$3:$G$302,工数明細!$B$3:$B$302,$A352,工数明細!$I$3:$I$302,G$212))</f>
        <v/>
      </c>
      <c r="H352" s="51" t="str">
        <f aca="false">IF($A352="","",SUMIFS(工数明細!$G$3:$G$302,工数明細!$B$3:$B$302,$A352,工数明細!$I$3:$I$302,H$212))</f>
        <v/>
      </c>
      <c r="I352" s="51" t="str">
        <f aca="false">IF($A352="","",SUMIFS(工数明細!$G$3:$G$302,工数明細!$B$3:$B$302,$A352,工数明細!$I$3:$I$302,I$212))</f>
        <v/>
      </c>
      <c r="J352" s="51" t="str">
        <f aca="false">IF($A352="","",SUMIFS(工数明細!$G$3:$G$302,工数明細!$B$3:$B$302,$A352,工数明細!$I$3:$I$302,J$212))</f>
        <v/>
      </c>
      <c r="K352" s="51" t="str">
        <f aca="false">IF($A352="","",SUMIFS(工数明細!$G$3:$G$302,工数明細!$B$3:$B$302,$A352,工数明細!$I$3:$I$302,K$212))</f>
        <v/>
      </c>
      <c r="L352" s="51" t="str">
        <f aca="false">IF($A352="","",SUMIFS(工数明細!$G$3:$G$302,工数明細!$B$3:$B$302,$A352,工数明細!$I$3:$I$302,L$212))</f>
        <v/>
      </c>
      <c r="M352" s="51" t="str">
        <f aca="false">IF($A352="","",SUMIFS(工数明細!$G$3:$G$302,工数明細!$B$3:$B$302,$A352,工数明細!$I$3:$I$302,M$212))</f>
        <v/>
      </c>
      <c r="N352" s="51" t="str">
        <f aca="false">IF($A352="","",SUMIFS(工数明細!$G$3:$G$302,工数明細!$B$3:$B$302,$A352,工数明細!$I$3:$I$302,N$212))</f>
        <v/>
      </c>
      <c r="O352" s="51" t="str">
        <f aca="false">IF($A352="","",SUMIFS(工数明細!$G$3:$G$302,工数明細!$B$3:$B$302,$A352,工数明細!$I$3:$I$302,O$212))</f>
        <v/>
      </c>
      <c r="P352" s="51" t="str">
        <f aca="false">IF($A352="","",SUMIFS(工数明細!$G$3:$G$302,工数明細!$B$3:$B$302,$A352,工数明細!$I$3:$I$302,P$212))</f>
        <v/>
      </c>
      <c r="Q352" s="51" t="str">
        <f aca="false">IF($A352="","",SUMIFS(工数明細!$G$3:$G$302,工数明細!$B$3:$B$302,$A352,工数明細!$I$3:$I$302,Q$212))</f>
        <v/>
      </c>
      <c r="R352" s="51" t="str">
        <f aca="false">IF($A352="","",SUMIFS(工数明細!$G$3:$G$302,工数明細!$B$3:$B$302,$A352,工数明細!$I$3:$I$302,R$212))</f>
        <v/>
      </c>
      <c r="S352" s="51" t="str">
        <f aca="false">IF($A352="","",SUMIFS(工数明細!$G$3:$G$302,工数明細!$B$3:$B$302,$A352,工数明細!$I$3:$I$302,S$212))</f>
        <v/>
      </c>
      <c r="T352" s="51" t="str">
        <f aca="false">IF($A352="","",SUMIFS(工数明細!$G$3:$G$302,工数明細!$B$3:$B$302,$A352,工数明細!$I$3:$I$302,T$212))</f>
        <v/>
      </c>
      <c r="U352" s="51" t="str">
        <f aca="false">IF($A352="","",SUMIFS(工数明細!$G$3:$G$302,工数明細!$B$3:$B$302,$A352,工数明細!$I$3:$I$302,U$212))</f>
        <v/>
      </c>
      <c r="V352" s="51" t="str">
        <f aca="false">IF($A352="","",SUMIFS(工数明細!$G$3:$G$302,工数明細!$B$3:$B$302,$A352,工数明細!$I$3:$I$302,V$212))</f>
        <v/>
      </c>
      <c r="W352" s="51" t="str">
        <f aca="false">IF($A352="","",SUMIFS(工数明細!$G$3:$G$302,工数明細!$B$3:$B$302,$A352,工数明細!$I$3:$I$302,W$212))</f>
        <v/>
      </c>
      <c r="X352" s="51" t="str">
        <f aca="false">IF($A352="","",SUMIFS(工数明細!$G$3:$G$302,工数明細!$B$3:$B$302,$A352,工数明細!$I$3:$I$302,X$212))</f>
        <v/>
      </c>
      <c r="Y352" s="51" t="str">
        <f aca="false">IF($A352="","",SUMIFS(工数明細!$G$3:$G$302,工数明細!$B$3:$B$302,$A352,工数明細!$I$3:$I$302,Y$212))</f>
        <v/>
      </c>
      <c r="Z352" s="51" t="str">
        <f aca="false">IF($A352="","",SUMIFS(工数明細!$G$3:$G$302,工数明細!$B$3:$B$302,$A352,工数明細!$I$3:$I$302,Z$212))</f>
        <v/>
      </c>
      <c r="AA352" s="51" t="str">
        <f aca="false">IF($A352="","",SUMIFS(工数明細!$G$3:$G$302,工数明細!$B$3:$B$302,$A352,工数明細!$I$3:$I$302,AA$212))</f>
        <v/>
      </c>
      <c r="AB352" s="51" t="str">
        <f aca="false">IF($A352="","",SUMIFS(工数明細!$G$3:$G$302,工数明細!$B$3:$B$302,$A352,工数明細!$I$3:$I$302,AB$212))</f>
        <v/>
      </c>
      <c r="AC352" s="51" t="str">
        <f aca="false">IF($A352="","",SUMIFS(工数明細!$G$3:$G$302,工数明細!$B$3:$B$302,$A352,工数明細!$I$3:$I$302,AC$212))</f>
        <v/>
      </c>
      <c r="AD352" s="51" t="str">
        <f aca="false">IF($A352="","",SUMIFS(工数明細!$G$3:$G$302,工数明細!$B$3:$B$302,$A352,工数明細!$I$3:$I$302,AD$212))</f>
        <v/>
      </c>
    </row>
    <row r="353" customFormat="false" ht="15.75" hidden="false" customHeight="true" outlineLevel="0" collapsed="false">
      <c r="A353" s="28" t="str">
        <f aca="false">IF(案件管理!$A$142:$A$142="","",案件管理!$A$142:$A$142)</f>
        <v/>
      </c>
      <c r="B353" s="10" t="str">
        <f aca="false">IF($A353="","",案件管理!$B$142:$B$142)</f>
        <v/>
      </c>
      <c r="C353" s="10" t="str">
        <f aca="false">IF($A353="","",案件管理!$D$142:$D$142)</f>
        <v/>
      </c>
      <c r="D353" s="30" t="str">
        <f aca="false">IF($A353="","",案件管理!$AE$142:$AE$142)</f>
        <v/>
      </c>
      <c r="E353" s="30" t="str">
        <f aca="false">IF($A353="","",SUM($G353:$AD353))</f>
        <v/>
      </c>
      <c r="F353" s="51" t="str">
        <f aca="false">IF($A353="","",N($E147)-N($E353))</f>
        <v/>
      </c>
      <c r="G353" s="51" t="str">
        <f aca="false">IF($A353="","",SUMIFS(工数明細!$G$3:$G$302,工数明細!$B$3:$B$302,$A353,工数明細!$I$3:$I$302,G$212))</f>
        <v/>
      </c>
      <c r="H353" s="51" t="str">
        <f aca="false">IF($A353="","",SUMIFS(工数明細!$G$3:$G$302,工数明細!$B$3:$B$302,$A353,工数明細!$I$3:$I$302,H$212))</f>
        <v/>
      </c>
      <c r="I353" s="51" t="str">
        <f aca="false">IF($A353="","",SUMIFS(工数明細!$G$3:$G$302,工数明細!$B$3:$B$302,$A353,工数明細!$I$3:$I$302,I$212))</f>
        <v/>
      </c>
      <c r="J353" s="51" t="str">
        <f aca="false">IF($A353="","",SUMIFS(工数明細!$G$3:$G$302,工数明細!$B$3:$B$302,$A353,工数明細!$I$3:$I$302,J$212))</f>
        <v/>
      </c>
      <c r="K353" s="51" t="str">
        <f aca="false">IF($A353="","",SUMIFS(工数明細!$G$3:$G$302,工数明細!$B$3:$B$302,$A353,工数明細!$I$3:$I$302,K$212))</f>
        <v/>
      </c>
      <c r="L353" s="51" t="str">
        <f aca="false">IF($A353="","",SUMIFS(工数明細!$G$3:$G$302,工数明細!$B$3:$B$302,$A353,工数明細!$I$3:$I$302,L$212))</f>
        <v/>
      </c>
      <c r="M353" s="51" t="str">
        <f aca="false">IF($A353="","",SUMIFS(工数明細!$G$3:$G$302,工数明細!$B$3:$B$302,$A353,工数明細!$I$3:$I$302,M$212))</f>
        <v/>
      </c>
      <c r="N353" s="51" t="str">
        <f aca="false">IF($A353="","",SUMIFS(工数明細!$G$3:$G$302,工数明細!$B$3:$B$302,$A353,工数明細!$I$3:$I$302,N$212))</f>
        <v/>
      </c>
      <c r="O353" s="51" t="str">
        <f aca="false">IF($A353="","",SUMIFS(工数明細!$G$3:$G$302,工数明細!$B$3:$B$302,$A353,工数明細!$I$3:$I$302,O$212))</f>
        <v/>
      </c>
      <c r="P353" s="51" t="str">
        <f aca="false">IF($A353="","",SUMIFS(工数明細!$G$3:$G$302,工数明細!$B$3:$B$302,$A353,工数明細!$I$3:$I$302,P$212))</f>
        <v/>
      </c>
      <c r="Q353" s="51" t="str">
        <f aca="false">IF($A353="","",SUMIFS(工数明細!$G$3:$G$302,工数明細!$B$3:$B$302,$A353,工数明細!$I$3:$I$302,Q$212))</f>
        <v/>
      </c>
      <c r="R353" s="51" t="str">
        <f aca="false">IF($A353="","",SUMIFS(工数明細!$G$3:$G$302,工数明細!$B$3:$B$302,$A353,工数明細!$I$3:$I$302,R$212))</f>
        <v/>
      </c>
      <c r="S353" s="51" t="str">
        <f aca="false">IF($A353="","",SUMIFS(工数明細!$G$3:$G$302,工数明細!$B$3:$B$302,$A353,工数明細!$I$3:$I$302,S$212))</f>
        <v/>
      </c>
      <c r="T353" s="51" t="str">
        <f aca="false">IF($A353="","",SUMIFS(工数明細!$G$3:$G$302,工数明細!$B$3:$B$302,$A353,工数明細!$I$3:$I$302,T$212))</f>
        <v/>
      </c>
      <c r="U353" s="51" t="str">
        <f aca="false">IF($A353="","",SUMIFS(工数明細!$G$3:$G$302,工数明細!$B$3:$B$302,$A353,工数明細!$I$3:$I$302,U$212))</f>
        <v/>
      </c>
      <c r="V353" s="51" t="str">
        <f aca="false">IF($A353="","",SUMIFS(工数明細!$G$3:$G$302,工数明細!$B$3:$B$302,$A353,工数明細!$I$3:$I$302,V$212))</f>
        <v/>
      </c>
      <c r="W353" s="51" t="str">
        <f aca="false">IF($A353="","",SUMIFS(工数明細!$G$3:$G$302,工数明細!$B$3:$B$302,$A353,工数明細!$I$3:$I$302,W$212))</f>
        <v/>
      </c>
      <c r="X353" s="51" t="str">
        <f aca="false">IF($A353="","",SUMIFS(工数明細!$G$3:$G$302,工数明細!$B$3:$B$302,$A353,工数明細!$I$3:$I$302,X$212))</f>
        <v/>
      </c>
      <c r="Y353" s="51" t="str">
        <f aca="false">IF($A353="","",SUMIFS(工数明細!$G$3:$G$302,工数明細!$B$3:$B$302,$A353,工数明細!$I$3:$I$302,Y$212))</f>
        <v/>
      </c>
      <c r="Z353" s="51" t="str">
        <f aca="false">IF($A353="","",SUMIFS(工数明細!$G$3:$G$302,工数明細!$B$3:$B$302,$A353,工数明細!$I$3:$I$302,Z$212))</f>
        <v/>
      </c>
      <c r="AA353" s="51" t="str">
        <f aca="false">IF($A353="","",SUMIFS(工数明細!$G$3:$G$302,工数明細!$B$3:$B$302,$A353,工数明細!$I$3:$I$302,AA$212))</f>
        <v/>
      </c>
      <c r="AB353" s="51" t="str">
        <f aca="false">IF($A353="","",SUMIFS(工数明細!$G$3:$G$302,工数明細!$B$3:$B$302,$A353,工数明細!$I$3:$I$302,AB$212))</f>
        <v/>
      </c>
      <c r="AC353" s="51" t="str">
        <f aca="false">IF($A353="","",SUMIFS(工数明細!$G$3:$G$302,工数明細!$B$3:$B$302,$A353,工数明細!$I$3:$I$302,AC$212))</f>
        <v/>
      </c>
      <c r="AD353" s="51" t="str">
        <f aca="false">IF($A353="","",SUMIFS(工数明細!$G$3:$G$302,工数明細!$B$3:$B$302,$A353,工数明細!$I$3:$I$302,AD$212))</f>
        <v/>
      </c>
    </row>
    <row r="354" customFormat="false" ht="15.75" hidden="false" customHeight="true" outlineLevel="0" collapsed="false">
      <c r="A354" s="28" t="str">
        <f aca="false">IF(案件管理!$A$143:$A$143="","",案件管理!$A$143:$A$143)</f>
        <v/>
      </c>
      <c r="B354" s="10" t="str">
        <f aca="false">IF($A354="","",案件管理!$B$143:$B$143)</f>
        <v/>
      </c>
      <c r="C354" s="10" t="str">
        <f aca="false">IF($A354="","",案件管理!$D$143:$D$143)</f>
        <v/>
      </c>
      <c r="D354" s="30" t="str">
        <f aca="false">IF($A354="","",案件管理!$AE$143:$AE$143)</f>
        <v/>
      </c>
      <c r="E354" s="30" t="str">
        <f aca="false">IF($A354="","",SUM($G354:$AD354))</f>
        <v/>
      </c>
      <c r="F354" s="51" t="str">
        <f aca="false">IF($A354="","",N($E148)-N($E354))</f>
        <v/>
      </c>
      <c r="G354" s="51" t="str">
        <f aca="false">IF($A354="","",SUMIFS(工数明細!$G$3:$G$302,工数明細!$B$3:$B$302,$A354,工数明細!$I$3:$I$302,G$212))</f>
        <v/>
      </c>
      <c r="H354" s="51" t="str">
        <f aca="false">IF($A354="","",SUMIFS(工数明細!$G$3:$G$302,工数明細!$B$3:$B$302,$A354,工数明細!$I$3:$I$302,H$212))</f>
        <v/>
      </c>
      <c r="I354" s="51" t="str">
        <f aca="false">IF($A354="","",SUMIFS(工数明細!$G$3:$G$302,工数明細!$B$3:$B$302,$A354,工数明細!$I$3:$I$302,I$212))</f>
        <v/>
      </c>
      <c r="J354" s="51" t="str">
        <f aca="false">IF($A354="","",SUMIFS(工数明細!$G$3:$G$302,工数明細!$B$3:$B$302,$A354,工数明細!$I$3:$I$302,J$212))</f>
        <v/>
      </c>
      <c r="K354" s="51" t="str">
        <f aca="false">IF($A354="","",SUMIFS(工数明細!$G$3:$G$302,工数明細!$B$3:$B$302,$A354,工数明細!$I$3:$I$302,K$212))</f>
        <v/>
      </c>
      <c r="L354" s="51" t="str">
        <f aca="false">IF($A354="","",SUMIFS(工数明細!$G$3:$G$302,工数明細!$B$3:$B$302,$A354,工数明細!$I$3:$I$302,L$212))</f>
        <v/>
      </c>
      <c r="M354" s="51" t="str">
        <f aca="false">IF($A354="","",SUMIFS(工数明細!$G$3:$G$302,工数明細!$B$3:$B$302,$A354,工数明細!$I$3:$I$302,M$212))</f>
        <v/>
      </c>
      <c r="N354" s="51" t="str">
        <f aca="false">IF($A354="","",SUMIFS(工数明細!$G$3:$G$302,工数明細!$B$3:$B$302,$A354,工数明細!$I$3:$I$302,N$212))</f>
        <v/>
      </c>
      <c r="O354" s="51" t="str">
        <f aca="false">IF($A354="","",SUMIFS(工数明細!$G$3:$G$302,工数明細!$B$3:$B$302,$A354,工数明細!$I$3:$I$302,O$212))</f>
        <v/>
      </c>
      <c r="P354" s="51" t="str">
        <f aca="false">IF($A354="","",SUMIFS(工数明細!$G$3:$G$302,工数明細!$B$3:$B$302,$A354,工数明細!$I$3:$I$302,P$212))</f>
        <v/>
      </c>
      <c r="Q354" s="51" t="str">
        <f aca="false">IF($A354="","",SUMIFS(工数明細!$G$3:$G$302,工数明細!$B$3:$B$302,$A354,工数明細!$I$3:$I$302,Q$212))</f>
        <v/>
      </c>
      <c r="R354" s="51" t="str">
        <f aca="false">IF($A354="","",SUMIFS(工数明細!$G$3:$G$302,工数明細!$B$3:$B$302,$A354,工数明細!$I$3:$I$302,R$212))</f>
        <v/>
      </c>
      <c r="S354" s="51" t="str">
        <f aca="false">IF($A354="","",SUMIFS(工数明細!$G$3:$G$302,工数明細!$B$3:$B$302,$A354,工数明細!$I$3:$I$302,S$212))</f>
        <v/>
      </c>
      <c r="T354" s="51" t="str">
        <f aca="false">IF($A354="","",SUMIFS(工数明細!$G$3:$G$302,工数明細!$B$3:$B$302,$A354,工数明細!$I$3:$I$302,T$212))</f>
        <v/>
      </c>
      <c r="U354" s="51" t="str">
        <f aca="false">IF($A354="","",SUMIFS(工数明細!$G$3:$G$302,工数明細!$B$3:$B$302,$A354,工数明細!$I$3:$I$302,U$212))</f>
        <v/>
      </c>
      <c r="V354" s="51" t="str">
        <f aca="false">IF($A354="","",SUMIFS(工数明細!$G$3:$G$302,工数明細!$B$3:$B$302,$A354,工数明細!$I$3:$I$302,V$212))</f>
        <v/>
      </c>
      <c r="W354" s="51" t="str">
        <f aca="false">IF($A354="","",SUMIFS(工数明細!$G$3:$G$302,工数明細!$B$3:$B$302,$A354,工数明細!$I$3:$I$302,W$212))</f>
        <v/>
      </c>
      <c r="X354" s="51" t="str">
        <f aca="false">IF($A354="","",SUMIFS(工数明細!$G$3:$G$302,工数明細!$B$3:$B$302,$A354,工数明細!$I$3:$I$302,X$212))</f>
        <v/>
      </c>
      <c r="Y354" s="51" t="str">
        <f aca="false">IF($A354="","",SUMIFS(工数明細!$G$3:$G$302,工数明細!$B$3:$B$302,$A354,工数明細!$I$3:$I$302,Y$212))</f>
        <v/>
      </c>
      <c r="Z354" s="51" t="str">
        <f aca="false">IF($A354="","",SUMIFS(工数明細!$G$3:$G$302,工数明細!$B$3:$B$302,$A354,工数明細!$I$3:$I$302,Z$212))</f>
        <v/>
      </c>
      <c r="AA354" s="51" t="str">
        <f aca="false">IF($A354="","",SUMIFS(工数明細!$G$3:$G$302,工数明細!$B$3:$B$302,$A354,工数明細!$I$3:$I$302,AA$212))</f>
        <v/>
      </c>
      <c r="AB354" s="51" t="str">
        <f aca="false">IF($A354="","",SUMIFS(工数明細!$G$3:$G$302,工数明細!$B$3:$B$302,$A354,工数明細!$I$3:$I$302,AB$212))</f>
        <v/>
      </c>
      <c r="AC354" s="51" t="str">
        <f aca="false">IF($A354="","",SUMIFS(工数明細!$G$3:$G$302,工数明細!$B$3:$B$302,$A354,工数明細!$I$3:$I$302,AC$212))</f>
        <v/>
      </c>
      <c r="AD354" s="51" t="str">
        <f aca="false">IF($A354="","",SUMIFS(工数明細!$G$3:$G$302,工数明細!$B$3:$B$302,$A354,工数明細!$I$3:$I$302,AD$212))</f>
        <v/>
      </c>
    </row>
    <row r="355" customFormat="false" ht="15.75" hidden="false" customHeight="true" outlineLevel="0" collapsed="false">
      <c r="A355" s="28" t="str">
        <f aca="false">IF(案件管理!$A$144:$A$144="","",案件管理!$A$144:$A$144)</f>
        <v/>
      </c>
      <c r="B355" s="10" t="str">
        <f aca="false">IF($A355="","",案件管理!$B$144:$B$144)</f>
        <v/>
      </c>
      <c r="C355" s="10" t="str">
        <f aca="false">IF($A355="","",案件管理!$D$144:$D$144)</f>
        <v/>
      </c>
      <c r="D355" s="30" t="str">
        <f aca="false">IF($A355="","",案件管理!$AE$144:$AE$144)</f>
        <v/>
      </c>
      <c r="E355" s="30" t="str">
        <f aca="false">IF($A355="","",SUM($G355:$AD355))</f>
        <v/>
      </c>
      <c r="F355" s="51" t="str">
        <f aca="false">IF($A355="","",N($E149)-N($E355))</f>
        <v/>
      </c>
      <c r="G355" s="51" t="str">
        <f aca="false">IF($A355="","",SUMIFS(工数明細!$G$3:$G$302,工数明細!$B$3:$B$302,$A355,工数明細!$I$3:$I$302,G$212))</f>
        <v/>
      </c>
      <c r="H355" s="51" t="str">
        <f aca="false">IF($A355="","",SUMIFS(工数明細!$G$3:$G$302,工数明細!$B$3:$B$302,$A355,工数明細!$I$3:$I$302,H$212))</f>
        <v/>
      </c>
      <c r="I355" s="51" t="str">
        <f aca="false">IF($A355="","",SUMIFS(工数明細!$G$3:$G$302,工数明細!$B$3:$B$302,$A355,工数明細!$I$3:$I$302,I$212))</f>
        <v/>
      </c>
      <c r="J355" s="51" t="str">
        <f aca="false">IF($A355="","",SUMIFS(工数明細!$G$3:$G$302,工数明細!$B$3:$B$302,$A355,工数明細!$I$3:$I$302,J$212))</f>
        <v/>
      </c>
      <c r="K355" s="51" t="str">
        <f aca="false">IF($A355="","",SUMIFS(工数明細!$G$3:$G$302,工数明細!$B$3:$B$302,$A355,工数明細!$I$3:$I$302,K$212))</f>
        <v/>
      </c>
      <c r="L355" s="51" t="str">
        <f aca="false">IF($A355="","",SUMIFS(工数明細!$G$3:$G$302,工数明細!$B$3:$B$302,$A355,工数明細!$I$3:$I$302,L$212))</f>
        <v/>
      </c>
      <c r="M355" s="51" t="str">
        <f aca="false">IF($A355="","",SUMIFS(工数明細!$G$3:$G$302,工数明細!$B$3:$B$302,$A355,工数明細!$I$3:$I$302,M$212))</f>
        <v/>
      </c>
      <c r="N355" s="51" t="str">
        <f aca="false">IF($A355="","",SUMIFS(工数明細!$G$3:$G$302,工数明細!$B$3:$B$302,$A355,工数明細!$I$3:$I$302,N$212))</f>
        <v/>
      </c>
      <c r="O355" s="51" t="str">
        <f aca="false">IF($A355="","",SUMIFS(工数明細!$G$3:$G$302,工数明細!$B$3:$B$302,$A355,工数明細!$I$3:$I$302,O$212))</f>
        <v/>
      </c>
      <c r="P355" s="51" t="str">
        <f aca="false">IF($A355="","",SUMIFS(工数明細!$G$3:$G$302,工数明細!$B$3:$B$302,$A355,工数明細!$I$3:$I$302,P$212))</f>
        <v/>
      </c>
      <c r="Q355" s="51" t="str">
        <f aca="false">IF($A355="","",SUMIFS(工数明細!$G$3:$G$302,工数明細!$B$3:$B$302,$A355,工数明細!$I$3:$I$302,Q$212))</f>
        <v/>
      </c>
      <c r="R355" s="51" t="str">
        <f aca="false">IF($A355="","",SUMIFS(工数明細!$G$3:$G$302,工数明細!$B$3:$B$302,$A355,工数明細!$I$3:$I$302,R$212))</f>
        <v/>
      </c>
      <c r="S355" s="51" t="str">
        <f aca="false">IF($A355="","",SUMIFS(工数明細!$G$3:$G$302,工数明細!$B$3:$B$302,$A355,工数明細!$I$3:$I$302,S$212))</f>
        <v/>
      </c>
      <c r="T355" s="51" t="str">
        <f aca="false">IF($A355="","",SUMIFS(工数明細!$G$3:$G$302,工数明細!$B$3:$B$302,$A355,工数明細!$I$3:$I$302,T$212))</f>
        <v/>
      </c>
      <c r="U355" s="51" t="str">
        <f aca="false">IF($A355="","",SUMIFS(工数明細!$G$3:$G$302,工数明細!$B$3:$B$302,$A355,工数明細!$I$3:$I$302,U$212))</f>
        <v/>
      </c>
      <c r="V355" s="51" t="str">
        <f aca="false">IF($A355="","",SUMIFS(工数明細!$G$3:$G$302,工数明細!$B$3:$B$302,$A355,工数明細!$I$3:$I$302,V$212))</f>
        <v/>
      </c>
      <c r="W355" s="51" t="str">
        <f aca="false">IF($A355="","",SUMIFS(工数明細!$G$3:$G$302,工数明細!$B$3:$B$302,$A355,工数明細!$I$3:$I$302,W$212))</f>
        <v/>
      </c>
      <c r="X355" s="51" t="str">
        <f aca="false">IF($A355="","",SUMIFS(工数明細!$G$3:$G$302,工数明細!$B$3:$B$302,$A355,工数明細!$I$3:$I$302,X$212))</f>
        <v/>
      </c>
      <c r="Y355" s="51" t="str">
        <f aca="false">IF($A355="","",SUMIFS(工数明細!$G$3:$G$302,工数明細!$B$3:$B$302,$A355,工数明細!$I$3:$I$302,Y$212))</f>
        <v/>
      </c>
      <c r="Z355" s="51" t="str">
        <f aca="false">IF($A355="","",SUMIFS(工数明細!$G$3:$G$302,工数明細!$B$3:$B$302,$A355,工数明細!$I$3:$I$302,Z$212))</f>
        <v/>
      </c>
      <c r="AA355" s="51" t="str">
        <f aca="false">IF($A355="","",SUMIFS(工数明細!$G$3:$G$302,工数明細!$B$3:$B$302,$A355,工数明細!$I$3:$I$302,AA$212))</f>
        <v/>
      </c>
      <c r="AB355" s="51" t="str">
        <f aca="false">IF($A355="","",SUMIFS(工数明細!$G$3:$G$302,工数明細!$B$3:$B$302,$A355,工数明細!$I$3:$I$302,AB$212))</f>
        <v/>
      </c>
      <c r="AC355" s="51" t="str">
        <f aca="false">IF($A355="","",SUMIFS(工数明細!$G$3:$G$302,工数明細!$B$3:$B$302,$A355,工数明細!$I$3:$I$302,AC$212))</f>
        <v/>
      </c>
      <c r="AD355" s="51" t="str">
        <f aca="false">IF($A355="","",SUMIFS(工数明細!$G$3:$G$302,工数明細!$B$3:$B$302,$A355,工数明細!$I$3:$I$302,AD$212))</f>
        <v/>
      </c>
    </row>
    <row r="356" customFormat="false" ht="15.75" hidden="false" customHeight="true" outlineLevel="0" collapsed="false">
      <c r="A356" s="28" t="str">
        <f aca="false">IF(案件管理!$A$145:$A$145="","",案件管理!$A$145:$A$145)</f>
        <v/>
      </c>
      <c r="B356" s="10" t="str">
        <f aca="false">IF($A356="","",案件管理!$B$145:$B$145)</f>
        <v/>
      </c>
      <c r="C356" s="10" t="str">
        <f aca="false">IF($A356="","",案件管理!$D$145:$D$145)</f>
        <v/>
      </c>
      <c r="D356" s="30" t="str">
        <f aca="false">IF($A356="","",案件管理!$AE$145:$AE$145)</f>
        <v/>
      </c>
      <c r="E356" s="30" t="str">
        <f aca="false">IF($A356="","",SUM($G356:$AD356))</f>
        <v/>
      </c>
      <c r="F356" s="51" t="str">
        <f aca="false">IF($A356="","",N($E150)-N($E356))</f>
        <v/>
      </c>
      <c r="G356" s="51" t="str">
        <f aca="false">IF($A356="","",SUMIFS(工数明細!$G$3:$G$302,工数明細!$B$3:$B$302,$A356,工数明細!$I$3:$I$302,G$212))</f>
        <v/>
      </c>
      <c r="H356" s="51" t="str">
        <f aca="false">IF($A356="","",SUMIFS(工数明細!$G$3:$G$302,工数明細!$B$3:$B$302,$A356,工数明細!$I$3:$I$302,H$212))</f>
        <v/>
      </c>
      <c r="I356" s="51" t="str">
        <f aca="false">IF($A356="","",SUMIFS(工数明細!$G$3:$G$302,工数明細!$B$3:$B$302,$A356,工数明細!$I$3:$I$302,I$212))</f>
        <v/>
      </c>
      <c r="J356" s="51" t="str">
        <f aca="false">IF($A356="","",SUMIFS(工数明細!$G$3:$G$302,工数明細!$B$3:$B$302,$A356,工数明細!$I$3:$I$302,J$212))</f>
        <v/>
      </c>
      <c r="K356" s="51" t="str">
        <f aca="false">IF($A356="","",SUMIFS(工数明細!$G$3:$G$302,工数明細!$B$3:$B$302,$A356,工数明細!$I$3:$I$302,K$212))</f>
        <v/>
      </c>
      <c r="L356" s="51" t="str">
        <f aca="false">IF($A356="","",SUMIFS(工数明細!$G$3:$G$302,工数明細!$B$3:$B$302,$A356,工数明細!$I$3:$I$302,L$212))</f>
        <v/>
      </c>
      <c r="M356" s="51" t="str">
        <f aca="false">IF($A356="","",SUMIFS(工数明細!$G$3:$G$302,工数明細!$B$3:$B$302,$A356,工数明細!$I$3:$I$302,M$212))</f>
        <v/>
      </c>
      <c r="N356" s="51" t="str">
        <f aca="false">IF($A356="","",SUMIFS(工数明細!$G$3:$G$302,工数明細!$B$3:$B$302,$A356,工数明細!$I$3:$I$302,N$212))</f>
        <v/>
      </c>
      <c r="O356" s="51" t="str">
        <f aca="false">IF($A356="","",SUMIFS(工数明細!$G$3:$G$302,工数明細!$B$3:$B$302,$A356,工数明細!$I$3:$I$302,O$212))</f>
        <v/>
      </c>
      <c r="P356" s="51" t="str">
        <f aca="false">IF($A356="","",SUMIFS(工数明細!$G$3:$G$302,工数明細!$B$3:$B$302,$A356,工数明細!$I$3:$I$302,P$212))</f>
        <v/>
      </c>
      <c r="Q356" s="51" t="str">
        <f aca="false">IF($A356="","",SUMIFS(工数明細!$G$3:$G$302,工数明細!$B$3:$B$302,$A356,工数明細!$I$3:$I$302,Q$212))</f>
        <v/>
      </c>
      <c r="R356" s="51" t="str">
        <f aca="false">IF($A356="","",SUMIFS(工数明細!$G$3:$G$302,工数明細!$B$3:$B$302,$A356,工数明細!$I$3:$I$302,R$212))</f>
        <v/>
      </c>
      <c r="S356" s="51" t="str">
        <f aca="false">IF($A356="","",SUMIFS(工数明細!$G$3:$G$302,工数明細!$B$3:$B$302,$A356,工数明細!$I$3:$I$302,S$212))</f>
        <v/>
      </c>
      <c r="T356" s="51" t="str">
        <f aca="false">IF($A356="","",SUMIFS(工数明細!$G$3:$G$302,工数明細!$B$3:$B$302,$A356,工数明細!$I$3:$I$302,T$212))</f>
        <v/>
      </c>
      <c r="U356" s="51" t="str">
        <f aca="false">IF($A356="","",SUMIFS(工数明細!$G$3:$G$302,工数明細!$B$3:$B$302,$A356,工数明細!$I$3:$I$302,U$212))</f>
        <v/>
      </c>
      <c r="V356" s="51" t="str">
        <f aca="false">IF($A356="","",SUMIFS(工数明細!$G$3:$G$302,工数明細!$B$3:$B$302,$A356,工数明細!$I$3:$I$302,V$212))</f>
        <v/>
      </c>
      <c r="W356" s="51" t="str">
        <f aca="false">IF($A356="","",SUMIFS(工数明細!$G$3:$G$302,工数明細!$B$3:$B$302,$A356,工数明細!$I$3:$I$302,W$212))</f>
        <v/>
      </c>
      <c r="X356" s="51" t="str">
        <f aca="false">IF($A356="","",SUMIFS(工数明細!$G$3:$G$302,工数明細!$B$3:$B$302,$A356,工数明細!$I$3:$I$302,X$212))</f>
        <v/>
      </c>
      <c r="Y356" s="51" t="str">
        <f aca="false">IF($A356="","",SUMIFS(工数明細!$G$3:$G$302,工数明細!$B$3:$B$302,$A356,工数明細!$I$3:$I$302,Y$212))</f>
        <v/>
      </c>
      <c r="Z356" s="51" t="str">
        <f aca="false">IF($A356="","",SUMIFS(工数明細!$G$3:$G$302,工数明細!$B$3:$B$302,$A356,工数明細!$I$3:$I$302,Z$212))</f>
        <v/>
      </c>
      <c r="AA356" s="51" t="str">
        <f aca="false">IF($A356="","",SUMIFS(工数明細!$G$3:$G$302,工数明細!$B$3:$B$302,$A356,工数明細!$I$3:$I$302,AA$212))</f>
        <v/>
      </c>
      <c r="AB356" s="51" t="str">
        <f aca="false">IF($A356="","",SUMIFS(工数明細!$G$3:$G$302,工数明細!$B$3:$B$302,$A356,工数明細!$I$3:$I$302,AB$212))</f>
        <v/>
      </c>
      <c r="AC356" s="51" t="str">
        <f aca="false">IF($A356="","",SUMIFS(工数明細!$G$3:$G$302,工数明細!$B$3:$B$302,$A356,工数明細!$I$3:$I$302,AC$212))</f>
        <v/>
      </c>
      <c r="AD356" s="51" t="str">
        <f aca="false">IF($A356="","",SUMIFS(工数明細!$G$3:$G$302,工数明細!$B$3:$B$302,$A356,工数明細!$I$3:$I$302,AD$212))</f>
        <v/>
      </c>
    </row>
    <row r="357" customFormat="false" ht="15.75" hidden="false" customHeight="true" outlineLevel="0" collapsed="false">
      <c r="A357" s="28" t="str">
        <f aca="false">IF(案件管理!$A$146:$A$146="","",案件管理!$A$146:$A$146)</f>
        <v/>
      </c>
      <c r="B357" s="10" t="str">
        <f aca="false">IF($A357="","",案件管理!$B$146:$B$146)</f>
        <v/>
      </c>
      <c r="C357" s="10" t="str">
        <f aca="false">IF($A357="","",案件管理!$D$146:$D$146)</f>
        <v/>
      </c>
      <c r="D357" s="30" t="str">
        <f aca="false">IF($A357="","",案件管理!$AE$146:$AE$146)</f>
        <v/>
      </c>
      <c r="E357" s="30" t="str">
        <f aca="false">IF($A357="","",SUM($G357:$AD357))</f>
        <v/>
      </c>
      <c r="F357" s="51" t="str">
        <f aca="false">IF($A357="","",N($E151)-N($E357))</f>
        <v/>
      </c>
      <c r="G357" s="51" t="str">
        <f aca="false">IF($A357="","",SUMIFS(工数明細!$G$3:$G$302,工数明細!$B$3:$B$302,$A357,工数明細!$I$3:$I$302,G$212))</f>
        <v/>
      </c>
      <c r="H357" s="51" t="str">
        <f aca="false">IF($A357="","",SUMIFS(工数明細!$G$3:$G$302,工数明細!$B$3:$B$302,$A357,工数明細!$I$3:$I$302,H$212))</f>
        <v/>
      </c>
      <c r="I357" s="51" t="str">
        <f aca="false">IF($A357="","",SUMIFS(工数明細!$G$3:$G$302,工数明細!$B$3:$B$302,$A357,工数明細!$I$3:$I$302,I$212))</f>
        <v/>
      </c>
      <c r="J357" s="51" t="str">
        <f aca="false">IF($A357="","",SUMIFS(工数明細!$G$3:$G$302,工数明細!$B$3:$B$302,$A357,工数明細!$I$3:$I$302,J$212))</f>
        <v/>
      </c>
      <c r="K357" s="51" t="str">
        <f aca="false">IF($A357="","",SUMIFS(工数明細!$G$3:$G$302,工数明細!$B$3:$B$302,$A357,工数明細!$I$3:$I$302,K$212))</f>
        <v/>
      </c>
      <c r="L357" s="51" t="str">
        <f aca="false">IF($A357="","",SUMIFS(工数明細!$G$3:$G$302,工数明細!$B$3:$B$302,$A357,工数明細!$I$3:$I$302,L$212))</f>
        <v/>
      </c>
      <c r="M357" s="51" t="str">
        <f aca="false">IF($A357="","",SUMIFS(工数明細!$G$3:$G$302,工数明細!$B$3:$B$302,$A357,工数明細!$I$3:$I$302,M$212))</f>
        <v/>
      </c>
      <c r="N357" s="51" t="str">
        <f aca="false">IF($A357="","",SUMIFS(工数明細!$G$3:$G$302,工数明細!$B$3:$B$302,$A357,工数明細!$I$3:$I$302,N$212))</f>
        <v/>
      </c>
      <c r="O357" s="51" t="str">
        <f aca="false">IF($A357="","",SUMIFS(工数明細!$G$3:$G$302,工数明細!$B$3:$B$302,$A357,工数明細!$I$3:$I$302,O$212))</f>
        <v/>
      </c>
      <c r="P357" s="51" t="str">
        <f aca="false">IF($A357="","",SUMIFS(工数明細!$G$3:$G$302,工数明細!$B$3:$B$302,$A357,工数明細!$I$3:$I$302,P$212))</f>
        <v/>
      </c>
      <c r="Q357" s="51" t="str">
        <f aca="false">IF($A357="","",SUMIFS(工数明細!$G$3:$G$302,工数明細!$B$3:$B$302,$A357,工数明細!$I$3:$I$302,Q$212))</f>
        <v/>
      </c>
      <c r="R357" s="51" t="str">
        <f aca="false">IF($A357="","",SUMIFS(工数明細!$G$3:$G$302,工数明細!$B$3:$B$302,$A357,工数明細!$I$3:$I$302,R$212))</f>
        <v/>
      </c>
      <c r="S357" s="51" t="str">
        <f aca="false">IF($A357="","",SUMIFS(工数明細!$G$3:$G$302,工数明細!$B$3:$B$302,$A357,工数明細!$I$3:$I$302,S$212))</f>
        <v/>
      </c>
      <c r="T357" s="51" t="str">
        <f aca="false">IF($A357="","",SUMIFS(工数明細!$G$3:$G$302,工数明細!$B$3:$B$302,$A357,工数明細!$I$3:$I$302,T$212))</f>
        <v/>
      </c>
      <c r="U357" s="51" t="str">
        <f aca="false">IF($A357="","",SUMIFS(工数明細!$G$3:$G$302,工数明細!$B$3:$B$302,$A357,工数明細!$I$3:$I$302,U$212))</f>
        <v/>
      </c>
      <c r="V357" s="51" t="str">
        <f aca="false">IF($A357="","",SUMIFS(工数明細!$G$3:$G$302,工数明細!$B$3:$B$302,$A357,工数明細!$I$3:$I$302,V$212))</f>
        <v/>
      </c>
      <c r="W357" s="51" t="str">
        <f aca="false">IF($A357="","",SUMIFS(工数明細!$G$3:$G$302,工数明細!$B$3:$B$302,$A357,工数明細!$I$3:$I$302,W$212))</f>
        <v/>
      </c>
      <c r="X357" s="51" t="str">
        <f aca="false">IF($A357="","",SUMIFS(工数明細!$G$3:$G$302,工数明細!$B$3:$B$302,$A357,工数明細!$I$3:$I$302,X$212))</f>
        <v/>
      </c>
      <c r="Y357" s="51" t="str">
        <f aca="false">IF($A357="","",SUMIFS(工数明細!$G$3:$G$302,工数明細!$B$3:$B$302,$A357,工数明細!$I$3:$I$302,Y$212))</f>
        <v/>
      </c>
      <c r="Z357" s="51" t="str">
        <f aca="false">IF($A357="","",SUMIFS(工数明細!$G$3:$G$302,工数明細!$B$3:$B$302,$A357,工数明細!$I$3:$I$302,Z$212))</f>
        <v/>
      </c>
      <c r="AA357" s="51" t="str">
        <f aca="false">IF($A357="","",SUMIFS(工数明細!$G$3:$G$302,工数明細!$B$3:$B$302,$A357,工数明細!$I$3:$I$302,AA$212))</f>
        <v/>
      </c>
      <c r="AB357" s="51" t="str">
        <f aca="false">IF($A357="","",SUMIFS(工数明細!$G$3:$G$302,工数明細!$B$3:$B$302,$A357,工数明細!$I$3:$I$302,AB$212))</f>
        <v/>
      </c>
      <c r="AC357" s="51" t="str">
        <f aca="false">IF($A357="","",SUMIFS(工数明細!$G$3:$G$302,工数明細!$B$3:$B$302,$A357,工数明細!$I$3:$I$302,AC$212))</f>
        <v/>
      </c>
      <c r="AD357" s="51" t="str">
        <f aca="false">IF($A357="","",SUMIFS(工数明細!$G$3:$G$302,工数明細!$B$3:$B$302,$A357,工数明細!$I$3:$I$302,AD$212))</f>
        <v/>
      </c>
    </row>
    <row r="358" customFormat="false" ht="15.75" hidden="false" customHeight="true" outlineLevel="0" collapsed="false">
      <c r="A358" s="28" t="str">
        <f aca="false">IF(案件管理!$A$147:$A$147="","",案件管理!$A$147:$A$147)</f>
        <v/>
      </c>
      <c r="B358" s="10" t="str">
        <f aca="false">IF($A358="","",案件管理!$B$147:$B$147)</f>
        <v/>
      </c>
      <c r="C358" s="10" t="str">
        <f aca="false">IF($A358="","",案件管理!$D$147:$D$147)</f>
        <v/>
      </c>
      <c r="D358" s="30" t="str">
        <f aca="false">IF($A358="","",案件管理!$AE$147:$AE$147)</f>
        <v/>
      </c>
      <c r="E358" s="30" t="str">
        <f aca="false">IF($A358="","",SUM($G358:$AD358))</f>
        <v/>
      </c>
      <c r="F358" s="51" t="str">
        <f aca="false">IF($A358="","",N($E152)-N($E358))</f>
        <v/>
      </c>
      <c r="G358" s="51" t="str">
        <f aca="false">IF($A358="","",SUMIFS(工数明細!$G$3:$G$302,工数明細!$B$3:$B$302,$A358,工数明細!$I$3:$I$302,G$212))</f>
        <v/>
      </c>
      <c r="H358" s="51" t="str">
        <f aca="false">IF($A358="","",SUMIFS(工数明細!$G$3:$G$302,工数明細!$B$3:$B$302,$A358,工数明細!$I$3:$I$302,H$212))</f>
        <v/>
      </c>
      <c r="I358" s="51" t="str">
        <f aca="false">IF($A358="","",SUMIFS(工数明細!$G$3:$G$302,工数明細!$B$3:$B$302,$A358,工数明細!$I$3:$I$302,I$212))</f>
        <v/>
      </c>
      <c r="J358" s="51" t="str">
        <f aca="false">IF($A358="","",SUMIFS(工数明細!$G$3:$G$302,工数明細!$B$3:$B$302,$A358,工数明細!$I$3:$I$302,J$212))</f>
        <v/>
      </c>
      <c r="K358" s="51" t="str">
        <f aca="false">IF($A358="","",SUMIFS(工数明細!$G$3:$G$302,工数明細!$B$3:$B$302,$A358,工数明細!$I$3:$I$302,K$212))</f>
        <v/>
      </c>
      <c r="L358" s="51" t="str">
        <f aca="false">IF($A358="","",SUMIFS(工数明細!$G$3:$G$302,工数明細!$B$3:$B$302,$A358,工数明細!$I$3:$I$302,L$212))</f>
        <v/>
      </c>
      <c r="M358" s="51" t="str">
        <f aca="false">IF($A358="","",SUMIFS(工数明細!$G$3:$G$302,工数明細!$B$3:$B$302,$A358,工数明細!$I$3:$I$302,M$212))</f>
        <v/>
      </c>
      <c r="N358" s="51" t="str">
        <f aca="false">IF($A358="","",SUMIFS(工数明細!$G$3:$G$302,工数明細!$B$3:$B$302,$A358,工数明細!$I$3:$I$302,N$212))</f>
        <v/>
      </c>
      <c r="O358" s="51" t="str">
        <f aca="false">IF($A358="","",SUMIFS(工数明細!$G$3:$G$302,工数明細!$B$3:$B$302,$A358,工数明細!$I$3:$I$302,O$212))</f>
        <v/>
      </c>
      <c r="P358" s="51" t="str">
        <f aca="false">IF($A358="","",SUMIFS(工数明細!$G$3:$G$302,工数明細!$B$3:$B$302,$A358,工数明細!$I$3:$I$302,P$212))</f>
        <v/>
      </c>
      <c r="Q358" s="51" t="str">
        <f aca="false">IF($A358="","",SUMIFS(工数明細!$G$3:$G$302,工数明細!$B$3:$B$302,$A358,工数明細!$I$3:$I$302,Q$212))</f>
        <v/>
      </c>
      <c r="R358" s="51" t="str">
        <f aca="false">IF($A358="","",SUMIFS(工数明細!$G$3:$G$302,工数明細!$B$3:$B$302,$A358,工数明細!$I$3:$I$302,R$212))</f>
        <v/>
      </c>
      <c r="S358" s="51" t="str">
        <f aca="false">IF($A358="","",SUMIFS(工数明細!$G$3:$G$302,工数明細!$B$3:$B$302,$A358,工数明細!$I$3:$I$302,S$212))</f>
        <v/>
      </c>
      <c r="T358" s="51" t="str">
        <f aca="false">IF($A358="","",SUMIFS(工数明細!$G$3:$G$302,工数明細!$B$3:$B$302,$A358,工数明細!$I$3:$I$302,T$212))</f>
        <v/>
      </c>
      <c r="U358" s="51" t="str">
        <f aca="false">IF($A358="","",SUMIFS(工数明細!$G$3:$G$302,工数明細!$B$3:$B$302,$A358,工数明細!$I$3:$I$302,U$212))</f>
        <v/>
      </c>
      <c r="V358" s="51" t="str">
        <f aca="false">IF($A358="","",SUMIFS(工数明細!$G$3:$G$302,工数明細!$B$3:$B$302,$A358,工数明細!$I$3:$I$302,V$212))</f>
        <v/>
      </c>
      <c r="W358" s="51" t="str">
        <f aca="false">IF($A358="","",SUMIFS(工数明細!$G$3:$G$302,工数明細!$B$3:$B$302,$A358,工数明細!$I$3:$I$302,W$212))</f>
        <v/>
      </c>
      <c r="X358" s="51" t="str">
        <f aca="false">IF($A358="","",SUMIFS(工数明細!$G$3:$G$302,工数明細!$B$3:$B$302,$A358,工数明細!$I$3:$I$302,X$212))</f>
        <v/>
      </c>
      <c r="Y358" s="51" t="str">
        <f aca="false">IF($A358="","",SUMIFS(工数明細!$G$3:$G$302,工数明細!$B$3:$B$302,$A358,工数明細!$I$3:$I$302,Y$212))</f>
        <v/>
      </c>
      <c r="Z358" s="51" t="str">
        <f aca="false">IF($A358="","",SUMIFS(工数明細!$G$3:$G$302,工数明細!$B$3:$B$302,$A358,工数明細!$I$3:$I$302,Z$212))</f>
        <v/>
      </c>
      <c r="AA358" s="51" t="str">
        <f aca="false">IF($A358="","",SUMIFS(工数明細!$G$3:$G$302,工数明細!$B$3:$B$302,$A358,工数明細!$I$3:$I$302,AA$212))</f>
        <v/>
      </c>
      <c r="AB358" s="51" t="str">
        <f aca="false">IF($A358="","",SUMIFS(工数明細!$G$3:$G$302,工数明細!$B$3:$B$302,$A358,工数明細!$I$3:$I$302,AB$212))</f>
        <v/>
      </c>
      <c r="AC358" s="51" t="str">
        <f aca="false">IF($A358="","",SUMIFS(工数明細!$G$3:$G$302,工数明細!$B$3:$B$302,$A358,工数明細!$I$3:$I$302,AC$212))</f>
        <v/>
      </c>
      <c r="AD358" s="51" t="str">
        <f aca="false">IF($A358="","",SUMIFS(工数明細!$G$3:$G$302,工数明細!$B$3:$B$302,$A358,工数明細!$I$3:$I$302,AD$212))</f>
        <v/>
      </c>
    </row>
    <row r="359" customFormat="false" ht="15.75" hidden="false" customHeight="true" outlineLevel="0" collapsed="false">
      <c r="A359" s="28" t="str">
        <f aca="false">IF(案件管理!$A$148:$A$148="","",案件管理!$A$148:$A$148)</f>
        <v/>
      </c>
      <c r="B359" s="10" t="str">
        <f aca="false">IF($A359="","",案件管理!$B$148:$B$148)</f>
        <v/>
      </c>
      <c r="C359" s="10" t="str">
        <f aca="false">IF($A359="","",案件管理!$D$148:$D$148)</f>
        <v/>
      </c>
      <c r="D359" s="30" t="str">
        <f aca="false">IF($A359="","",案件管理!$AE$148:$AE$148)</f>
        <v/>
      </c>
      <c r="E359" s="30" t="str">
        <f aca="false">IF($A359="","",SUM($G359:$AD359))</f>
        <v/>
      </c>
      <c r="F359" s="51" t="str">
        <f aca="false">IF($A359="","",N($E153)-N($E359))</f>
        <v/>
      </c>
      <c r="G359" s="51" t="str">
        <f aca="false">IF($A359="","",SUMIFS(工数明細!$G$3:$G$302,工数明細!$B$3:$B$302,$A359,工数明細!$I$3:$I$302,G$212))</f>
        <v/>
      </c>
      <c r="H359" s="51" t="str">
        <f aca="false">IF($A359="","",SUMIFS(工数明細!$G$3:$G$302,工数明細!$B$3:$B$302,$A359,工数明細!$I$3:$I$302,H$212))</f>
        <v/>
      </c>
      <c r="I359" s="51" t="str">
        <f aca="false">IF($A359="","",SUMIFS(工数明細!$G$3:$G$302,工数明細!$B$3:$B$302,$A359,工数明細!$I$3:$I$302,I$212))</f>
        <v/>
      </c>
      <c r="J359" s="51" t="str">
        <f aca="false">IF($A359="","",SUMIFS(工数明細!$G$3:$G$302,工数明細!$B$3:$B$302,$A359,工数明細!$I$3:$I$302,J$212))</f>
        <v/>
      </c>
      <c r="K359" s="51" t="str">
        <f aca="false">IF($A359="","",SUMIFS(工数明細!$G$3:$G$302,工数明細!$B$3:$B$302,$A359,工数明細!$I$3:$I$302,K$212))</f>
        <v/>
      </c>
      <c r="L359" s="51" t="str">
        <f aca="false">IF($A359="","",SUMIFS(工数明細!$G$3:$G$302,工数明細!$B$3:$B$302,$A359,工数明細!$I$3:$I$302,L$212))</f>
        <v/>
      </c>
      <c r="M359" s="51" t="str">
        <f aca="false">IF($A359="","",SUMIFS(工数明細!$G$3:$G$302,工数明細!$B$3:$B$302,$A359,工数明細!$I$3:$I$302,M$212))</f>
        <v/>
      </c>
      <c r="N359" s="51" t="str">
        <f aca="false">IF($A359="","",SUMIFS(工数明細!$G$3:$G$302,工数明細!$B$3:$B$302,$A359,工数明細!$I$3:$I$302,N$212))</f>
        <v/>
      </c>
      <c r="O359" s="51" t="str">
        <f aca="false">IF($A359="","",SUMIFS(工数明細!$G$3:$G$302,工数明細!$B$3:$B$302,$A359,工数明細!$I$3:$I$302,O$212))</f>
        <v/>
      </c>
      <c r="P359" s="51" t="str">
        <f aca="false">IF($A359="","",SUMIFS(工数明細!$G$3:$G$302,工数明細!$B$3:$B$302,$A359,工数明細!$I$3:$I$302,P$212))</f>
        <v/>
      </c>
      <c r="Q359" s="51" t="str">
        <f aca="false">IF($A359="","",SUMIFS(工数明細!$G$3:$G$302,工数明細!$B$3:$B$302,$A359,工数明細!$I$3:$I$302,Q$212))</f>
        <v/>
      </c>
      <c r="R359" s="51" t="str">
        <f aca="false">IF($A359="","",SUMIFS(工数明細!$G$3:$G$302,工数明細!$B$3:$B$302,$A359,工数明細!$I$3:$I$302,R$212))</f>
        <v/>
      </c>
      <c r="S359" s="51" t="str">
        <f aca="false">IF($A359="","",SUMIFS(工数明細!$G$3:$G$302,工数明細!$B$3:$B$302,$A359,工数明細!$I$3:$I$302,S$212))</f>
        <v/>
      </c>
      <c r="T359" s="51" t="str">
        <f aca="false">IF($A359="","",SUMIFS(工数明細!$G$3:$G$302,工数明細!$B$3:$B$302,$A359,工数明細!$I$3:$I$302,T$212))</f>
        <v/>
      </c>
      <c r="U359" s="51" t="str">
        <f aca="false">IF($A359="","",SUMIFS(工数明細!$G$3:$G$302,工数明細!$B$3:$B$302,$A359,工数明細!$I$3:$I$302,U$212))</f>
        <v/>
      </c>
      <c r="V359" s="51" t="str">
        <f aca="false">IF($A359="","",SUMIFS(工数明細!$G$3:$G$302,工数明細!$B$3:$B$302,$A359,工数明細!$I$3:$I$302,V$212))</f>
        <v/>
      </c>
      <c r="W359" s="51" t="str">
        <f aca="false">IF($A359="","",SUMIFS(工数明細!$G$3:$G$302,工数明細!$B$3:$B$302,$A359,工数明細!$I$3:$I$302,W$212))</f>
        <v/>
      </c>
      <c r="X359" s="51" t="str">
        <f aca="false">IF($A359="","",SUMIFS(工数明細!$G$3:$G$302,工数明細!$B$3:$B$302,$A359,工数明細!$I$3:$I$302,X$212))</f>
        <v/>
      </c>
      <c r="Y359" s="51" t="str">
        <f aca="false">IF($A359="","",SUMIFS(工数明細!$G$3:$G$302,工数明細!$B$3:$B$302,$A359,工数明細!$I$3:$I$302,Y$212))</f>
        <v/>
      </c>
      <c r="Z359" s="51" t="str">
        <f aca="false">IF($A359="","",SUMIFS(工数明細!$G$3:$G$302,工数明細!$B$3:$B$302,$A359,工数明細!$I$3:$I$302,Z$212))</f>
        <v/>
      </c>
      <c r="AA359" s="51" t="str">
        <f aca="false">IF($A359="","",SUMIFS(工数明細!$G$3:$G$302,工数明細!$B$3:$B$302,$A359,工数明細!$I$3:$I$302,AA$212))</f>
        <v/>
      </c>
      <c r="AB359" s="51" t="str">
        <f aca="false">IF($A359="","",SUMIFS(工数明細!$G$3:$G$302,工数明細!$B$3:$B$302,$A359,工数明細!$I$3:$I$302,AB$212))</f>
        <v/>
      </c>
      <c r="AC359" s="51" t="str">
        <f aca="false">IF($A359="","",SUMIFS(工数明細!$G$3:$G$302,工数明細!$B$3:$B$302,$A359,工数明細!$I$3:$I$302,AC$212))</f>
        <v/>
      </c>
      <c r="AD359" s="51" t="str">
        <f aca="false">IF($A359="","",SUMIFS(工数明細!$G$3:$G$302,工数明細!$B$3:$B$302,$A359,工数明細!$I$3:$I$302,AD$212))</f>
        <v/>
      </c>
    </row>
    <row r="360" customFormat="false" ht="15.75" hidden="false" customHeight="true" outlineLevel="0" collapsed="false">
      <c r="A360" s="28" t="str">
        <f aca="false">IF(案件管理!$A$149:$A$149="","",案件管理!$A$149:$A$149)</f>
        <v/>
      </c>
      <c r="B360" s="10" t="str">
        <f aca="false">IF($A360="","",案件管理!$B$149:$B$149)</f>
        <v/>
      </c>
      <c r="C360" s="10" t="str">
        <f aca="false">IF($A360="","",案件管理!$D$149:$D$149)</f>
        <v/>
      </c>
      <c r="D360" s="30" t="str">
        <f aca="false">IF($A360="","",案件管理!$AE$149:$AE$149)</f>
        <v/>
      </c>
      <c r="E360" s="30" t="str">
        <f aca="false">IF($A360="","",SUM($G360:$AD360))</f>
        <v/>
      </c>
      <c r="F360" s="51" t="str">
        <f aca="false">IF($A360="","",N($E154)-N($E360))</f>
        <v/>
      </c>
      <c r="G360" s="51" t="str">
        <f aca="false">IF($A360="","",SUMIFS(工数明細!$G$3:$G$302,工数明細!$B$3:$B$302,$A360,工数明細!$I$3:$I$302,G$212))</f>
        <v/>
      </c>
      <c r="H360" s="51" t="str">
        <f aca="false">IF($A360="","",SUMIFS(工数明細!$G$3:$G$302,工数明細!$B$3:$B$302,$A360,工数明細!$I$3:$I$302,H$212))</f>
        <v/>
      </c>
      <c r="I360" s="51" t="str">
        <f aca="false">IF($A360="","",SUMIFS(工数明細!$G$3:$G$302,工数明細!$B$3:$B$302,$A360,工数明細!$I$3:$I$302,I$212))</f>
        <v/>
      </c>
      <c r="J360" s="51" t="str">
        <f aca="false">IF($A360="","",SUMIFS(工数明細!$G$3:$G$302,工数明細!$B$3:$B$302,$A360,工数明細!$I$3:$I$302,J$212))</f>
        <v/>
      </c>
      <c r="K360" s="51" t="str">
        <f aca="false">IF($A360="","",SUMIFS(工数明細!$G$3:$G$302,工数明細!$B$3:$B$302,$A360,工数明細!$I$3:$I$302,K$212))</f>
        <v/>
      </c>
      <c r="L360" s="51" t="str">
        <f aca="false">IF($A360="","",SUMIFS(工数明細!$G$3:$G$302,工数明細!$B$3:$B$302,$A360,工数明細!$I$3:$I$302,L$212))</f>
        <v/>
      </c>
      <c r="M360" s="51" t="str">
        <f aca="false">IF($A360="","",SUMIFS(工数明細!$G$3:$G$302,工数明細!$B$3:$B$302,$A360,工数明細!$I$3:$I$302,M$212))</f>
        <v/>
      </c>
      <c r="N360" s="51" t="str">
        <f aca="false">IF($A360="","",SUMIFS(工数明細!$G$3:$G$302,工数明細!$B$3:$B$302,$A360,工数明細!$I$3:$I$302,N$212))</f>
        <v/>
      </c>
      <c r="O360" s="51" t="str">
        <f aca="false">IF($A360="","",SUMIFS(工数明細!$G$3:$G$302,工数明細!$B$3:$B$302,$A360,工数明細!$I$3:$I$302,O$212))</f>
        <v/>
      </c>
      <c r="P360" s="51" t="str">
        <f aca="false">IF($A360="","",SUMIFS(工数明細!$G$3:$G$302,工数明細!$B$3:$B$302,$A360,工数明細!$I$3:$I$302,P$212))</f>
        <v/>
      </c>
      <c r="Q360" s="51" t="str">
        <f aca="false">IF($A360="","",SUMIFS(工数明細!$G$3:$G$302,工数明細!$B$3:$B$302,$A360,工数明細!$I$3:$I$302,Q$212))</f>
        <v/>
      </c>
      <c r="R360" s="51" t="str">
        <f aca="false">IF($A360="","",SUMIFS(工数明細!$G$3:$G$302,工数明細!$B$3:$B$302,$A360,工数明細!$I$3:$I$302,R$212))</f>
        <v/>
      </c>
      <c r="S360" s="51" t="str">
        <f aca="false">IF($A360="","",SUMIFS(工数明細!$G$3:$G$302,工数明細!$B$3:$B$302,$A360,工数明細!$I$3:$I$302,S$212))</f>
        <v/>
      </c>
      <c r="T360" s="51" t="str">
        <f aca="false">IF($A360="","",SUMIFS(工数明細!$G$3:$G$302,工数明細!$B$3:$B$302,$A360,工数明細!$I$3:$I$302,T$212))</f>
        <v/>
      </c>
      <c r="U360" s="51" t="str">
        <f aca="false">IF($A360="","",SUMIFS(工数明細!$G$3:$G$302,工数明細!$B$3:$B$302,$A360,工数明細!$I$3:$I$302,U$212))</f>
        <v/>
      </c>
      <c r="V360" s="51" t="str">
        <f aca="false">IF($A360="","",SUMIFS(工数明細!$G$3:$G$302,工数明細!$B$3:$B$302,$A360,工数明細!$I$3:$I$302,V$212))</f>
        <v/>
      </c>
      <c r="W360" s="51" t="str">
        <f aca="false">IF($A360="","",SUMIFS(工数明細!$G$3:$G$302,工数明細!$B$3:$B$302,$A360,工数明細!$I$3:$I$302,W$212))</f>
        <v/>
      </c>
      <c r="X360" s="51" t="str">
        <f aca="false">IF($A360="","",SUMIFS(工数明細!$G$3:$G$302,工数明細!$B$3:$B$302,$A360,工数明細!$I$3:$I$302,X$212))</f>
        <v/>
      </c>
      <c r="Y360" s="51" t="str">
        <f aca="false">IF($A360="","",SUMIFS(工数明細!$G$3:$G$302,工数明細!$B$3:$B$302,$A360,工数明細!$I$3:$I$302,Y$212))</f>
        <v/>
      </c>
      <c r="Z360" s="51" t="str">
        <f aca="false">IF($A360="","",SUMIFS(工数明細!$G$3:$G$302,工数明細!$B$3:$B$302,$A360,工数明細!$I$3:$I$302,Z$212))</f>
        <v/>
      </c>
      <c r="AA360" s="51" t="str">
        <f aca="false">IF($A360="","",SUMIFS(工数明細!$G$3:$G$302,工数明細!$B$3:$B$302,$A360,工数明細!$I$3:$I$302,AA$212))</f>
        <v/>
      </c>
      <c r="AB360" s="51" t="str">
        <f aca="false">IF($A360="","",SUMIFS(工数明細!$G$3:$G$302,工数明細!$B$3:$B$302,$A360,工数明細!$I$3:$I$302,AB$212))</f>
        <v/>
      </c>
      <c r="AC360" s="51" t="str">
        <f aca="false">IF($A360="","",SUMIFS(工数明細!$G$3:$G$302,工数明細!$B$3:$B$302,$A360,工数明細!$I$3:$I$302,AC$212))</f>
        <v/>
      </c>
      <c r="AD360" s="51" t="str">
        <f aca="false">IF($A360="","",SUMIFS(工数明細!$G$3:$G$302,工数明細!$B$3:$B$302,$A360,工数明細!$I$3:$I$302,AD$212))</f>
        <v/>
      </c>
    </row>
    <row r="361" customFormat="false" ht="15.75" hidden="false" customHeight="true" outlineLevel="0" collapsed="false">
      <c r="A361" s="28" t="str">
        <f aca="false">IF(案件管理!$A$150:$A$150="","",案件管理!$A$150:$A$150)</f>
        <v/>
      </c>
      <c r="B361" s="10" t="str">
        <f aca="false">IF($A361="","",案件管理!$B$150:$B$150)</f>
        <v/>
      </c>
      <c r="C361" s="10" t="str">
        <f aca="false">IF($A361="","",案件管理!$D$150:$D$150)</f>
        <v/>
      </c>
      <c r="D361" s="30" t="str">
        <f aca="false">IF($A361="","",案件管理!$AE$150:$AE$150)</f>
        <v/>
      </c>
      <c r="E361" s="30" t="str">
        <f aca="false">IF($A361="","",SUM($G361:$AD361))</f>
        <v/>
      </c>
      <c r="F361" s="51" t="str">
        <f aca="false">IF($A361="","",N($E155)-N($E361))</f>
        <v/>
      </c>
      <c r="G361" s="51" t="str">
        <f aca="false">IF($A361="","",SUMIFS(工数明細!$G$3:$G$302,工数明細!$B$3:$B$302,$A361,工数明細!$I$3:$I$302,G$212))</f>
        <v/>
      </c>
      <c r="H361" s="51" t="str">
        <f aca="false">IF($A361="","",SUMIFS(工数明細!$G$3:$G$302,工数明細!$B$3:$B$302,$A361,工数明細!$I$3:$I$302,H$212))</f>
        <v/>
      </c>
      <c r="I361" s="51" t="str">
        <f aca="false">IF($A361="","",SUMIFS(工数明細!$G$3:$G$302,工数明細!$B$3:$B$302,$A361,工数明細!$I$3:$I$302,I$212))</f>
        <v/>
      </c>
      <c r="J361" s="51" t="str">
        <f aca="false">IF($A361="","",SUMIFS(工数明細!$G$3:$G$302,工数明細!$B$3:$B$302,$A361,工数明細!$I$3:$I$302,J$212))</f>
        <v/>
      </c>
      <c r="K361" s="51" t="str">
        <f aca="false">IF($A361="","",SUMIFS(工数明細!$G$3:$G$302,工数明細!$B$3:$B$302,$A361,工数明細!$I$3:$I$302,K$212))</f>
        <v/>
      </c>
      <c r="L361" s="51" t="str">
        <f aca="false">IF($A361="","",SUMIFS(工数明細!$G$3:$G$302,工数明細!$B$3:$B$302,$A361,工数明細!$I$3:$I$302,L$212))</f>
        <v/>
      </c>
      <c r="M361" s="51" t="str">
        <f aca="false">IF($A361="","",SUMIFS(工数明細!$G$3:$G$302,工数明細!$B$3:$B$302,$A361,工数明細!$I$3:$I$302,M$212))</f>
        <v/>
      </c>
      <c r="N361" s="51" t="str">
        <f aca="false">IF($A361="","",SUMIFS(工数明細!$G$3:$G$302,工数明細!$B$3:$B$302,$A361,工数明細!$I$3:$I$302,N$212))</f>
        <v/>
      </c>
      <c r="O361" s="51" t="str">
        <f aca="false">IF($A361="","",SUMIFS(工数明細!$G$3:$G$302,工数明細!$B$3:$B$302,$A361,工数明細!$I$3:$I$302,O$212))</f>
        <v/>
      </c>
      <c r="P361" s="51" t="str">
        <f aca="false">IF($A361="","",SUMIFS(工数明細!$G$3:$G$302,工数明細!$B$3:$B$302,$A361,工数明細!$I$3:$I$302,P$212))</f>
        <v/>
      </c>
      <c r="Q361" s="51" t="str">
        <f aca="false">IF($A361="","",SUMIFS(工数明細!$G$3:$G$302,工数明細!$B$3:$B$302,$A361,工数明細!$I$3:$I$302,Q$212))</f>
        <v/>
      </c>
      <c r="R361" s="51" t="str">
        <f aca="false">IF($A361="","",SUMIFS(工数明細!$G$3:$G$302,工数明細!$B$3:$B$302,$A361,工数明細!$I$3:$I$302,R$212))</f>
        <v/>
      </c>
      <c r="S361" s="51" t="str">
        <f aca="false">IF($A361="","",SUMIFS(工数明細!$G$3:$G$302,工数明細!$B$3:$B$302,$A361,工数明細!$I$3:$I$302,S$212))</f>
        <v/>
      </c>
      <c r="T361" s="51" t="str">
        <f aca="false">IF($A361="","",SUMIFS(工数明細!$G$3:$G$302,工数明細!$B$3:$B$302,$A361,工数明細!$I$3:$I$302,T$212))</f>
        <v/>
      </c>
      <c r="U361" s="51" t="str">
        <f aca="false">IF($A361="","",SUMIFS(工数明細!$G$3:$G$302,工数明細!$B$3:$B$302,$A361,工数明細!$I$3:$I$302,U$212))</f>
        <v/>
      </c>
      <c r="V361" s="51" t="str">
        <f aca="false">IF($A361="","",SUMIFS(工数明細!$G$3:$G$302,工数明細!$B$3:$B$302,$A361,工数明細!$I$3:$I$302,V$212))</f>
        <v/>
      </c>
      <c r="W361" s="51" t="str">
        <f aca="false">IF($A361="","",SUMIFS(工数明細!$G$3:$G$302,工数明細!$B$3:$B$302,$A361,工数明細!$I$3:$I$302,W$212))</f>
        <v/>
      </c>
      <c r="X361" s="51" t="str">
        <f aca="false">IF($A361="","",SUMIFS(工数明細!$G$3:$G$302,工数明細!$B$3:$B$302,$A361,工数明細!$I$3:$I$302,X$212))</f>
        <v/>
      </c>
      <c r="Y361" s="51" t="str">
        <f aca="false">IF($A361="","",SUMIFS(工数明細!$G$3:$G$302,工数明細!$B$3:$B$302,$A361,工数明細!$I$3:$I$302,Y$212))</f>
        <v/>
      </c>
      <c r="Z361" s="51" t="str">
        <f aca="false">IF($A361="","",SUMIFS(工数明細!$G$3:$G$302,工数明細!$B$3:$B$302,$A361,工数明細!$I$3:$I$302,Z$212))</f>
        <v/>
      </c>
      <c r="AA361" s="51" t="str">
        <f aca="false">IF($A361="","",SUMIFS(工数明細!$G$3:$G$302,工数明細!$B$3:$B$302,$A361,工数明細!$I$3:$I$302,AA$212))</f>
        <v/>
      </c>
      <c r="AB361" s="51" t="str">
        <f aca="false">IF($A361="","",SUMIFS(工数明細!$G$3:$G$302,工数明細!$B$3:$B$302,$A361,工数明細!$I$3:$I$302,AB$212))</f>
        <v/>
      </c>
      <c r="AC361" s="51" t="str">
        <f aca="false">IF($A361="","",SUMIFS(工数明細!$G$3:$G$302,工数明細!$B$3:$B$302,$A361,工数明細!$I$3:$I$302,AC$212))</f>
        <v/>
      </c>
      <c r="AD361" s="51" t="str">
        <f aca="false">IF($A361="","",SUMIFS(工数明細!$G$3:$G$302,工数明細!$B$3:$B$302,$A361,工数明細!$I$3:$I$302,AD$212))</f>
        <v/>
      </c>
    </row>
    <row r="362" customFormat="false" ht="15.75" hidden="false" customHeight="true" outlineLevel="0" collapsed="false">
      <c r="A362" s="28" t="str">
        <f aca="false">IF(案件管理!$A$151:$A$151="","",案件管理!$A$151:$A$151)</f>
        <v/>
      </c>
      <c r="B362" s="10" t="str">
        <f aca="false">IF($A362="","",案件管理!$B$151:$B$151)</f>
        <v/>
      </c>
      <c r="C362" s="10" t="str">
        <f aca="false">IF($A362="","",案件管理!$D$151:$D$151)</f>
        <v/>
      </c>
      <c r="D362" s="30" t="str">
        <f aca="false">IF($A362="","",案件管理!$AE$151:$AE$151)</f>
        <v/>
      </c>
      <c r="E362" s="30" t="str">
        <f aca="false">IF($A362="","",SUM($G362:$AD362))</f>
        <v/>
      </c>
      <c r="F362" s="51" t="str">
        <f aca="false">IF($A362="","",N($E156)-N($E362))</f>
        <v/>
      </c>
      <c r="G362" s="51" t="str">
        <f aca="false">IF($A362="","",SUMIFS(工数明細!$G$3:$G$302,工数明細!$B$3:$B$302,$A362,工数明細!$I$3:$I$302,G$212))</f>
        <v/>
      </c>
      <c r="H362" s="51" t="str">
        <f aca="false">IF($A362="","",SUMIFS(工数明細!$G$3:$G$302,工数明細!$B$3:$B$302,$A362,工数明細!$I$3:$I$302,H$212))</f>
        <v/>
      </c>
      <c r="I362" s="51" t="str">
        <f aca="false">IF($A362="","",SUMIFS(工数明細!$G$3:$G$302,工数明細!$B$3:$B$302,$A362,工数明細!$I$3:$I$302,I$212))</f>
        <v/>
      </c>
      <c r="J362" s="51" t="str">
        <f aca="false">IF($A362="","",SUMIFS(工数明細!$G$3:$G$302,工数明細!$B$3:$B$302,$A362,工数明細!$I$3:$I$302,J$212))</f>
        <v/>
      </c>
      <c r="K362" s="51" t="str">
        <f aca="false">IF($A362="","",SUMIFS(工数明細!$G$3:$G$302,工数明細!$B$3:$B$302,$A362,工数明細!$I$3:$I$302,K$212))</f>
        <v/>
      </c>
      <c r="L362" s="51" t="str">
        <f aca="false">IF($A362="","",SUMIFS(工数明細!$G$3:$G$302,工数明細!$B$3:$B$302,$A362,工数明細!$I$3:$I$302,L$212))</f>
        <v/>
      </c>
      <c r="M362" s="51" t="str">
        <f aca="false">IF($A362="","",SUMIFS(工数明細!$G$3:$G$302,工数明細!$B$3:$B$302,$A362,工数明細!$I$3:$I$302,M$212))</f>
        <v/>
      </c>
      <c r="N362" s="51" t="str">
        <f aca="false">IF($A362="","",SUMIFS(工数明細!$G$3:$G$302,工数明細!$B$3:$B$302,$A362,工数明細!$I$3:$I$302,N$212))</f>
        <v/>
      </c>
      <c r="O362" s="51" t="str">
        <f aca="false">IF($A362="","",SUMIFS(工数明細!$G$3:$G$302,工数明細!$B$3:$B$302,$A362,工数明細!$I$3:$I$302,O$212))</f>
        <v/>
      </c>
      <c r="P362" s="51" t="str">
        <f aca="false">IF($A362="","",SUMIFS(工数明細!$G$3:$G$302,工数明細!$B$3:$B$302,$A362,工数明細!$I$3:$I$302,P$212))</f>
        <v/>
      </c>
      <c r="Q362" s="51" t="str">
        <f aca="false">IF($A362="","",SUMIFS(工数明細!$G$3:$G$302,工数明細!$B$3:$B$302,$A362,工数明細!$I$3:$I$302,Q$212))</f>
        <v/>
      </c>
      <c r="R362" s="51" t="str">
        <f aca="false">IF($A362="","",SUMIFS(工数明細!$G$3:$G$302,工数明細!$B$3:$B$302,$A362,工数明細!$I$3:$I$302,R$212))</f>
        <v/>
      </c>
      <c r="S362" s="51" t="str">
        <f aca="false">IF($A362="","",SUMIFS(工数明細!$G$3:$G$302,工数明細!$B$3:$B$302,$A362,工数明細!$I$3:$I$302,S$212))</f>
        <v/>
      </c>
      <c r="T362" s="51" t="str">
        <f aca="false">IF($A362="","",SUMIFS(工数明細!$G$3:$G$302,工数明細!$B$3:$B$302,$A362,工数明細!$I$3:$I$302,T$212))</f>
        <v/>
      </c>
      <c r="U362" s="51" t="str">
        <f aca="false">IF($A362="","",SUMIFS(工数明細!$G$3:$G$302,工数明細!$B$3:$B$302,$A362,工数明細!$I$3:$I$302,U$212))</f>
        <v/>
      </c>
      <c r="V362" s="51" t="str">
        <f aca="false">IF($A362="","",SUMIFS(工数明細!$G$3:$G$302,工数明細!$B$3:$B$302,$A362,工数明細!$I$3:$I$302,V$212))</f>
        <v/>
      </c>
      <c r="W362" s="51" t="str">
        <f aca="false">IF($A362="","",SUMIFS(工数明細!$G$3:$G$302,工数明細!$B$3:$B$302,$A362,工数明細!$I$3:$I$302,W$212))</f>
        <v/>
      </c>
      <c r="X362" s="51" t="str">
        <f aca="false">IF($A362="","",SUMIFS(工数明細!$G$3:$G$302,工数明細!$B$3:$B$302,$A362,工数明細!$I$3:$I$302,X$212))</f>
        <v/>
      </c>
      <c r="Y362" s="51" t="str">
        <f aca="false">IF($A362="","",SUMIFS(工数明細!$G$3:$G$302,工数明細!$B$3:$B$302,$A362,工数明細!$I$3:$I$302,Y$212))</f>
        <v/>
      </c>
      <c r="Z362" s="51" t="str">
        <f aca="false">IF($A362="","",SUMIFS(工数明細!$G$3:$G$302,工数明細!$B$3:$B$302,$A362,工数明細!$I$3:$I$302,Z$212))</f>
        <v/>
      </c>
      <c r="AA362" s="51" t="str">
        <f aca="false">IF($A362="","",SUMIFS(工数明細!$G$3:$G$302,工数明細!$B$3:$B$302,$A362,工数明細!$I$3:$I$302,AA$212))</f>
        <v/>
      </c>
      <c r="AB362" s="51" t="str">
        <f aca="false">IF($A362="","",SUMIFS(工数明細!$G$3:$G$302,工数明細!$B$3:$B$302,$A362,工数明細!$I$3:$I$302,AB$212))</f>
        <v/>
      </c>
      <c r="AC362" s="51" t="str">
        <f aca="false">IF($A362="","",SUMIFS(工数明細!$G$3:$G$302,工数明細!$B$3:$B$302,$A362,工数明細!$I$3:$I$302,AC$212))</f>
        <v/>
      </c>
      <c r="AD362" s="51" t="str">
        <f aca="false">IF($A362="","",SUMIFS(工数明細!$G$3:$G$302,工数明細!$B$3:$B$302,$A362,工数明細!$I$3:$I$302,AD$212))</f>
        <v/>
      </c>
    </row>
    <row r="363" customFormat="false" ht="15.75" hidden="false" customHeight="true" outlineLevel="0" collapsed="false">
      <c r="A363" s="28" t="str">
        <f aca="false">IF(案件管理!$A$152:$A$152="","",案件管理!$A$152:$A$152)</f>
        <v/>
      </c>
      <c r="B363" s="10" t="str">
        <f aca="false">IF($A363="","",案件管理!$B$152:$B$152)</f>
        <v/>
      </c>
      <c r="C363" s="10" t="str">
        <f aca="false">IF($A363="","",案件管理!$D$152:$D$152)</f>
        <v/>
      </c>
      <c r="D363" s="30" t="str">
        <f aca="false">IF($A363="","",案件管理!$AE$152:$AE$152)</f>
        <v/>
      </c>
      <c r="E363" s="30" t="str">
        <f aca="false">IF($A363="","",SUM($G363:$AD363))</f>
        <v/>
      </c>
      <c r="F363" s="51" t="str">
        <f aca="false">IF($A363="","",N($E157)-N($E363))</f>
        <v/>
      </c>
      <c r="G363" s="51" t="str">
        <f aca="false">IF($A363="","",SUMIFS(工数明細!$G$3:$G$302,工数明細!$B$3:$B$302,$A363,工数明細!$I$3:$I$302,G$212))</f>
        <v/>
      </c>
      <c r="H363" s="51" t="str">
        <f aca="false">IF($A363="","",SUMIFS(工数明細!$G$3:$G$302,工数明細!$B$3:$B$302,$A363,工数明細!$I$3:$I$302,H$212))</f>
        <v/>
      </c>
      <c r="I363" s="51" t="str">
        <f aca="false">IF($A363="","",SUMIFS(工数明細!$G$3:$G$302,工数明細!$B$3:$B$302,$A363,工数明細!$I$3:$I$302,I$212))</f>
        <v/>
      </c>
      <c r="J363" s="51" t="str">
        <f aca="false">IF($A363="","",SUMIFS(工数明細!$G$3:$G$302,工数明細!$B$3:$B$302,$A363,工数明細!$I$3:$I$302,J$212))</f>
        <v/>
      </c>
      <c r="K363" s="51" t="str">
        <f aca="false">IF($A363="","",SUMIFS(工数明細!$G$3:$G$302,工数明細!$B$3:$B$302,$A363,工数明細!$I$3:$I$302,K$212))</f>
        <v/>
      </c>
      <c r="L363" s="51" t="str">
        <f aca="false">IF($A363="","",SUMIFS(工数明細!$G$3:$G$302,工数明細!$B$3:$B$302,$A363,工数明細!$I$3:$I$302,L$212))</f>
        <v/>
      </c>
      <c r="M363" s="51" t="str">
        <f aca="false">IF($A363="","",SUMIFS(工数明細!$G$3:$G$302,工数明細!$B$3:$B$302,$A363,工数明細!$I$3:$I$302,M$212))</f>
        <v/>
      </c>
      <c r="N363" s="51" t="str">
        <f aca="false">IF($A363="","",SUMIFS(工数明細!$G$3:$G$302,工数明細!$B$3:$B$302,$A363,工数明細!$I$3:$I$302,N$212))</f>
        <v/>
      </c>
      <c r="O363" s="51" t="str">
        <f aca="false">IF($A363="","",SUMIFS(工数明細!$G$3:$G$302,工数明細!$B$3:$B$302,$A363,工数明細!$I$3:$I$302,O$212))</f>
        <v/>
      </c>
      <c r="P363" s="51" t="str">
        <f aca="false">IF($A363="","",SUMIFS(工数明細!$G$3:$G$302,工数明細!$B$3:$B$302,$A363,工数明細!$I$3:$I$302,P$212))</f>
        <v/>
      </c>
      <c r="Q363" s="51" t="str">
        <f aca="false">IF($A363="","",SUMIFS(工数明細!$G$3:$G$302,工数明細!$B$3:$B$302,$A363,工数明細!$I$3:$I$302,Q$212))</f>
        <v/>
      </c>
      <c r="R363" s="51" t="str">
        <f aca="false">IF($A363="","",SUMIFS(工数明細!$G$3:$G$302,工数明細!$B$3:$B$302,$A363,工数明細!$I$3:$I$302,R$212))</f>
        <v/>
      </c>
      <c r="S363" s="51" t="str">
        <f aca="false">IF($A363="","",SUMIFS(工数明細!$G$3:$G$302,工数明細!$B$3:$B$302,$A363,工数明細!$I$3:$I$302,S$212))</f>
        <v/>
      </c>
      <c r="T363" s="51" t="str">
        <f aca="false">IF($A363="","",SUMIFS(工数明細!$G$3:$G$302,工数明細!$B$3:$B$302,$A363,工数明細!$I$3:$I$302,T$212))</f>
        <v/>
      </c>
      <c r="U363" s="51" t="str">
        <f aca="false">IF($A363="","",SUMIFS(工数明細!$G$3:$G$302,工数明細!$B$3:$B$302,$A363,工数明細!$I$3:$I$302,U$212))</f>
        <v/>
      </c>
      <c r="V363" s="51" t="str">
        <f aca="false">IF($A363="","",SUMIFS(工数明細!$G$3:$G$302,工数明細!$B$3:$B$302,$A363,工数明細!$I$3:$I$302,V$212))</f>
        <v/>
      </c>
      <c r="W363" s="51" t="str">
        <f aca="false">IF($A363="","",SUMIFS(工数明細!$G$3:$G$302,工数明細!$B$3:$B$302,$A363,工数明細!$I$3:$I$302,W$212))</f>
        <v/>
      </c>
      <c r="X363" s="51" t="str">
        <f aca="false">IF($A363="","",SUMIFS(工数明細!$G$3:$G$302,工数明細!$B$3:$B$302,$A363,工数明細!$I$3:$I$302,X$212))</f>
        <v/>
      </c>
      <c r="Y363" s="51" t="str">
        <f aca="false">IF($A363="","",SUMIFS(工数明細!$G$3:$G$302,工数明細!$B$3:$B$302,$A363,工数明細!$I$3:$I$302,Y$212))</f>
        <v/>
      </c>
      <c r="Z363" s="51" t="str">
        <f aca="false">IF($A363="","",SUMIFS(工数明細!$G$3:$G$302,工数明細!$B$3:$B$302,$A363,工数明細!$I$3:$I$302,Z$212))</f>
        <v/>
      </c>
      <c r="AA363" s="51" t="str">
        <f aca="false">IF($A363="","",SUMIFS(工数明細!$G$3:$G$302,工数明細!$B$3:$B$302,$A363,工数明細!$I$3:$I$302,AA$212))</f>
        <v/>
      </c>
      <c r="AB363" s="51" t="str">
        <f aca="false">IF($A363="","",SUMIFS(工数明細!$G$3:$G$302,工数明細!$B$3:$B$302,$A363,工数明細!$I$3:$I$302,AB$212))</f>
        <v/>
      </c>
      <c r="AC363" s="51" t="str">
        <f aca="false">IF($A363="","",SUMIFS(工数明細!$G$3:$G$302,工数明細!$B$3:$B$302,$A363,工数明細!$I$3:$I$302,AC$212))</f>
        <v/>
      </c>
      <c r="AD363" s="51" t="str">
        <f aca="false">IF($A363="","",SUMIFS(工数明細!$G$3:$G$302,工数明細!$B$3:$B$302,$A363,工数明細!$I$3:$I$302,AD$212))</f>
        <v/>
      </c>
    </row>
    <row r="364" customFormat="false" ht="15.75" hidden="false" customHeight="true" outlineLevel="0" collapsed="false">
      <c r="A364" s="28" t="str">
        <f aca="false">IF(案件管理!$A$153:$A$153="","",案件管理!$A$153:$A$153)</f>
        <v/>
      </c>
      <c r="B364" s="10" t="str">
        <f aca="false">IF($A364="","",案件管理!$B$153:$B$153)</f>
        <v/>
      </c>
      <c r="C364" s="10" t="str">
        <f aca="false">IF($A364="","",案件管理!$D$153:$D$153)</f>
        <v/>
      </c>
      <c r="D364" s="30" t="str">
        <f aca="false">IF($A364="","",案件管理!$AE$153:$AE$153)</f>
        <v/>
      </c>
      <c r="E364" s="30" t="str">
        <f aca="false">IF($A364="","",SUM($G364:$AD364))</f>
        <v/>
      </c>
      <c r="F364" s="51" t="str">
        <f aca="false">IF($A364="","",N($E158)-N($E364))</f>
        <v/>
      </c>
      <c r="G364" s="51" t="str">
        <f aca="false">IF($A364="","",SUMIFS(工数明細!$G$3:$G$302,工数明細!$B$3:$B$302,$A364,工数明細!$I$3:$I$302,G$212))</f>
        <v/>
      </c>
      <c r="H364" s="51" t="str">
        <f aca="false">IF($A364="","",SUMIFS(工数明細!$G$3:$G$302,工数明細!$B$3:$B$302,$A364,工数明細!$I$3:$I$302,H$212))</f>
        <v/>
      </c>
      <c r="I364" s="51" t="str">
        <f aca="false">IF($A364="","",SUMIFS(工数明細!$G$3:$G$302,工数明細!$B$3:$B$302,$A364,工数明細!$I$3:$I$302,I$212))</f>
        <v/>
      </c>
      <c r="J364" s="51" t="str">
        <f aca="false">IF($A364="","",SUMIFS(工数明細!$G$3:$G$302,工数明細!$B$3:$B$302,$A364,工数明細!$I$3:$I$302,J$212))</f>
        <v/>
      </c>
      <c r="K364" s="51" t="str">
        <f aca="false">IF($A364="","",SUMIFS(工数明細!$G$3:$G$302,工数明細!$B$3:$B$302,$A364,工数明細!$I$3:$I$302,K$212))</f>
        <v/>
      </c>
      <c r="L364" s="51" t="str">
        <f aca="false">IF($A364="","",SUMIFS(工数明細!$G$3:$G$302,工数明細!$B$3:$B$302,$A364,工数明細!$I$3:$I$302,L$212))</f>
        <v/>
      </c>
      <c r="M364" s="51" t="str">
        <f aca="false">IF($A364="","",SUMIFS(工数明細!$G$3:$G$302,工数明細!$B$3:$B$302,$A364,工数明細!$I$3:$I$302,M$212))</f>
        <v/>
      </c>
      <c r="N364" s="51" t="str">
        <f aca="false">IF($A364="","",SUMIFS(工数明細!$G$3:$G$302,工数明細!$B$3:$B$302,$A364,工数明細!$I$3:$I$302,N$212))</f>
        <v/>
      </c>
      <c r="O364" s="51" t="str">
        <f aca="false">IF($A364="","",SUMIFS(工数明細!$G$3:$G$302,工数明細!$B$3:$B$302,$A364,工数明細!$I$3:$I$302,O$212))</f>
        <v/>
      </c>
      <c r="P364" s="51" t="str">
        <f aca="false">IF($A364="","",SUMIFS(工数明細!$G$3:$G$302,工数明細!$B$3:$B$302,$A364,工数明細!$I$3:$I$302,P$212))</f>
        <v/>
      </c>
      <c r="Q364" s="51" t="str">
        <f aca="false">IF($A364="","",SUMIFS(工数明細!$G$3:$G$302,工数明細!$B$3:$B$302,$A364,工数明細!$I$3:$I$302,Q$212))</f>
        <v/>
      </c>
      <c r="R364" s="51" t="str">
        <f aca="false">IF($A364="","",SUMIFS(工数明細!$G$3:$G$302,工数明細!$B$3:$B$302,$A364,工数明細!$I$3:$I$302,R$212))</f>
        <v/>
      </c>
      <c r="S364" s="51" t="str">
        <f aca="false">IF($A364="","",SUMIFS(工数明細!$G$3:$G$302,工数明細!$B$3:$B$302,$A364,工数明細!$I$3:$I$302,S$212))</f>
        <v/>
      </c>
      <c r="T364" s="51" t="str">
        <f aca="false">IF($A364="","",SUMIFS(工数明細!$G$3:$G$302,工数明細!$B$3:$B$302,$A364,工数明細!$I$3:$I$302,T$212))</f>
        <v/>
      </c>
      <c r="U364" s="51" t="str">
        <f aca="false">IF($A364="","",SUMIFS(工数明細!$G$3:$G$302,工数明細!$B$3:$B$302,$A364,工数明細!$I$3:$I$302,U$212))</f>
        <v/>
      </c>
      <c r="V364" s="51" t="str">
        <f aca="false">IF($A364="","",SUMIFS(工数明細!$G$3:$G$302,工数明細!$B$3:$B$302,$A364,工数明細!$I$3:$I$302,V$212))</f>
        <v/>
      </c>
      <c r="W364" s="51" t="str">
        <f aca="false">IF($A364="","",SUMIFS(工数明細!$G$3:$G$302,工数明細!$B$3:$B$302,$A364,工数明細!$I$3:$I$302,W$212))</f>
        <v/>
      </c>
      <c r="X364" s="51" t="str">
        <f aca="false">IF($A364="","",SUMIFS(工数明細!$G$3:$G$302,工数明細!$B$3:$B$302,$A364,工数明細!$I$3:$I$302,X$212))</f>
        <v/>
      </c>
      <c r="Y364" s="51" t="str">
        <f aca="false">IF($A364="","",SUMIFS(工数明細!$G$3:$G$302,工数明細!$B$3:$B$302,$A364,工数明細!$I$3:$I$302,Y$212))</f>
        <v/>
      </c>
      <c r="Z364" s="51" t="str">
        <f aca="false">IF($A364="","",SUMIFS(工数明細!$G$3:$G$302,工数明細!$B$3:$B$302,$A364,工数明細!$I$3:$I$302,Z$212))</f>
        <v/>
      </c>
      <c r="AA364" s="51" t="str">
        <f aca="false">IF($A364="","",SUMIFS(工数明細!$G$3:$G$302,工数明細!$B$3:$B$302,$A364,工数明細!$I$3:$I$302,AA$212))</f>
        <v/>
      </c>
      <c r="AB364" s="51" t="str">
        <f aca="false">IF($A364="","",SUMIFS(工数明細!$G$3:$G$302,工数明細!$B$3:$B$302,$A364,工数明細!$I$3:$I$302,AB$212))</f>
        <v/>
      </c>
      <c r="AC364" s="51" t="str">
        <f aca="false">IF($A364="","",SUMIFS(工数明細!$G$3:$G$302,工数明細!$B$3:$B$302,$A364,工数明細!$I$3:$I$302,AC$212))</f>
        <v/>
      </c>
      <c r="AD364" s="51" t="str">
        <f aca="false">IF($A364="","",SUMIFS(工数明細!$G$3:$G$302,工数明細!$B$3:$B$302,$A364,工数明細!$I$3:$I$302,AD$212))</f>
        <v/>
      </c>
    </row>
    <row r="365" customFormat="false" ht="15.75" hidden="false" customHeight="true" outlineLevel="0" collapsed="false">
      <c r="A365" s="28" t="str">
        <f aca="false">IF(案件管理!$A$154:$A$154="","",案件管理!$A$154:$A$154)</f>
        <v/>
      </c>
      <c r="B365" s="10" t="str">
        <f aca="false">IF($A365="","",案件管理!$B$154:$B$154)</f>
        <v/>
      </c>
      <c r="C365" s="10" t="str">
        <f aca="false">IF($A365="","",案件管理!$D$154:$D$154)</f>
        <v/>
      </c>
      <c r="D365" s="30" t="str">
        <f aca="false">IF($A365="","",案件管理!$AE$154:$AE$154)</f>
        <v/>
      </c>
      <c r="E365" s="30" t="str">
        <f aca="false">IF($A365="","",SUM($G365:$AD365))</f>
        <v/>
      </c>
      <c r="F365" s="51" t="str">
        <f aca="false">IF($A365="","",N($E159)-N($E365))</f>
        <v/>
      </c>
      <c r="G365" s="51" t="str">
        <f aca="false">IF($A365="","",SUMIFS(工数明細!$G$3:$G$302,工数明細!$B$3:$B$302,$A365,工数明細!$I$3:$I$302,G$212))</f>
        <v/>
      </c>
      <c r="H365" s="51" t="str">
        <f aca="false">IF($A365="","",SUMIFS(工数明細!$G$3:$G$302,工数明細!$B$3:$B$302,$A365,工数明細!$I$3:$I$302,H$212))</f>
        <v/>
      </c>
      <c r="I365" s="51" t="str">
        <f aca="false">IF($A365="","",SUMIFS(工数明細!$G$3:$G$302,工数明細!$B$3:$B$302,$A365,工数明細!$I$3:$I$302,I$212))</f>
        <v/>
      </c>
      <c r="J365" s="51" t="str">
        <f aca="false">IF($A365="","",SUMIFS(工数明細!$G$3:$G$302,工数明細!$B$3:$B$302,$A365,工数明細!$I$3:$I$302,J$212))</f>
        <v/>
      </c>
      <c r="K365" s="51" t="str">
        <f aca="false">IF($A365="","",SUMIFS(工数明細!$G$3:$G$302,工数明細!$B$3:$B$302,$A365,工数明細!$I$3:$I$302,K$212))</f>
        <v/>
      </c>
      <c r="L365" s="51" t="str">
        <f aca="false">IF($A365="","",SUMIFS(工数明細!$G$3:$G$302,工数明細!$B$3:$B$302,$A365,工数明細!$I$3:$I$302,L$212))</f>
        <v/>
      </c>
      <c r="M365" s="51" t="str">
        <f aca="false">IF($A365="","",SUMIFS(工数明細!$G$3:$G$302,工数明細!$B$3:$B$302,$A365,工数明細!$I$3:$I$302,M$212))</f>
        <v/>
      </c>
      <c r="N365" s="51" t="str">
        <f aca="false">IF($A365="","",SUMIFS(工数明細!$G$3:$G$302,工数明細!$B$3:$B$302,$A365,工数明細!$I$3:$I$302,N$212))</f>
        <v/>
      </c>
      <c r="O365" s="51" t="str">
        <f aca="false">IF($A365="","",SUMIFS(工数明細!$G$3:$G$302,工数明細!$B$3:$B$302,$A365,工数明細!$I$3:$I$302,O$212))</f>
        <v/>
      </c>
      <c r="P365" s="51" t="str">
        <f aca="false">IF($A365="","",SUMIFS(工数明細!$G$3:$G$302,工数明細!$B$3:$B$302,$A365,工数明細!$I$3:$I$302,P$212))</f>
        <v/>
      </c>
      <c r="Q365" s="51" t="str">
        <f aca="false">IF($A365="","",SUMIFS(工数明細!$G$3:$G$302,工数明細!$B$3:$B$302,$A365,工数明細!$I$3:$I$302,Q$212))</f>
        <v/>
      </c>
      <c r="R365" s="51" t="str">
        <f aca="false">IF($A365="","",SUMIFS(工数明細!$G$3:$G$302,工数明細!$B$3:$B$302,$A365,工数明細!$I$3:$I$302,R$212))</f>
        <v/>
      </c>
      <c r="S365" s="51" t="str">
        <f aca="false">IF($A365="","",SUMIFS(工数明細!$G$3:$G$302,工数明細!$B$3:$B$302,$A365,工数明細!$I$3:$I$302,S$212))</f>
        <v/>
      </c>
      <c r="T365" s="51" t="str">
        <f aca="false">IF($A365="","",SUMIFS(工数明細!$G$3:$G$302,工数明細!$B$3:$B$302,$A365,工数明細!$I$3:$I$302,T$212))</f>
        <v/>
      </c>
      <c r="U365" s="51" t="str">
        <f aca="false">IF($A365="","",SUMIFS(工数明細!$G$3:$G$302,工数明細!$B$3:$B$302,$A365,工数明細!$I$3:$I$302,U$212))</f>
        <v/>
      </c>
      <c r="V365" s="51" t="str">
        <f aca="false">IF($A365="","",SUMIFS(工数明細!$G$3:$G$302,工数明細!$B$3:$B$302,$A365,工数明細!$I$3:$I$302,V$212))</f>
        <v/>
      </c>
      <c r="W365" s="51" t="str">
        <f aca="false">IF($A365="","",SUMIFS(工数明細!$G$3:$G$302,工数明細!$B$3:$B$302,$A365,工数明細!$I$3:$I$302,W$212))</f>
        <v/>
      </c>
      <c r="X365" s="51" t="str">
        <f aca="false">IF($A365="","",SUMIFS(工数明細!$G$3:$G$302,工数明細!$B$3:$B$302,$A365,工数明細!$I$3:$I$302,X$212))</f>
        <v/>
      </c>
      <c r="Y365" s="51" t="str">
        <f aca="false">IF($A365="","",SUMIFS(工数明細!$G$3:$G$302,工数明細!$B$3:$B$302,$A365,工数明細!$I$3:$I$302,Y$212))</f>
        <v/>
      </c>
      <c r="Z365" s="51" t="str">
        <f aca="false">IF($A365="","",SUMIFS(工数明細!$G$3:$G$302,工数明細!$B$3:$B$302,$A365,工数明細!$I$3:$I$302,Z$212))</f>
        <v/>
      </c>
      <c r="AA365" s="51" t="str">
        <f aca="false">IF($A365="","",SUMIFS(工数明細!$G$3:$G$302,工数明細!$B$3:$B$302,$A365,工数明細!$I$3:$I$302,AA$212))</f>
        <v/>
      </c>
      <c r="AB365" s="51" t="str">
        <f aca="false">IF($A365="","",SUMIFS(工数明細!$G$3:$G$302,工数明細!$B$3:$B$302,$A365,工数明細!$I$3:$I$302,AB$212))</f>
        <v/>
      </c>
      <c r="AC365" s="51" t="str">
        <f aca="false">IF($A365="","",SUMIFS(工数明細!$G$3:$G$302,工数明細!$B$3:$B$302,$A365,工数明細!$I$3:$I$302,AC$212))</f>
        <v/>
      </c>
      <c r="AD365" s="51" t="str">
        <f aca="false">IF($A365="","",SUMIFS(工数明細!$G$3:$G$302,工数明細!$B$3:$B$302,$A365,工数明細!$I$3:$I$302,AD$212))</f>
        <v/>
      </c>
    </row>
    <row r="366" customFormat="false" ht="15.75" hidden="false" customHeight="true" outlineLevel="0" collapsed="false">
      <c r="A366" s="28" t="str">
        <f aca="false">IF(案件管理!$A$155:$A$155="","",案件管理!$A$155:$A$155)</f>
        <v/>
      </c>
      <c r="B366" s="10" t="str">
        <f aca="false">IF($A366="","",案件管理!$B$155:$B$155)</f>
        <v/>
      </c>
      <c r="C366" s="10" t="str">
        <f aca="false">IF($A366="","",案件管理!$D$155:$D$155)</f>
        <v/>
      </c>
      <c r="D366" s="30" t="str">
        <f aca="false">IF($A366="","",案件管理!$AE$155:$AE$155)</f>
        <v/>
      </c>
      <c r="E366" s="30" t="str">
        <f aca="false">IF($A366="","",SUM($G366:$AD366))</f>
        <v/>
      </c>
      <c r="F366" s="51" t="str">
        <f aca="false">IF($A366="","",N($E160)-N($E366))</f>
        <v/>
      </c>
      <c r="G366" s="51" t="str">
        <f aca="false">IF($A366="","",SUMIFS(工数明細!$G$3:$G$302,工数明細!$B$3:$B$302,$A366,工数明細!$I$3:$I$302,G$212))</f>
        <v/>
      </c>
      <c r="H366" s="51" t="str">
        <f aca="false">IF($A366="","",SUMIFS(工数明細!$G$3:$G$302,工数明細!$B$3:$B$302,$A366,工数明細!$I$3:$I$302,H$212))</f>
        <v/>
      </c>
      <c r="I366" s="51" t="str">
        <f aca="false">IF($A366="","",SUMIFS(工数明細!$G$3:$G$302,工数明細!$B$3:$B$302,$A366,工数明細!$I$3:$I$302,I$212))</f>
        <v/>
      </c>
      <c r="J366" s="51" t="str">
        <f aca="false">IF($A366="","",SUMIFS(工数明細!$G$3:$G$302,工数明細!$B$3:$B$302,$A366,工数明細!$I$3:$I$302,J$212))</f>
        <v/>
      </c>
      <c r="K366" s="51" t="str">
        <f aca="false">IF($A366="","",SUMIFS(工数明細!$G$3:$G$302,工数明細!$B$3:$B$302,$A366,工数明細!$I$3:$I$302,K$212))</f>
        <v/>
      </c>
      <c r="L366" s="51" t="str">
        <f aca="false">IF($A366="","",SUMIFS(工数明細!$G$3:$G$302,工数明細!$B$3:$B$302,$A366,工数明細!$I$3:$I$302,L$212))</f>
        <v/>
      </c>
      <c r="M366" s="51" t="str">
        <f aca="false">IF($A366="","",SUMIFS(工数明細!$G$3:$G$302,工数明細!$B$3:$B$302,$A366,工数明細!$I$3:$I$302,M$212))</f>
        <v/>
      </c>
      <c r="N366" s="51" t="str">
        <f aca="false">IF($A366="","",SUMIFS(工数明細!$G$3:$G$302,工数明細!$B$3:$B$302,$A366,工数明細!$I$3:$I$302,N$212))</f>
        <v/>
      </c>
      <c r="O366" s="51" t="str">
        <f aca="false">IF($A366="","",SUMIFS(工数明細!$G$3:$G$302,工数明細!$B$3:$B$302,$A366,工数明細!$I$3:$I$302,O$212))</f>
        <v/>
      </c>
      <c r="P366" s="51" t="str">
        <f aca="false">IF($A366="","",SUMIFS(工数明細!$G$3:$G$302,工数明細!$B$3:$B$302,$A366,工数明細!$I$3:$I$302,P$212))</f>
        <v/>
      </c>
      <c r="Q366" s="51" t="str">
        <f aca="false">IF($A366="","",SUMIFS(工数明細!$G$3:$G$302,工数明細!$B$3:$B$302,$A366,工数明細!$I$3:$I$302,Q$212))</f>
        <v/>
      </c>
      <c r="R366" s="51" t="str">
        <f aca="false">IF($A366="","",SUMIFS(工数明細!$G$3:$G$302,工数明細!$B$3:$B$302,$A366,工数明細!$I$3:$I$302,R$212))</f>
        <v/>
      </c>
      <c r="S366" s="51" t="str">
        <f aca="false">IF($A366="","",SUMIFS(工数明細!$G$3:$G$302,工数明細!$B$3:$B$302,$A366,工数明細!$I$3:$I$302,S$212))</f>
        <v/>
      </c>
      <c r="T366" s="51" t="str">
        <f aca="false">IF($A366="","",SUMIFS(工数明細!$G$3:$G$302,工数明細!$B$3:$B$302,$A366,工数明細!$I$3:$I$302,T$212))</f>
        <v/>
      </c>
      <c r="U366" s="51" t="str">
        <f aca="false">IF($A366="","",SUMIFS(工数明細!$G$3:$G$302,工数明細!$B$3:$B$302,$A366,工数明細!$I$3:$I$302,U$212))</f>
        <v/>
      </c>
      <c r="V366" s="51" t="str">
        <f aca="false">IF($A366="","",SUMIFS(工数明細!$G$3:$G$302,工数明細!$B$3:$B$302,$A366,工数明細!$I$3:$I$302,V$212))</f>
        <v/>
      </c>
      <c r="W366" s="51" t="str">
        <f aca="false">IF($A366="","",SUMIFS(工数明細!$G$3:$G$302,工数明細!$B$3:$B$302,$A366,工数明細!$I$3:$I$302,W$212))</f>
        <v/>
      </c>
      <c r="X366" s="51" t="str">
        <f aca="false">IF($A366="","",SUMIFS(工数明細!$G$3:$G$302,工数明細!$B$3:$B$302,$A366,工数明細!$I$3:$I$302,X$212))</f>
        <v/>
      </c>
      <c r="Y366" s="51" t="str">
        <f aca="false">IF($A366="","",SUMIFS(工数明細!$G$3:$G$302,工数明細!$B$3:$B$302,$A366,工数明細!$I$3:$I$302,Y$212))</f>
        <v/>
      </c>
      <c r="Z366" s="51" t="str">
        <f aca="false">IF($A366="","",SUMIFS(工数明細!$G$3:$G$302,工数明細!$B$3:$B$302,$A366,工数明細!$I$3:$I$302,Z$212))</f>
        <v/>
      </c>
      <c r="AA366" s="51" t="str">
        <f aca="false">IF($A366="","",SUMIFS(工数明細!$G$3:$G$302,工数明細!$B$3:$B$302,$A366,工数明細!$I$3:$I$302,AA$212))</f>
        <v/>
      </c>
      <c r="AB366" s="51" t="str">
        <f aca="false">IF($A366="","",SUMIFS(工数明細!$G$3:$G$302,工数明細!$B$3:$B$302,$A366,工数明細!$I$3:$I$302,AB$212))</f>
        <v/>
      </c>
      <c r="AC366" s="51" t="str">
        <f aca="false">IF($A366="","",SUMIFS(工数明細!$G$3:$G$302,工数明細!$B$3:$B$302,$A366,工数明細!$I$3:$I$302,AC$212))</f>
        <v/>
      </c>
      <c r="AD366" s="51" t="str">
        <f aca="false">IF($A366="","",SUMIFS(工数明細!$G$3:$G$302,工数明細!$B$3:$B$302,$A366,工数明細!$I$3:$I$302,AD$212))</f>
        <v/>
      </c>
    </row>
    <row r="367" customFormat="false" ht="15.75" hidden="false" customHeight="true" outlineLevel="0" collapsed="false">
      <c r="A367" s="28" t="str">
        <f aca="false">IF(案件管理!$A$156:$A$156="","",案件管理!$A$156:$A$156)</f>
        <v/>
      </c>
      <c r="B367" s="10" t="str">
        <f aca="false">IF($A367="","",案件管理!$B$156:$B$156)</f>
        <v/>
      </c>
      <c r="C367" s="10" t="str">
        <f aca="false">IF($A367="","",案件管理!$D$156:$D$156)</f>
        <v/>
      </c>
      <c r="D367" s="30" t="str">
        <f aca="false">IF($A367="","",案件管理!$AE$156:$AE$156)</f>
        <v/>
      </c>
      <c r="E367" s="30" t="str">
        <f aca="false">IF($A367="","",SUM($G367:$AD367))</f>
        <v/>
      </c>
      <c r="F367" s="51" t="str">
        <f aca="false">IF($A367="","",N($E161)-N($E367))</f>
        <v/>
      </c>
      <c r="G367" s="51" t="str">
        <f aca="false">IF($A367="","",SUMIFS(工数明細!$G$3:$G$302,工数明細!$B$3:$B$302,$A367,工数明細!$I$3:$I$302,G$212))</f>
        <v/>
      </c>
      <c r="H367" s="51" t="str">
        <f aca="false">IF($A367="","",SUMIFS(工数明細!$G$3:$G$302,工数明細!$B$3:$B$302,$A367,工数明細!$I$3:$I$302,H$212))</f>
        <v/>
      </c>
      <c r="I367" s="51" t="str">
        <f aca="false">IF($A367="","",SUMIFS(工数明細!$G$3:$G$302,工数明細!$B$3:$B$302,$A367,工数明細!$I$3:$I$302,I$212))</f>
        <v/>
      </c>
      <c r="J367" s="51" t="str">
        <f aca="false">IF($A367="","",SUMIFS(工数明細!$G$3:$G$302,工数明細!$B$3:$B$302,$A367,工数明細!$I$3:$I$302,J$212))</f>
        <v/>
      </c>
      <c r="K367" s="51" t="str">
        <f aca="false">IF($A367="","",SUMIFS(工数明細!$G$3:$G$302,工数明細!$B$3:$B$302,$A367,工数明細!$I$3:$I$302,K$212))</f>
        <v/>
      </c>
      <c r="L367" s="51" t="str">
        <f aca="false">IF($A367="","",SUMIFS(工数明細!$G$3:$G$302,工数明細!$B$3:$B$302,$A367,工数明細!$I$3:$I$302,L$212))</f>
        <v/>
      </c>
      <c r="M367" s="51" t="str">
        <f aca="false">IF($A367="","",SUMIFS(工数明細!$G$3:$G$302,工数明細!$B$3:$B$302,$A367,工数明細!$I$3:$I$302,M$212))</f>
        <v/>
      </c>
      <c r="N367" s="51" t="str">
        <f aca="false">IF($A367="","",SUMIFS(工数明細!$G$3:$G$302,工数明細!$B$3:$B$302,$A367,工数明細!$I$3:$I$302,N$212))</f>
        <v/>
      </c>
      <c r="O367" s="51" t="str">
        <f aca="false">IF($A367="","",SUMIFS(工数明細!$G$3:$G$302,工数明細!$B$3:$B$302,$A367,工数明細!$I$3:$I$302,O$212))</f>
        <v/>
      </c>
      <c r="P367" s="51" t="str">
        <f aca="false">IF($A367="","",SUMIFS(工数明細!$G$3:$G$302,工数明細!$B$3:$B$302,$A367,工数明細!$I$3:$I$302,P$212))</f>
        <v/>
      </c>
      <c r="Q367" s="51" t="str">
        <f aca="false">IF($A367="","",SUMIFS(工数明細!$G$3:$G$302,工数明細!$B$3:$B$302,$A367,工数明細!$I$3:$I$302,Q$212))</f>
        <v/>
      </c>
      <c r="R367" s="51" t="str">
        <f aca="false">IF($A367="","",SUMIFS(工数明細!$G$3:$G$302,工数明細!$B$3:$B$302,$A367,工数明細!$I$3:$I$302,R$212))</f>
        <v/>
      </c>
      <c r="S367" s="51" t="str">
        <f aca="false">IF($A367="","",SUMIFS(工数明細!$G$3:$G$302,工数明細!$B$3:$B$302,$A367,工数明細!$I$3:$I$302,S$212))</f>
        <v/>
      </c>
      <c r="T367" s="51" t="str">
        <f aca="false">IF($A367="","",SUMIFS(工数明細!$G$3:$G$302,工数明細!$B$3:$B$302,$A367,工数明細!$I$3:$I$302,T$212))</f>
        <v/>
      </c>
      <c r="U367" s="51" t="str">
        <f aca="false">IF($A367="","",SUMIFS(工数明細!$G$3:$G$302,工数明細!$B$3:$B$302,$A367,工数明細!$I$3:$I$302,U$212))</f>
        <v/>
      </c>
      <c r="V367" s="51" t="str">
        <f aca="false">IF($A367="","",SUMIFS(工数明細!$G$3:$G$302,工数明細!$B$3:$B$302,$A367,工数明細!$I$3:$I$302,V$212))</f>
        <v/>
      </c>
      <c r="W367" s="51" t="str">
        <f aca="false">IF($A367="","",SUMIFS(工数明細!$G$3:$G$302,工数明細!$B$3:$B$302,$A367,工数明細!$I$3:$I$302,W$212))</f>
        <v/>
      </c>
      <c r="X367" s="51" t="str">
        <f aca="false">IF($A367="","",SUMIFS(工数明細!$G$3:$G$302,工数明細!$B$3:$B$302,$A367,工数明細!$I$3:$I$302,X$212))</f>
        <v/>
      </c>
      <c r="Y367" s="51" t="str">
        <f aca="false">IF($A367="","",SUMIFS(工数明細!$G$3:$G$302,工数明細!$B$3:$B$302,$A367,工数明細!$I$3:$I$302,Y$212))</f>
        <v/>
      </c>
      <c r="Z367" s="51" t="str">
        <f aca="false">IF($A367="","",SUMIFS(工数明細!$G$3:$G$302,工数明細!$B$3:$B$302,$A367,工数明細!$I$3:$I$302,Z$212))</f>
        <v/>
      </c>
      <c r="AA367" s="51" t="str">
        <f aca="false">IF($A367="","",SUMIFS(工数明細!$G$3:$G$302,工数明細!$B$3:$B$302,$A367,工数明細!$I$3:$I$302,AA$212))</f>
        <v/>
      </c>
      <c r="AB367" s="51" t="str">
        <f aca="false">IF($A367="","",SUMIFS(工数明細!$G$3:$G$302,工数明細!$B$3:$B$302,$A367,工数明細!$I$3:$I$302,AB$212))</f>
        <v/>
      </c>
      <c r="AC367" s="51" t="str">
        <f aca="false">IF($A367="","",SUMIFS(工数明細!$G$3:$G$302,工数明細!$B$3:$B$302,$A367,工数明細!$I$3:$I$302,AC$212))</f>
        <v/>
      </c>
      <c r="AD367" s="51" t="str">
        <f aca="false">IF($A367="","",SUMIFS(工数明細!$G$3:$G$302,工数明細!$B$3:$B$302,$A367,工数明細!$I$3:$I$302,AD$212))</f>
        <v/>
      </c>
    </row>
    <row r="368" customFormat="false" ht="15.75" hidden="false" customHeight="true" outlineLevel="0" collapsed="false">
      <c r="A368" s="28" t="str">
        <f aca="false">IF(案件管理!$A$157:$A$157="","",案件管理!$A$157:$A$157)</f>
        <v/>
      </c>
      <c r="B368" s="10" t="str">
        <f aca="false">IF($A368="","",案件管理!$B$157:$B$157)</f>
        <v/>
      </c>
      <c r="C368" s="10" t="str">
        <f aca="false">IF($A368="","",案件管理!$D$157:$D$157)</f>
        <v/>
      </c>
      <c r="D368" s="30" t="str">
        <f aca="false">IF($A368="","",案件管理!$AE$157:$AE$157)</f>
        <v/>
      </c>
      <c r="E368" s="30" t="str">
        <f aca="false">IF($A368="","",SUM($G368:$AD368))</f>
        <v/>
      </c>
      <c r="F368" s="51" t="str">
        <f aca="false">IF($A368="","",N($E162)-N($E368))</f>
        <v/>
      </c>
      <c r="G368" s="51" t="str">
        <f aca="false">IF($A368="","",SUMIFS(工数明細!$G$3:$G$302,工数明細!$B$3:$B$302,$A368,工数明細!$I$3:$I$302,G$212))</f>
        <v/>
      </c>
      <c r="H368" s="51" t="str">
        <f aca="false">IF($A368="","",SUMIFS(工数明細!$G$3:$G$302,工数明細!$B$3:$B$302,$A368,工数明細!$I$3:$I$302,H$212))</f>
        <v/>
      </c>
      <c r="I368" s="51" t="str">
        <f aca="false">IF($A368="","",SUMIFS(工数明細!$G$3:$G$302,工数明細!$B$3:$B$302,$A368,工数明細!$I$3:$I$302,I$212))</f>
        <v/>
      </c>
      <c r="J368" s="51" t="str">
        <f aca="false">IF($A368="","",SUMIFS(工数明細!$G$3:$G$302,工数明細!$B$3:$B$302,$A368,工数明細!$I$3:$I$302,J$212))</f>
        <v/>
      </c>
      <c r="K368" s="51" t="str">
        <f aca="false">IF($A368="","",SUMIFS(工数明細!$G$3:$G$302,工数明細!$B$3:$B$302,$A368,工数明細!$I$3:$I$302,K$212))</f>
        <v/>
      </c>
      <c r="L368" s="51" t="str">
        <f aca="false">IF($A368="","",SUMIFS(工数明細!$G$3:$G$302,工数明細!$B$3:$B$302,$A368,工数明細!$I$3:$I$302,L$212))</f>
        <v/>
      </c>
      <c r="M368" s="51" t="str">
        <f aca="false">IF($A368="","",SUMIFS(工数明細!$G$3:$G$302,工数明細!$B$3:$B$302,$A368,工数明細!$I$3:$I$302,M$212))</f>
        <v/>
      </c>
      <c r="N368" s="51" t="str">
        <f aca="false">IF($A368="","",SUMIFS(工数明細!$G$3:$G$302,工数明細!$B$3:$B$302,$A368,工数明細!$I$3:$I$302,N$212))</f>
        <v/>
      </c>
      <c r="O368" s="51" t="str">
        <f aca="false">IF($A368="","",SUMIFS(工数明細!$G$3:$G$302,工数明細!$B$3:$B$302,$A368,工数明細!$I$3:$I$302,O$212))</f>
        <v/>
      </c>
      <c r="P368" s="51" t="str">
        <f aca="false">IF($A368="","",SUMIFS(工数明細!$G$3:$G$302,工数明細!$B$3:$B$302,$A368,工数明細!$I$3:$I$302,P$212))</f>
        <v/>
      </c>
      <c r="Q368" s="51" t="str">
        <f aca="false">IF($A368="","",SUMIFS(工数明細!$G$3:$G$302,工数明細!$B$3:$B$302,$A368,工数明細!$I$3:$I$302,Q$212))</f>
        <v/>
      </c>
      <c r="R368" s="51" t="str">
        <f aca="false">IF($A368="","",SUMIFS(工数明細!$G$3:$G$302,工数明細!$B$3:$B$302,$A368,工数明細!$I$3:$I$302,R$212))</f>
        <v/>
      </c>
      <c r="S368" s="51" t="str">
        <f aca="false">IF($A368="","",SUMIFS(工数明細!$G$3:$G$302,工数明細!$B$3:$B$302,$A368,工数明細!$I$3:$I$302,S$212))</f>
        <v/>
      </c>
      <c r="T368" s="51" t="str">
        <f aca="false">IF($A368="","",SUMIFS(工数明細!$G$3:$G$302,工数明細!$B$3:$B$302,$A368,工数明細!$I$3:$I$302,T$212))</f>
        <v/>
      </c>
      <c r="U368" s="51" t="str">
        <f aca="false">IF($A368="","",SUMIFS(工数明細!$G$3:$G$302,工数明細!$B$3:$B$302,$A368,工数明細!$I$3:$I$302,U$212))</f>
        <v/>
      </c>
      <c r="V368" s="51" t="str">
        <f aca="false">IF($A368="","",SUMIFS(工数明細!$G$3:$G$302,工数明細!$B$3:$B$302,$A368,工数明細!$I$3:$I$302,V$212))</f>
        <v/>
      </c>
      <c r="W368" s="51" t="str">
        <f aca="false">IF($A368="","",SUMIFS(工数明細!$G$3:$G$302,工数明細!$B$3:$B$302,$A368,工数明細!$I$3:$I$302,W$212))</f>
        <v/>
      </c>
      <c r="X368" s="51" t="str">
        <f aca="false">IF($A368="","",SUMIFS(工数明細!$G$3:$G$302,工数明細!$B$3:$B$302,$A368,工数明細!$I$3:$I$302,X$212))</f>
        <v/>
      </c>
      <c r="Y368" s="51" t="str">
        <f aca="false">IF($A368="","",SUMIFS(工数明細!$G$3:$G$302,工数明細!$B$3:$B$302,$A368,工数明細!$I$3:$I$302,Y$212))</f>
        <v/>
      </c>
      <c r="Z368" s="51" t="str">
        <f aca="false">IF($A368="","",SUMIFS(工数明細!$G$3:$G$302,工数明細!$B$3:$B$302,$A368,工数明細!$I$3:$I$302,Z$212))</f>
        <v/>
      </c>
      <c r="AA368" s="51" t="str">
        <f aca="false">IF($A368="","",SUMIFS(工数明細!$G$3:$G$302,工数明細!$B$3:$B$302,$A368,工数明細!$I$3:$I$302,AA$212))</f>
        <v/>
      </c>
      <c r="AB368" s="51" t="str">
        <f aca="false">IF($A368="","",SUMIFS(工数明細!$G$3:$G$302,工数明細!$B$3:$B$302,$A368,工数明細!$I$3:$I$302,AB$212))</f>
        <v/>
      </c>
      <c r="AC368" s="51" t="str">
        <f aca="false">IF($A368="","",SUMIFS(工数明細!$G$3:$G$302,工数明細!$B$3:$B$302,$A368,工数明細!$I$3:$I$302,AC$212))</f>
        <v/>
      </c>
      <c r="AD368" s="51" t="str">
        <f aca="false">IF($A368="","",SUMIFS(工数明細!$G$3:$G$302,工数明細!$B$3:$B$302,$A368,工数明細!$I$3:$I$302,AD$212))</f>
        <v/>
      </c>
    </row>
    <row r="369" customFormat="false" ht="15.75" hidden="false" customHeight="true" outlineLevel="0" collapsed="false">
      <c r="A369" s="28" t="str">
        <f aca="false">IF(案件管理!$A$158:$A$158="","",案件管理!$A$158:$A$158)</f>
        <v/>
      </c>
      <c r="B369" s="10" t="str">
        <f aca="false">IF($A369="","",案件管理!$B$158:$B$158)</f>
        <v/>
      </c>
      <c r="C369" s="10" t="str">
        <f aca="false">IF($A369="","",案件管理!$D$158:$D$158)</f>
        <v/>
      </c>
      <c r="D369" s="30" t="str">
        <f aca="false">IF($A369="","",案件管理!$AE$158:$AE$158)</f>
        <v/>
      </c>
      <c r="E369" s="30" t="str">
        <f aca="false">IF($A369="","",SUM($G369:$AD369))</f>
        <v/>
      </c>
      <c r="F369" s="51" t="str">
        <f aca="false">IF($A369="","",N($E163)-N($E369))</f>
        <v/>
      </c>
      <c r="G369" s="51" t="str">
        <f aca="false">IF($A369="","",SUMIFS(工数明細!$G$3:$G$302,工数明細!$B$3:$B$302,$A369,工数明細!$I$3:$I$302,G$212))</f>
        <v/>
      </c>
      <c r="H369" s="51" t="str">
        <f aca="false">IF($A369="","",SUMIFS(工数明細!$G$3:$G$302,工数明細!$B$3:$B$302,$A369,工数明細!$I$3:$I$302,H$212))</f>
        <v/>
      </c>
      <c r="I369" s="51" t="str">
        <f aca="false">IF($A369="","",SUMIFS(工数明細!$G$3:$G$302,工数明細!$B$3:$B$302,$A369,工数明細!$I$3:$I$302,I$212))</f>
        <v/>
      </c>
      <c r="J369" s="51" t="str">
        <f aca="false">IF($A369="","",SUMIFS(工数明細!$G$3:$G$302,工数明細!$B$3:$B$302,$A369,工数明細!$I$3:$I$302,J$212))</f>
        <v/>
      </c>
      <c r="K369" s="51" t="str">
        <f aca="false">IF($A369="","",SUMIFS(工数明細!$G$3:$G$302,工数明細!$B$3:$B$302,$A369,工数明細!$I$3:$I$302,K$212))</f>
        <v/>
      </c>
      <c r="L369" s="51" t="str">
        <f aca="false">IF($A369="","",SUMIFS(工数明細!$G$3:$G$302,工数明細!$B$3:$B$302,$A369,工数明細!$I$3:$I$302,L$212))</f>
        <v/>
      </c>
      <c r="M369" s="51" t="str">
        <f aca="false">IF($A369="","",SUMIFS(工数明細!$G$3:$G$302,工数明細!$B$3:$B$302,$A369,工数明細!$I$3:$I$302,M$212))</f>
        <v/>
      </c>
      <c r="N369" s="51" t="str">
        <f aca="false">IF($A369="","",SUMIFS(工数明細!$G$3:$G$302,工数明細!$B$3:$B$302,$A369,工数明細!$I$3:$I$302,N$212))</f>
        <v/>
      </c>
      <c r="O369" s="51" t="str">
        <f aca="false">IF($A369="","",SUMIFS(工数明細!$G$3:$G$302,工数明細!$B$3:$B$302,$A369,工数明細!$I$3:$I$302,O$212))</f>
        <v/>
      </c>
      <c r="P369" s="51" t="str">
        <f aca="false">IF($A369="","",SUMIFS(工数明細!$G$3:$G$302,工数明細!$B$3:$B$302,$A369,工数明細!$I$3:$I$302,P$212))</f>
        <v/>
      </c>
      <c r="Q369" s="51" t="str">
        <f aca="false">IF($A369="","",SUMIFS(工数明細!$G$3:$G$302,工数明細!$B$3:$B$302,$A369,工数明細!$I$3:$I$302,Q$212))</f>
        <v/>
      </c>
      <c r="R369" s="51" t="str">
        <f aca="false">IF($A369="","",SUMIFS(工数明細!$G$3:$G$302,工数明細!$B$3:$B$302,$A369,工数明細!$I$3:$I$302,R$212))</f>
        <v/>
      </c>
      <c r="S369" s="51" t="str">
        <f aca="false">IF($A369="","",SUMIFS(工数明細!$G$3:$G$302,工数明細!$B$3:$B$302,$A369,工数明細!$I$3:$I$302,S$212))</f>
        <v/>
      </c>
      <c r="T369" s="51" t="str">
        <f aca="false">IF($A369="","",SUMIFS(工数明細!$G$3:$G$302,工数明細!$B$3:$B$302,$A369,工数明細!$I$3:$I$302,T$212))</f>
        <v/>
      </c>
      <c r="U369" s="51" t="str">
        <f aca="false">IF($A369="","",SUMIFS(工数明細!$G$3:$G$302,工数明細!$B$3:$B$302,$A369,工数明細!$I$3:$I$302,U$212))</f>
        <v/>
      </c>
      <c r="V369" s="51" t="str">
        <f aca="false">IF($A369="","",SUMIFS(工数明細!$G$3:$G$302,工数明細!$B$3:$B$302,$A369,工数明細!$I$3:$I$302,V$212))</f>
        <v/>
      </c>
      <c r="W369" s="51" t="str">
        <f aca="false">IF($A369="","",SUMIFS(工数明細!$G$3:$G$302,工数明細!$B$3:$B$302,$A369,工数明細!$I$3:$I$302,W$212))</f>
        <v/>
      </c>
      <c r="X369" s="51" t="str">
        <f aca="false">IF($A369="","",SUMIFS(工数明細!$G$3:$G$302,工数明細!$B$3:$B$302,$A369,工数明細!$I$3:$I$302,X$212))</f>
        <v/>
      </c>
      <c r="Y369" s="51" t="str">
        <f aca="false">IF($A369="","",SUMIFS(工数明細!$G$3:$G$302,工数明細!$B$3:$B$302,$A369,工数明細!$I$3:$I$302,Y$212))</f>
        <v/>
      </c>
      <c r="Z369" s="51" t="str">
        <f aca="false">IF($A369="","",SUMIFS(工数明細!$G$3:$G$302,工数明細!$B$3:$B$302,$A369,工数明細!$I$3:$I$302,Z$212))</f>
        <v/>
      </c>
      <c r="AA369" s="51" t="str">
        <f aca="false">IF($A369="","",SUMIFS(工数明細!$G$3:$G$302,工数明細!$B$3:$B$302,$A369,工数明細!$I$3:$I$302,AA$212))</f>
        <v/>
      </c>
      <c r="AB369" s="51" t="str">
        <f aca="false">IF($A369="","",SUMIFS(工数明細!$G$3:$G$302,工数明細!$B$3:$B$302,$A369,工数明細!$I$3:$I$302,AB$212))</f>
        <v/>
      </c>
      <c r="AC369" s="51" t="str">
        <f aca="false">IF($A369="","",SUMIFS(工数明細!$G$3:$G$302,工数明細!$B$3:$B$302,$A369,工数明細!$I$3:$I$302,AC$212))</f>
        <v/>
      </c>
      <c r="AD369" s="51" t="str">
        <f aca="false">IF($A369="","",SUMIFS(工数明細!$G$3:$G$302,工数明細!$B$3:$B$302,$A369,工数明細!$I$3:$I$302,AD$212))</f>
        <v/>
      </c>
    </row>
    <row r="370" customFormat="false" ht="15.75" hidden="false" customHeight="true" outlineLevel="0" collapsed="false">
      <c r="A370" s="28" t="str">
        <f aca="false">IF(案件管理!$A$159:$A$159="","",案件管理!$A$159:$A$159)</f>
        <v/>
      </c>
      <c r="B370" s="10" t="str">
        <f aca="false">IF($A370="","",案件管理!$B$159:$B$159)</f>
        <v/>
      </c>
      <c r="C370" s="10" t="str">
        <f aca="false">IF($A370="","",案件管理!$D$159:$D$159)</f>
        <v/>
      </c>
      <c r="D370" s="30" t="str">
        <f aca="false">IF($A370="","",案件管理!$AE$159:$AE$159)</f>
        <v/>
      </c>
      <c r="E370" s="30" t="str">
        <f aca="false">IF($A370="","",SUM($G370:$AD370))</f>
        <v/>
      </c>
      <c r="F370" s="51" t="str">
        <f aca="false">IF($A370="","",N($E164)-N($E370))</f>
        <v/>
      </c>
      <c r="G370" s="51" t="str">
        <f aca="false">IF($A370="","",SUMIFS(工数明細!$G$3:$G$302,工数明細!$B$3:$B$302,$A370,工数明細!$I$3:$I$302,G$212))</f>
        <v/>
      </c>
      <c r="H370" s="51" t="str">
        <f aca="false">IF($A370="","",SUMIFS(工数明細!$G$3:$G$302,工数明細!$B$3:$B$302,$A370,工数明細!$I$3:$I$302,H$212))</f>
        <v/>
      </c>
      <c r="I370" s="51" t="str">
        <f aca="false">IF($A370="","",SUMIFS(工数明細!$G$3:$G$302,工数明細!$B$3:$B$302,$A370,工数明細!$I$3:$I$302,I$212))</f>
        <v/>
      </c>
      <c r="J370" s="51" t="str">
        <f aca="false">IF($A370="","",SUMIFS(工数明細!$G$3:$G$302,工数明細!$B$3:$B$302,$A370,工数明細!$I$3:$I$302,J$212))</f>
        <v/>
      </c>
      <c r="K370" s="51" t="str">
        <f aca="false">IF($A370="","",SUMIFS(工数明細!$G$3:$G$302,工数明細!$B$3:$B$302,$A370,工数明細!$I$3:$I$302,K$212))</f>
        <v/>
      </c>
      <c r="L370" s="51" t="str">
        <f aca="false">IF($A370="","",SUMIFS(工数明細!$G$3:$G$302,工数明細!$B$3:$B$302,$A370,工数明細!$I$3:$I$302,L$212))</f>
        <v/>
      </c>
      <c r="M370" s="51" t="str">
        <f aca="false">IF($A370="","",SUMIFS(工数明細!$G$3:$G$302,工数明細!$B$3:$B$302,$A370,工数明細!$I$3:$I$302,M$212))</f>
        <v/>
      </c>
      <c r="N370" s="51" t="str">
        <f aca="false">IF($A370="","",SUMIFS(工数明細!$G$3:$G$302,工数明細!$B$3:$B$302,$A370,工数明細!$I$3:$I$302,N$212))</f>
        <v/>
      </c>
      <c r="O370" s="51" t="str">
        <f aca="false">IF($A370="","",SUMIFS(工数明細!$G$3:$G$302,工数明細!$B$3:$B$302,$A370,工数明細!$I$3:$I$302,O$212))</f>
        <v/>
      </c>
      <c r="P370" s="51" t="str">
        <f aca="false">IF($A370="","",SUMIFS(工数明細!$G$3:$G$302,工数明細!$B$3:$B$302,$A370,工数明細!$I$3:$I$302,P$212))</f>
        <v/>
      </c>
      <c r="Q370" s="51" t="str">
        <f aca="false">IF($A370="","",SUMIFS(工数明細!$G$3:$G$302,工数明細!$B$3:$B$302,$A370,工数明細!$I$3:$I$302,Q$212))</f>
        <v/>
      </c>
      <c r="R370" s="51" t="str">
        <f aca="false">IF($A370="","",SUMIFS(工数明細!$G$3:$G$302,工数明細!$B$3:$B$302,$A370,工数明細!$I$3:$I$302,R$212))</f>
        <v/>
      </c>
      <c r="S370" s="51" t="str">
        <f aca="false">IF($A370="","",SUMIFS(工数明細!$G$3:$G$302,工数明細!$B$3:$B$302,$A370,工数明細!$I$3:$I$302,S$212))</f>
        <v/>
      </c>
      <c r="T370" s="51" t="str">
        <f aca="false">IF($A370="","",SUMIFS(工数明細!$G$3:$G$302,工数明細!$B$3:$B$302,$A370,工数明細!$I$3:$I$302,T$212))</f>
        <v/>
      </c>
      <c r="U370" s="51" t="str">
        <f aca="false">IF($A370="","",SUMIFS(工数明細!$G$3:$G$302,工数明細!$B$3:$B$302,$A370,工数明細!$I$3:$I$302,U$212))</f>
        <v/>
      </c>
      <c r="V370" s="51" t="str">
        <f aca="false">IF($A370="","",SUMIFS(工数明細!$G$3:$G$302,工数明細!$B$3:$B$302,$A370,工数明細!$I$3:$I$302,V$212))</f>
        <v/>
      </c>
      <c r="W370" s="51" t="str">
        <f aca="false">IF($A370="","",SUMIFS(工数明細!$G$3:$G$302,工数明細!$B$3:$B$302,$A370,工数明細!$I$3:$I$302,W$212))</f>
        <v/>
      </c>
      <c r="X370" s="51" t="str">
        <f aca="false">IF($A370="","",SUMIFS(工数明細!$G$3:$G$302,工数明細!$B$3:$B$302,$A370,工数明細!$I$3:$I$302,X$212))</f>
        <v/>
      </c>
      <c r="Y370" s="51" t="str">
        <f aca="false">IF($A370="","",SUMIFS(工数明細!$G$3:$G$302,工数明細!$B$3:$B$302,$A370,工数明細!$I$3:$I$302,Y$212))</f>
        <v/>
      </c>
      <c r="Z370" s="51" t="str">
        <f aca="false">IF($A370="","",SUMIFS(工数明細!$G$3:$G$302,工数明細!$B$3:$B$302,$A370,工数明細!$I$3:$I$302,Z$212))</f>
        <v/>
      </c>
      <c r="AA370" s="51" t="str">
        <f aca="false">IF($A370="","",SUMIFS(工数明細!$G$3:$G$302,工数明細!$B$3:$B$302,$A370,工数明細!$I$3:$I$302,AA$212))</f>
        <v/>
      </c>
      <c r="AB370" s="51" t="str">
        <f aca="false">IF($A370="","",SUMIFS(工数明細!$G$3:$G$302,工数明細!$B$3:$B$302,$A370,工数明細!$I$3:$I$302,AB$212))</f>
        <v/>
      </c>
      <c r="AC370" s="51" t="str">
        <f aca="false">IF($A370="","",SUMIFS(工数明細!$G$3:$G$302,工数明細!$B$3:$B$302,$A370,工数明細!$I$3:$I$302,AC$212))</f>
        <v/>
      </c>
      <c r="AD370" s="51" t="str">
        <f aca="false">IF($A370="","",SUMIFS(工数明細!$G$3:$G$302,工数明細!$B$3:$B$302,$A370,工数明細!$I$3:$I$302,AD$212))</f>
        <v/>
      </c>
    </row>
    <row r="371" customFormat="false" ht="15.75" hidden="false" customHeight="true" outlineLevel="0" collapsed="false">
      <c r="A371" s="28" t="str">
        <f aca="false">IF(案件管理!$A$160:$A$160="","",案件管理!$A$160:$A$160)</f>
        <v/>
      </c>
      <c r="B371" s="10" t="str">
        <f aca="false">IF($A371="","",案件管理!$B$160:$B$160)</f>
        <v/>
      </c>
      <c r="C371" s="10" t="str">
        <f aca="false">IF($A371="","",案件管理!$D$160:$D$160)</f>
        <v/>
      </c>
      <c r="D371" s="30" t="str">
        <f aca="false">IF($A371="","",案件管理!$AE$160:$AE$160)</f>
        <v/>
      </c>
      <c r="E371" s="30" t="str">
        <f aca="false">IF($A371="","",SUM($G371:$AD371))</f>
        <v/>
      </c>
      <c r="F371" s="51" t="str">
        <f aca="false">IF($A371="","",N($E165)-N($E371))</f>
        <v/>
      </c>
      <c r="G371" s="51" t="str">
        <f aca="false">IF($A371="","",SUMIFS(工数明細!$G$3:$G$302,工数明細!$B$3:$B$302,$A371,工数明細!$I$3:$I$302,G$212))</f>
        <v/>
      </c>
      <c r="H371" s="51" t="str">
        <f aca="false">IF($A371="","",SUMIFS(工数明細!$G$3:$G$302,工数明細!$B$3:$B$302,$A371,工数明細!$I$3:$I$302,H$212))</f>
        <v/>
      </c>
      <c r="I371" s="51" t="str">
        <f aca="false">IF($A371="","",SUMIFS(工数明細!$G$3:$G$302,工数明細!$B$3:$B$302,$A371,工数明細!$I$3:$I$302,I$212))</f>
        <v/>
      </c>
      <c r="J371" s="51" t="str">
        <f aca="false">IF($A371="","",SUMIFS(工数明細!$G$3:$G$302,工数明細!$B$3:$B$302,$A371,工数明細!$I$3:$I$302,J$212))</f>
        <v/>
      </c>
      <c r="K371" s="51" t="str">
        <f aca="false">IF($A371="","",SUMIFS(工数明細!$G$3:$G$302,工数明細!$B$3:$B$302,$A371,工数明細!$I$3:$I$302,K$212))</f>
        <v/>
      </c>
      <c r="L371" s="51" t="str">
        <f aca="false">IF($A371="","",SUMIFS(工数明細!$G$3:$G$302,工数明細!$B$3:$B$302,$A371,工数明細!$I$3:$I$302,L$212))</f>
        <v/>
      </c>
      <c r="M371" s="51" t="str">
        <f aca="false">IF($A371="","",SUMIFS(工数明細!$G$3:$G$302,工数明細!$B$3:$B$302,$A371,工数明細!$I$3:$I$302,M$212))</f>
        <v/>
      </c>
      <c r="N371" s="51" t="str">
        <f aca="false">IF($A371="","",SUMIFS(工数明細!$G$3:$G$302,工数明細!$B$3:$B$302,$A371,工数明細!$I$3:$I$302,N$212))</f>
        <v/>
      </c>
      <c r="O371" s="51" t="str">
        <f aca="false">IF($A371="","",SUMIFS(工数明細!$G$3:$G$302,工数明細!$B$3:$B$302,$A371,工数明細!$I$3:$I$302,O$212))</f>
        <v/>
      </c>
      <c r="P371" s="51" t="str">
        <f aca="false">IF($A371="","",SUMIFS(工数明細!$G$3:$G$302,工数明細!$B$3:$B$302,$A371,工数明細!$I$3:$I$302,P$212))</f>
        <v/>
      </c>
      <c r="Q371" s="51" t="str">
        <f aca="false">IF($A371="","",SUMIFS(工数明細!$G$3:$G$302,工数明細!$B$3:$B$302,$A371,工数明細!$I$3:$I$302,Q$212))</f>
        <v/>
      </c>
      <c r="R371" s="51" t="str">
        <f aca="false">IF($A371="","",SUMIFS(工数明細!$G$3:$G$302,工数明細!$B$3:$B$302,$A371,工数明細!$I$3:$I$302,R$212))</f>
        <v/>
      </c>
      <c r="S371" s="51" t="str">
        <f aca="false">IF($A371="","",SUMIFS(工数明細!$G$3:$G$302,工数明細!$B$3:$B$302,$A371,工数明細!$I$3:$I$302,S$212))</f>
        <v/>
      </c>
      <c r="T371" s="51" t="str">
        <f aca="false">IF($A371="","",SUMIFS(工数明細!$G$3:$G$302,工数明細!$B$3:$B$302,$A371,工数明細!$I$3:$I$302,T$212))</f>
        <v/>
      </c>
      <c r="U371" s="51" t="str">
        <f aca="false">IF($A371="","",SUMIFS(工数明細!$G$3:$G$302,工数明細!$B$3:$B$302,$A371,工数明細!$I$3:$I$302,U$212))</f>
        <v/>
      </c>
      <c r="V371" s="51" t="str">
        <f aca="false">IF($A371="","",SUMIFS(工数明細!$G$3:$G$302,工数明細!$B$3:$B$302,$A371,工数明細!$I$3:$I$302,V$212))</f>
        <v/>
      </c>
      <c r="W371" s="51" t="str">
        <f aca="false">IF($A371="","",SUMIFS(工数明細!$G$3:$G$302,工数明細!$B$3:$B$302,$A371,工数明細!$I$3:$I$302,W$212))</f>
        <v/>
      </c>
      <c r="X371" s="51" t="str">
        <f aca="false">IF($A371="","",SUMIFS(工数明細!$G$3:$G$302,工数明細!$B$3:$B$302,$A371,工数明細!$I$3:$I$302,X$212))</f>
        <v/>
      </c>
      <c r="Y371" s="51" t="str">
        <f aca="false">IF($A371="","",SUMIFS(工数明細!$G$3:$G$302,工数明細!$B$3:$B$302,$A371,工数明細!$I$3:$I$302,Y$212))</f>
        <v/>
      </c>
      <c r="Z371" s="51" t="str">
        <f aca="false">IF($A371="","",SUMIFS(工数明細!$G$3:$G$302,工数明細!$B$3:$B$302,$A371,工数明細!$I$3:$I$302,Z$212))</f>
        <v/>
      </c>
      <c r="AA371" s="51" t="str">
        <f aca="false">IF($A371="","",SUMIFS(工数明細!$G$3:$G$302,工数明細!$B$3:$B$302,$A371,工数明細!$I$3:$I$302,AA$212))</f>
        <v/>
      </c>
      <c r="AB371" s="51" t="str">
        <f aca="false">IF($A371="","",SUMIFS(工数明細!$G$3:$G$302,工数明細!$B$3:$B$302,$A371,工数明細!$I$3:$I$302,AB$212))</f>
        <v/>
      </c>
      <c r="AC371" s="51" t="str">
        <f aca="false">IF($A371="","",SUMIFS(工数明細!$G$3:$G$302,工数明細!$B$3:$B$302,$A371,工数明細!$I$3:$I$302,AC$212))</f>
        <v/>
      </c>
      <c r="AD371" s="51" t="str">
        <f aca="false">IF($A371="","",SUMIFS(工数明細!$G$3:$G$302,工数明細!$B$3:$B$302,$A371,工数明細!$I$3:$I$302,AD$212))</f>
        <v/>
      </c>
    </row>
    <row r="372" customFormat="false" ht="15.75" hidden="false" customHeight="true" outlineLevel="0" collapsed="false">
      <c r="A372" s="28" t="str">
        <f aca="false">IF(案件管理!$A$161:$A$161="","",案件管理!$A$161:$A$161)</f>
        <v/>
      </c>
      <c r="B372" s="10" t="str">
        <f aca="false">IF($A372="","",案件管理!$B$161:$B$161)</f>
        <v/>
      </c>
      <c r="C372" s="10" t="str">
        <f aca="false">IF($A372="","",案件管理!$D$161:$D$161)</f>
        <v/>
      </c>
      <c r="D372" s="30" t="str">
        <f aca="false">IF($A372="","",案件管理!$AE$161:$AE$161)</f>
        <v/>
      </c>
      <c r="E372" s="30" t="str">
        <f aca="false">IF($A372="","",SUM($G372:$AD372))</f>
        <v/>
      </c>
      <c r="F372" s="51" t="str">
        <f aca="false">IF($A372="","",N($E166)-N($E372))</f>
        <v/>
      </c>
      <c r="G372" s="51" t="str">
        <f aca="false">IF($A372="","",SUMIFS(工数明細!$G$3:$G$302,工数明細!$B$3:$B$302,$A372,工数明細!$I$3:$I$302,G$212))</f>
        <v/>
      </c>
      <c r="H372" s="51" t="str">
        <f aca="false">IF($A372="","",SUMIFS(工数明細!$G$3:$G$302,工数明細!$B$3:$B$302,$A372,工数明細!$I$3:$I$302,H$212))</f>
        <v/>
      </c>
      <c r="I372" s="51" t="str">
        <f aca="false">IF($A372="","",SUMIFS(工数明細!$G$3:$G$302,工数明細!$B$3:$B$302,$A372,工数明細!$I$3:$I$302,I$212))</f>
        <v/>
      </c>
      <c r="J372" s="51" t="str">
        <f aca="false">IF($A372="","",SUMIFS(工数明細!$G$3:$G$302,工数明細!$B$3:$B$302,$A372,工数明細!$I$3:$I$302,J$212))</f>
        <v/>
      </c>
      <c r="K372" s="51" t="str">
        <f aca="false">IF($A372="","",SUMIFS(工数明細!$G$3:$G$302,工数明細!$B$3:$B$302,$A372,工数明細!$I$3:$I$302,K$212))</f>
        <v/>
      </c>
      <c r="L372" s="51" t="str">
        <f aca="false">IF($A372="","",SUMIFS(工数明細!$G$3:$G$302,工数明細!$B$3:$B$302,$A372,工数明細!$I$3:$I$302,L$212))</f>
        <v/>
      </c>
      <c r="M372" s="51" t="str">
        <f aca="false">IF($A372="","",SUMIFS(工数明細!$G$3:$G$302,工数明細!$B$3:$B$302,$A372,工数明細!$I$3:$I$302,M$212))</f>
        <v/>
      </c>
      <c r="N372" s="51" t="str">
        <f aca="false">IF($A372="","",SUMIFS(工数明細!$G$3:$G$302,工数明細!$B$3:$B$302,$A372,工数明細!$I$3:$I$302,N$212))</f>
        <v/>
      </c>
      <c r="O372" s="51" t="str">
        <f aca="false">IF($A372="","",SUMIFS(工数明細!$G$3:$G$302,工数明細!$B$3:$B$302,$A372,工数明細!$I$3:$I$302,O$212))</f>
        <v/>
      </c>
      <c r="P372" s="51" t="str">
        <f aca="false">IF($A372="","",SUMIFS(工数明細!$G$3:$G$302,工数明細!$B$3:$B$302,$A372,工数明細!$I$3:$I$302,P$212))</f>
        <v/>
      </c>
      <c r="Q372" s="51" t="str">
        <f aca="false">IF($A372="","",SUMIFS(工数明細!$G$3:$G$302,工数明細!$B$3:$B$302,$A372,工数明細!$I$3:$I$302,Q$212))</f>
        <v/>
      </c>
      <c r="R372" s="51" t="str">
        <f aca="false">IF($A372="","",SUMIFS(工数明細!$G$3:$G$302,工数明細!$B$3:$B$302,$A372,工数明細!$I$3:$I$302,R$212))</f>
        <v/>
      </c>
      <c r="S372" s="51" t="str">
        <f aca="false">IF($A372="","",SUMIFS(工数明細!$G$3:$G$302,工数明細!$B$3:$B$302,$A372,工数明細!$I$3:$I$302,S$212))</f>
        <v/>
      </c>
      <c r="T372" s="51" t="str">
        <f aca="false">IF($A372="","",SUMIFS(工数明細!$G$3:$G$302,工数明細!$B$3:$B$302,$A372,工数明細!$I$3:$I$302,T$212))</f>
        <v/>
      </c>
      <c r="U372" s="51" t="str">
        <f aca="false">IF($A372="","",SUMIFS(工数明細!$G$3:$G$302,工数明細!$B$3:$B$302,$A372,工数明細!$I$3:$I$302,U$212))</f>
        <v/>
      </c>
      <c r="V372" s="51" t="str">
        <f aca="false">IF($A372="","",SUMIFS(工数明細!$G$3:$G$302,工数明細!$B$3:$B$302,$A372,工数明細!$I$3:$I$302,V$212))</f>
        <v/>
      </c>
      <c r="W372" s="51" t="str">
        <f aca="false">IF($A372="","",SUMIFS(工数明細!$G$3:$G$302,工数明細!$B$3:$B$302,$A372,工数明細!$I$3:$I$302,W$212))</f>
        <v/>
      </c>
      <c r="X372" s="51" t="str">
        <f aca="false">IF($A372="","",SUMIFS(工数明細!$G$3:$G$302,工数明細!$B$3:$B$302,$A372,工数明細!$I$3:$I$302,X$212))</f>
        <v/>
      </c>
      <c r="Y372" s="51" t="str">
        <f aca="false">IF($A372="","",SUMIFS(工数明細!$G$3:$G$302,工数明細!$B$3:$B$302,$A372,工数明細!$I$3:$I$302,Y$212))</f>
        <v/>
      </c>
      <c r="Z372" s="51" t="str">
        <f aca="false">IF($A372="","",SUMIFS(工数明細!$G$3:$G$302,工数明細!$B$3:$B$302,$A372,工数明細!$I$3:$I$302,Z$212))</f>
        <v/>
      </c>
      <c r="AA372" s="51" t="str">
        <f aca="false">IF($A372="","",SUMIFS(工数明細!$G$3:$G$302,工数明細!$B$3:$B$302,$A372,工数明細!$I$3:$I$302,AA$212))</f>
        <v/>
      </c>
      <c r="AB372" s="51" t="str">
        <f aca="false">IF($A372="","",SUMIFS(工数明細!$G$3:$G$302,工数明細!$B$3:$B$302,$A372,工数明細!$I$3:$I$302,AB$212))</f>
        <v/>
      </c>
      <c r="AC372" s="51" t="str">
        <f aca="false">IF($A372="","",SUMIFS(工数明細!$G$3:$G$302,工数明細!$B$3:$B$302,$A372,工数明細!$I$3:$I$302,AC$212))</f>
        <v/>
      </c>
      <c r="AD372" s="51" t="str">
        <f aca="false">IF($A372="","",SUMIFS(工数明細!$G$3:$G$302,工数明細!$B$3:$B$302,$A372,工数明細!$I$3:$I$302,AD$212))</f>
        <v/>
      </c>
    </row>
    <row r="373" customFormat="false" ht="15.75" hidden="false" customHeight="true" outlineLevel="0" collapsed="false">
      <c r="A373" s="28" t="str">
        <f aca="false">IF(案件管理!$A$162:$A$162="","",案件管理!$A$162:$A$162)</f>
        <v/>
      </c>
      <c r="B373" s="10" t="str">
        <f aca="false">IF($A373="","",案件管理!$B$162:$B$162)</f>
        <v/>
      </c>
      <c r="C373" s="10" t="str">
        <f aca="false">IF($A373="","",案件管理!$D$162:$D$162)</f>
        <v/>
      </c>
      <c r="D373" s="30" t="str">
        <f aca="false">IF($A373="","",案件管理!$AE$162:$AE$162)</f>
        <v/>
      </c>
      <c r="E373" s="30" t="str">
        <f aca="false">IF($A373="","",SUM($G373:$AD373))</f>
        <v/>
      </c>
      <c r="F373" s="51" t="str">
        <f aca="false">IF($A373="","",N($E167)-N($E373))</f>
        <v/>
      </c>
      <c r="G373" s="51" t="str">
        <f aca="false">IF($A373="","",SUMIFS(工数明細!$G$3:$G$302,工数明細!$B$3:$B$302,$A373,工数明細!$I$3:$I$302,G$212))</f>
        <v/>
      </c>
      <c r="H373" s="51" t="str">
        <f aca="false">IF($A373="","",SUMIFS(工数明細!$G$3:$G$302,工数明細!$B$3:$B$302,$A373,工数明細!$I$3:$I$302,H$212))</f>
        <v/>
      </c>
      <c r="I373" s="51" t="str">
        <f aca="false">IF($A373="","",SUMIFS(工数明細!$G$3:$G$302,工数明細!$B$3:$B$302,$A373,工数明細!$I$3:$I$302,I$212))</f>
        <v/>
      </c>
      <c r="J373" s="51" t="str">
        <f aca="false">IF($A373="","",SUMIFS(工数明細!$G$3:$G$302,工数明細!$B$3:$B$302,$A373,工数明細!$I$3:$I$302,J$212))</f>
        <v/>
      </c>
      <c r="K373" s="51" t="str">
        <f aca="false">IF($A373="","",SUMIFS(工数明細!$G$3:$G$302,工数明細!$B$3:$B$302,$A373,工数明細!$I$3:$I$302,K$212))</f>
        <v/>
      </c>
      <c r="L373" s="51" t="str">
        <f aca="false">IF($A373="","",SUMIFS(工数明細!$G$3:$G$302,工数明細!$B$3:$B$302,$A373,工数明細!$I$3:$I$302,L$212))</f>
        <v/>
      </c>
      <c r="M373" s="51" t="str">
        <f aca="false">IF($A373="","",SUMIFS(工数明細!$G$3:$G$302,工数明細!$B$3:$B$302,$A373,工数明細!$I$3:$I$302,M$212))</f>
        <v/>
      </c>
      <c r="N373" s="51" t="str">
        <f aca="false">IF($A373="","",SUMIFS(工数明細!$G$3:$G$302,工数明細!$B$3:$B$302,$A373,工数明細!$I$3:$I$302,N$212))</f>
        <v/>
      </c>
      <c r="O373" s="51" t="str">
        <f aca="false">IF($A373="","",SUMIFS(工数明細!$G$3:$G$302,工数明細!$B$3:$B$302,$A373,工数明細!$I$3:$I$302,O$212))</f>
        <v/>
      </c>
      <c r="P373" s="51" t="str">
        <f aca="false">IF($A373="","",SUMIFS(工数明細!$G$3:$G$302,工数明細!$B$3:$B$302,$A373,工数明細!$I$3:$I$302,P$212))</f>
        <v/>
      </c>
      <c r="Q373" s="51" t="str">
        <f aca="false">IF($A373="","",SUMIFS(工数明細!$G$3:$G$302,工数明細!$B$3:$B$302,$A373,工数明細!$I$3:$I$302,Q$212))</f>
        <v/>
      </c>
      <c r="R373" s="51" t="str">
        <f aca="false">IF($A373="","",SUMIFS(工数明細!$G$3:$G$302,工数明細!$B$3:$B$302,$A373,工数明細!$I$3:$I$302,R$212))</f>
        <v/>
      </c>
      <c r="S373" s="51" t="str">
        <f aca="false">IF($A373="","",SUMIFS(工数明細!$G$3:$G$302,工数明細!$B$3:$B$302,$A373,工数明細!$I$3:$I$302,S$212))</f>
        <v/>
      </c>
      <c r="T373" s="51" t="str">
        <f aca="false">IF($A373="","",SUMIFS(工数明細!$G$3:$G$302,工数明細!$B$3:$B$302,$A373,工数明細!$I$3:$I$302,T$212))</f>
        <v/>
      </c>
      <c r="U373" s="51" t="str">
        <f aca="false">IF($A373="","",SUMIFS(工数明細!$G$3:$G$302,工数明細!$B$3:$B$302,$A373,工数明細!$I$3:$I$302,U$212))</f>
        <v/>
      </c>
      <c r="V373" s="51" t="str">
        <f aca="false">IF($A373="","",SUMIFS(工数明細!$G$3:$G$302,工数明細!$B$3:$B$302,$A373,工数明細!$I$3:$I$302,V$212))</f>
        <v/>
      </c>
      <c r="W373" s="51" t="str">
        <f aca="false">IF($A373="","",SUMIFS(工数明細!$G$3:$G$302,工数明細!$B$3:$B$302,$A373,工数明細!$I$3:$I$302,W$212))</f>
        <v/>
      </c>
      <c r="X373" s="51" t="str">
        <f aca="false">IF($A373="","",SUMIFS(工数明細!$G$3:$G$302,工数明細!$B$3:$B$302,$A373,工数明細!$I$3:$I$302,X$212))</f>
        <v/>
      </c>
      <c r="Y373" s="51" t="str">
        <f aca="false">IF($A373="","",SUMIFS(工数明細!$G$3:$G$302,工数明細!$B$3:$B$302,$A373,工数明細!$I$3:$I$302,Y$212))</f>
        <v/>
      </c>
      <c r="Z373" s="51" t="str">
        <f aca="false">IF($A373="","",SUMIFS(工数明細!$G$3:$G$302,工数明細!$B$3:$B$302,$A373,工数明細!$I$3:$I$302,Z$212))</f>
        <v/>
      </c>
      <c r="AA373" s="51" t="str">
        <f aca="false">IF($A373="","",SUMIFS(工数明細!$G$3:$G$302,工数明細!$B$3:$B$302,$A373,工数明細!$I$3:$I$302,AA$212))</f>
        <v/>
      </c>
      <c r="AB373" s="51" t="str">
        <f aca="false">IF($A373="","",SUMIFS(工数明細!$G$3:$G$302,工数明細!$B$3:$B$302,$A373,工数明細!$I$3:$I$302,AB$212))</f>
        <v/>
      </c>
      <c r="AC373" s="51" t="str">
        <f aca="false">IF($A373="","",SUMIFS(工数明細!$G$3:$G$302,工数明細!$B$3:$B$302,$A373,工数明細!$I$3:$I$302,AC$212))</f>
        <v/>
      </c>
      <c r="AD373" s="51" t="str">
        <f aca="false">IF($A373="","",SUMIFS(工数明細!$G$3:$G$302,工数明細!$B$3:$B$302,$A373,工数明細!$I$3:$I$302,AD$212))</f>
        <v/>
      </c>
    </row>
    <row r="374" customFormat="false" ht="15.75" hidden="false" customHeight="true" outlineLevel="0" collapsed="false">
      <c r="A374" s="28" t="str">
        <f aca="false">IF(案件管理!$A$163:$A$163="","",案件管理!$A$163:$A$163)</f>
        <v/>
      </c>
      <c r="B374" s="10" t="str">
        <f aca="false">IF($A374="","",案件管理!$B$163:$B$163)</f>
        <v/>
      </c>
      <c r="C374" s="10" t="str">
        <f aca="false">IF($A374="","",案件管理!$D$163:$D$163)</f>
        <v/>
      </c>
      <c r="D374" s="30" t="str">
        <f aca="false">IF($A374="","",案件管理!$AE$163:$AE$163)</f>
        <v/>
      </c>
      <c r="E374" s="30" t="str">
        <f aca="false">IF($A374="","",SUM($G374:$AD374))</f>
        <v/>
      </c>
      <c r="F374" s="51" t="str">
        <f aca="false">IF($A374="","",N($E168)-N($E374))</f>
        <v/>
      </c>
      <c r="G374" s="51" t="str">
        <f aca="false">IF($A374="","",SUMIFS(工数明細!$G$3:$G$302,工数明細!$B$3:$B$302,$A374,工数明細!$I$3:$I$302,G$212))</f>
        <v/>
      </c>
      <c r="H374" s="51" t="str">
        <f aca="false">IF($A374="","",SUMIFS(工数明細!$G$3:$G$302,工数明細!$B$3:$B$302,$A374,工数明細!$I$3:$I$302,H$212))</f>
        <v/>
      </c>
      <c r="I374" s="51" t="str">
        <f aca="false">IF($A374="","",SUMIFS(工数明細!$G$3:$G$302,工数明細!$B$3:$B$302,$A374,工数明細!$I$3:$I$302,I$212))</f>
        <v/>
      </c>
      <c r="J374" s="51" t="str">
        <f aca="false">IF($A374="","",SUMIFS(工数明細!$G$3:$G$302,工数明細!$B$3:$B$302,$A374,工数明細!$I$3:$I$302,J$212))</f>
        <v/>
      </c>
      <c r="K374" s="51" t="str">
        <f aca="false">IF($A374="","",SUMIFS(工数明細!$G$3:$G$302,工数明細!$B$3:$B$302,$A374,工数明細!$I$3:$I$302,K$212))</f>
        <v/>
      </c>
      <c r="L374" s="51" t="str">
        <f aca="false">IF($A374="","",SUMIFS(工数明細!$G$3:$G$302,工数明細!$B$3:$B$302,$A374,工数明細!$I$3:$I$302,L$212))</f>
        <v/>
      </c>
      <c r="M374" s="51" t="str">
        <f aca="false">IF($A374="","",SUMIFS(工数明細!$G$3:$G$302,工数明細!$B$3:$B$302,$A374,工数明細!$I$3:$I$302,M$212))</f>
        <v/>
      </c>
      <c r="N374" s="51" t="str">
        <f aca="false">IF($A374="","",SUMIFS(工数明細!$G$3:$G$302,工数明細!$B$3:$B$302,$A374,工数明細!$I$3:$I$302,N$212))</f>
        <v/>
      </c>
      <c r="O374" s="51" t="str">
        <f aca="false">IF($A374="","",SUMIFS(工数明細!$G$3:$G$302,工数明細!$B$3:$B$302,$A374,工数明細!$I$3:$I$302,O$212))</f>
        <v/>
      </c>
      <c r="P374" s="51" t="str">
        <f aca="false">IF($A374="","",SUMIFS(工数明細!$G$3:$G$302,工数明細!$B$3:$B$302,$A374,工数明細!$I$3:$I$302,P$212))</f>
        <v/>
      </c>
      <c r="Q374" s="51" t="str">
        <f aca="false">IF($A374="","",SUMIFS(工数明細!$G$3:$G$302,工数明細!$B$3:$B$302,$A374,工数明細!$I$3:$I$302,Q$212))</f>
        <v/>
      </c>
      <c r="R374" s="51" t="str">
        <f aca="false">IF($A374="","",SUMIFS(工数明細!$G$3:$G$302,工数明細!$B$3:$B$302,$A374,工数明細!$I$3:$I$302,R$212))</f>
        <v/>
      </c>
      <c r="S374" s="51" t="str">
        <f aca="false">IF($A374="","",SUMIFS(工数明細!$G$3:$G$302,工数明細!$B$3:$B$302,$A374,工数明細!$I$3:$I$302,S$212))</f>
        <v/>
      </c>
      <c r="T374" s="51" t="str">
        <f aca="false">IF($A374="","",SUMIFS(工数明細!$G$3:$G$302,工数明細!$B$3:$B$302,$A374,工数明細!$I$3:$I$302,T$212))</f>
        <v/>
      </c>
      <c r="U374" s="51" t="str">
        <f aca="false">IF($A374="","",SUMIFS(工数明細!$G$3:$G$302,工数明細!$B$3:$B$302,$A374,工数明細!$I$3:$I$302,U$212))</f>
        <v/>
      </c>
      <c r="V374" s="51" t="str">
        <f aca="false">IF($A374="","",SUMIFS(工数明細!$G$3:$G$302,工数明細!$B$3:$B$302,$A374,工数明細!$I$3:$I$302,V$212))</f>
        <v/>
      </c>
      <c r="W374" s="51" t="str">
        <f aca="false">IF($A374="","",SUMIFS(工数明細!$G$3:$G$302,工数明細!$B$3:$B$302,$A374,工数明細!$I$3:$I$302,W$212))</f>
        <v/>
      </c>
      <c r="X374" s="51" t="str">
        <f aca="false">IF($A374="","",SUMIFS(工数明細!$G$3:$G$302,工数明細!$B$3:$B$302,$A374,工数明細!$I$3:$I$302,X$212))</f>
        <v/>
      </c>
      <c r="Y374" s="51" t="str">
        <f aca="false">IF($A374="","",SUMIFS(工数明細!$G$3:$G$302,工数明細!$B$3:$B$302,$A374,工数明細!$I$3:$I$302,Y$212))</f>
        <v/>
      </c>
      <c r="Z374" s="51" t="str">
        <f aca="false">IF($A374="","",SUMIFS(工数明細!$G$3:$G$302,工数明細!$B$3:$B$302,$A374,工数明細!$I$3:$I$302,Z$212))</f>
        <v/>
      </c>
      <c r="AA374" s="51" t="str">
        <f aca="false">IF($A374="","",SUMIFS(工数明細!$G$3:$G$302,工数明細!$B$3:$B$302,$A374,工数明細!$I$3:$I$302,AA$212))</f>
        <v/>
      </c>
      <c r="AB374" s="51" t="str">
        <f aca="false">IF($A374="","",SUMIFS(工数明細!$G$3:$G$302,工数明細!$B$3:$B$302,$A374,工数明細!$I$3:$I$302,AB$212))</f>
        <v/>
      </c>
      <c r="AC374" s="51" t="str">
        <f aca="false">IF($A374="","",SUMIFS(工数明細!$G$3:$G$302,工数明細!$B$3:$B$302,$A374,工数明細!$I$3:$I$302,AC$212))</f>
        <v/>
      </c>
      <c r="AD374" s="51" t="str">
        <f aca="false">IF($A374="","",SUMIFS(工数明細!$G$3:$G$302,工数明細!$B$3:$B$302,$A374,工数明細!$I$3:$I$302,AD$212))</f>
        <v/>
      </c>
    </row>
    <row r="375" customFormat="false" ht="15.75" hidden="false" customHeight="true" outlineLevel="0" collapsed="false">
      <c r="A375" s="28" t="str">
        <f aca="false">IF(案件管理!$A$164:$A$164="","",案件管理!$A$164:$A$164)</f>
        <v/>
      </c>
      <c r="B375" s="10" t="str">
        <f aca="false">IF($A375="","",案件管理!$B$164:$B$164)</f>
        <v/>
      </c>
      <c r="C375" s="10" t="str">
        <f aca="false">IF($A375="","",案件管理!$D$164:$D$164)</f>
        <v/>
      </c>
      <c r="D375" s="30" t="str">
        <f aca="false">IF($A375="","",案件管理!$AE$164:$AE$164)</f>
        <v/>
      </c>
      <c r="E375" s="30" t="str">
        <f aca="false">IF($A375="","",SUM($G375:$AD375))</f>
        <v/>
      </c>
      <c r="F375" s="51" t="str">
        <f aca="false">IF($A375="","",N($E169)-N($E375))</f>
        <v/>
      </c>
      <c r="G375" s="51" t="str">
        <f aca="false">IF($A375="","",SUMIFS(工数明細!$G$3:$G$302,工数明細!$B$3:$B$302,$A375,工数明細!$I$3:$I$302,G$212))</f>
        <v/>
      </c>
      <c r="H375" s="51" t="str">
        <f aca="false">IF($A375="","",SUMIFS(工数明細!$G$3:$G$302,工数明細!$B$3:$B$302,$A375,工数明細!$I$3:$I$302,H$212))</f>
        <v/>
      </c>
      <c r="I375" s="51" t="str">
        <f aca="false">IF($A375="","",SUMIFS(工数明細!$G$3:$G$302,工数明細!$B$3:$B$302,$A375,工数明細!$I$3:$I$302,I$212))</f>
        <v/>
      </c>
      <c r="J375" s="51" t="str">
        <f aca="false">IF($A375="","",SUMIFS(工数明細!$G$3:$G$302,工数明細!$B$3:$B$302,$A375,工数明細!$I$3:$I$302,J$212))</f>
        <v/>
      </c>
      <c r="K375" s="51" t="str">
        <f aca="false">IF($A375="","",SUMIFS(工数明細!$G$3:$G$302,工数明細!$B$3:$B$302,$A375,工数明細!$I$3:$I$302,K$212))</f>
        <v/>
      </c>
      <c r="L375" s="51" t="str">
        <f aca="false">IF($A375="","",SUMIFS(工数明細!$G$3:$G$302,工数明細!$B$3:$B$302,$A375,工数明細!$I$3:$I$302,L$212))</f>
        <v/>
      </c>
      <c r="M375" s="51" t="str">
        <f aca="false">IF($A375="","",SUMIFS(工数明細!$G$3:$G$302,工数明細!$B$3:$B$302,$A375,工数明細!$I$3:$I$302,M$212))</f>
        <v/>
      </c>
      <c r="N375" s="51" t="str">
        <f aca="false">IF($A375="","",SUMIFS(工数明細!$G$3:$G$302,工数明細!$B$3:$B$302,$A375,工数明細!$I$3:$I$302,N$212))</f>
        <v/>
      </c>
      <c r="O375" s="51" t="str">
        <f aca="false">IF($A375="","",SUMIFS(工数明細!$G$3:$G$302,工数明細!$B$3:$B$302,$A375,工数明細!$I$3:$I$302,O$212))</f>
        <v/>
      </c>
      <c r="P375" s="51" t="str">
        <f aca="false">IF($A375="","",SUMIFS(工数明細!$G$3:$G$302,工数明細!$B$3:$B$302,$A375,工数明細!$I$3:$I$302,P$212))</f>
        <v/>
      </c>
      <c r="Q375" s="51" t="str">
        <f aca="false">IF($A375="","",SUMIFS(工数明細!$G$3:$G$302,工数明細!$B$3:$B$302,$A375,工数明細!$I$3:$I$302,Q$212))</f>
        <v/>
      </c>
      <c r="R375" s="51" t="str">
        <f aca="false">IF($A375="","",SUMIFS(工数明細!$G$3:$G$302,工数明細!$B$3:$B$302,$A375,工数明細!$I$3:$I$302,R$212))</f>
        <v/>
      </c>
      <c r="S375" s="51" t="str">
        <f aca="false">IF($A375="","",SUMIFS(工数明細!$G$3:$G$302,工数明細!$B$3:$B$302,$A375,工数明細!$I$3:$I$302,S$212))</f>
        <v/>
      </c>
      <c r="T375" s="51" t="str">
        <f aca="false">IF($A375="","",SUMIFS(工数明細!$G$3:$G$302,工数明細!$B$3:$B$302,$A375,工数明細!$I$3:$I$302,T$212))</f>
        <v/>
      </c>
      <c r="U375" s="51" t="str">
        <f aca="false">IF($A375="","",SUMIFS(工数明細!$G$3:$G$302,工数明細!$B$3:$B$302,$A375,工数明細!$I$3:$I$302,U$212))</f>
        <v/>
      </c>
      <c r="V375" s="51" t="str">
        <f aca="false">IF($A375="","",SUMIFS(工数明細!$G$3:$G$302,工数明細!$B$3:$B$302,$A375,工数明細!$I$3:$I$302,V$212))</f>
        <v/>
      </c>
      <c r="W375" s="51" t="str">
        <f aca="false">IF($A375="","",SUMIFS(工数明細!$G$3:$G$302,工数明細!$B$3:$B$302,$A375,工数明細!$I$3:$I$302,W$212))</f>
        <v/>
      </c>
      <c r="X375" s="51" t="str">
        <f aca="false">IF($A375="","",SUMIFS(工数明細!$G$3:$G$302,工数明細!$B$3:$B$302,$A375,工数明細!$I$3:$I$302,X$212))</f>
        <v/>
      </c>
      <c r="Y375" s="51" t="str">
        <f aca="false">IF($A375="","",SUMIFS(工数明細!$G$3:$G$302,工数明細!$B$3:$B$302,$A375,工数明細!$I$3:$I$302,Y$212))</f>
        <v/>
      </c>
      <c r="Z375" s="51" t="str">
        <f aca="false">IF($A375="","",SUMIFS(工数明細!$G$3:$G$302,工数明細!$B$3:$B$302,$A375,工数明細!$I$3:$I$302,Z$212))</f>
        <v/>
      </c>
      <c r="AA375" s="51" t="str">
        <f aca="false">IF($A375="","",SUMIFS(工数明細!$G$3:$G$302,工数明細!$B$3:$B$302,$A375,工数明細!$I$3:$I$302,AA$212))</f>
        <v/>
      </c>
      <c r="AB375" s="51" t="str">
        <f aca="false">IF($A375="","",SUMIFS(工数明細!$G$3:$G$302,工数明細!$B$3:$B$302,$A375,工数明細!$I$3:$I$302,AB$212))</f>
        <v/>
      </c>
      <c r="AC375" s="51" t="str">
        <f aca="false">IF($A375="","",SUMIFS(工数明細!$G$3:$G$302,工数明細!$B$3:$B$302,$A375,工数明細!$I$3:$I$302,AC$212))</f>
        <v/>
      </c>
      <c r="AD375" s="51" t="str">
        <f aca="false">IF($A375="","",SUMIFS(工数明細!$G$3:$G$302,工数明細!$B$3:$B$302,$A375,工数明細!$I$3:$I$302,AD$212))</f>
        <v/>
      </c>
    </row>
    <row r="376" customFormat="false" ht="15.75" hidden="false" customHeight="true" outlineLevel="0" collapsed="false">
      <c r="A376" s="28" t="str">
        <f aca="false">IF(案件管理!$A$165:$A$165="","",案件管理!$A$165:$A$165)</f>
        <v/>
      </c>
      <c r="B376" s="10" t="str">
        <f aca="false">IF($A376="","",案件管理!$B$165:$B$165)</f>
        <v/>
      </c>
      <c r="C376" s="10" t="str">
        <f aca="false">IF($A376="","",案件管理!$D$165:$D$165)</f>
        <v/>
      </c>
      <c r="D376" s="30" t="str">
        <f aca="false">IF($A376="","",案件管理!$AE$165:$AE$165)</f>
        <v/>
      </c>
      <c r="E376" s="30" t="str">
        <f aca="false">IF($A376="","",SUM($G376:$AD376))</f>
        <v/>
      </c>
      <c r="F376" s="51" t="str">
        <f aca="false">IF($A376="","",N($E170)-N($E376))</f>
        <v/>
      </c>
      <c r="G376" s="51" t="str">
        <f aca="false">IF($A376="","",SUMIFS(工数明細!$G$3:$G$302,工数明細!$B$3:$B$302,$A376,工数明細!$I$3:$I$302,G$212))</f>
        <v/>
      </c>
      <c r="H376" s="51" t="str">
        <f aca="false">IF($A376="","",SUMIFS(工数明細!$G$3:$G$302,工数明細!$B$3:$B$302,$A376,工数明細!$I$3:$I$302,H$212))</f>
        <v/>
      </c>
      <c r="I376" s="51" t="str">
        <f aca="false">IF($A376="","",SUMIFS(工数明細!$G$3:$G$302,工数明細!$B$3:$B$302,$A376,工数明細!$I$3:$I$302,I$212))</f>
        <v/>
      </c>
      <c r="J376" s="51" t="str">
        <f aca="false">IF($A376="","",SUMIFS(工数明細!$G$3:$G$302,工数明細!$B$3:$B$302,$A376,工数明細!$I$3:$I$302,J$212))</f>
        <v/>
      </c>
      <c r="K376" s="51" t="str">
        <f aca="false">IF($A376="","",SUMIFS(工数明細!$G$3:$G$302,工数明細!$B$3:$B$302,$A376,工数明細!$I$3:$I$302,K$212))</f>
        <v/>
      </c>
      <c r="L376" s="51" t="str">
        <f aca="false">IF($A376="","",SUMIFS(工数明細!$G$3:$G$302,工数明細!$B$3:$B$302,$A376,工数明細!$I$3:$I$302,L$212))</f>
        <v/>
      </c>
      <c r="M376" s="51" t="str">
        <f aca="false">IF($A376="","",SUMIFS(工数明細!$G$3:$G$302,工数明細!$B$3:$B$302,$A376,工数明細!$I$3:$I$302,M$212))</f>
        <v/>
      </c>
      <c r="N376" s="51" t="str">
        <f aca="false">IF($A376="","",SUMIFS(工数明細!$G$3:$G$302,工数明細!$B$3:$B$302,$A376,工数明細!$I$3:$I$302,N$212))</f>
        <v/>
      </c>
      <c r="O376" s="51" t="str">
        <f aca="false">IF($A376="","",SUMIFS(工数明細!$G$3:$G$302,工数明細!$B$3:$B$302,$A376,工数明細!$I$3:$I$302,O$212))</f>
        <v/>
      </c>
      <c r="P376" s="51" t="str">
        <f aca="false">IF($A376="","",SUMIFS(工数明細!$G$3:$G$302,工数明細!$B$3:$B$302,$A376,工数明細!$I$3:$I$302,P$212))</f>
        <v/>
      </c>
      <c r="Q376" s="51" t="str">
        <f aca="false">IF($A376="","",SUMIFS(工数明細!$G$3:$G$302,工数明細!$B$3:$B$302,$A376,工数明細!$I$3:$I$302,Q$212))</f>
        <v/>
      </c>
      <c r="R376" s="51" t="str">
        <f aca="false">IF($A376="","",SUMIFS(工数明細!$G$3:$G$302,工数明細!$B$3:$B$302,$A376,工数明細!$I$3:$I$302,R$212))</f>
        <v/>
      </c>
      <c r="S376" s="51" t="str">
        <f aca="false">IF($A376="","",SUMIFS(工数明細!$G$3:$G$302,工数明細!$B$3:$B$302,$A376,工数明細!$I$3:$I$302,S$212))</f>
        <v/>
      </c>
      <c r="T376" s="51" t="str">
        <f aca="false">IF($A376="","",SUMIFS(工数明細!$G$3:$G$302,工数明細!$B$3:$B$302,$A376,工数明細!$I$3:$I$302,T$212))</f>
        <v/>
      </c>
      <c r="U376" s="51" t="str">
        <f aca="false">IF($A376="","",SUMIFS(工数明細!$G$3:$G$302,工数明細!$B$3:$B$302,$A376,工数明細!$I$3:$I$302,U$212))</f>
        <v/>
      </c>
      <c r="V376" s="51" t="str">
        <f aca="false">IF($A376="","",SUMIFS(工数明細!$G$3:$G$302,工数明細!$B$3:$B$302,$A376,工数明細!$I$3:$I$302,V$212))</f>
        <v/>
      </c>
      <c r="W376" s="51" t="str">
        <f aca="false">IF($A376="","",SUMIFS(工数明細!$G$3:$G$302,工数明細!$B$3:$B$302,$A376,工数明細!$I$3:$I$302,W$212))</f>
        <v/>
      </c>
      <c r="X376" s="51" t="str">
        <f aca="false">IF($A376="","",SUMIFS(工数明細!$G$3:$G$302,工数明細!$B$3:$B$302,$A376,工数明細!$I$3:$I$302,X$212))</f>
        <v/>
      </c>
      <c r="Y376" s="51" t="str">
        <f aca="false">IF($A376="","",SUMIFS(工数明細!$G$3:$G$302,工数明細!$B$3:$B$302,$A376,工数明細!$I$3:$I$302,Y$212))</f>
        <v/>
      </c>
      <c r="Z376" s="51" t="str">
        <f aca="false">IF($A376="","",SUMIFS(工数明細!$G$3:$G$302,工数明細!$B$3:$B$302,$A376,工数明細!$I$3:$I$302,Z$212))</f>
        <v/>
      </c>
      <c r="AA376" s="51" t="str">
        <f aca="false">IF($A376="","",SUMIFS(工数明細!$G$3:$G$302,工数明細!$B$3:$B$302,$A376,工数明細!$I$3:$I$302,AA$212))</f>
        <v/>
      </c>
      <c r="AB376" s="51" t="str">
        <f aca="false">IF($A376="","",SUMIFS(工数明細!$G$3:$G$302,工数明細!$B$3:$B$302,$A376,工数明細!$I$3:$I$302,AB$212))</f>
        <v/>
      </c>
      <c r="AC376" s="51" t="str">
        <f aca="false">IF($A376="","",SUMIFS(工数明細!$G$3:$G$302,工数明細!$B$3:$B$302,$A376,工数明細!$I$3:$I$302,AC$212))</f>
        <v/>
      </c>
      <c r="AD376" s="51" t="str">
        <f aca="false">IF($A376="","",SUMIFS(工数明細!$G$3:$G$302,工数明細!$B$3:$B$302,$A376,工数明細!$I$3:$I$302,AD$212))</f>
        <v/>
      </c>
    </row>
    <row r="377" customFormat="false" ht="15.75" hidden="false" customHeight="true" outlineLevel="0" collapsed="false">
      <c r="A377" s="28" t="str">
        <f aca="false">IF(案件管理!$A$166:$A$166="","",案件管理!$A$166:$A$166)</f>
        <v/>
      </c>
      <c r="B377" s="10" t="str">
        <f aca="false">IF($A377="","",案件管理!$B$166:$B$166)</f>
        <v/>
      </c>
      <c r="C377" s="10" t="str">
        <f aca="false">IF($A377="","",案件管理!$D$166:$D$166)</f>
        <v/>
      </c>
      <c r="D377" s="30" t="str">
        <f aca="false">IF($A377="","",案件管理!$AE$166:$AE$166)</f>
        <v/>
      </c>
      <c r="E377" s="30" t="str">
        <f aca="false">IF($A377="","",SUM($G377:$AD377))</f>
        <v/>
      </c>
      <c r="F377" s="51" t="str">
        <f aca="false">IF($A377="","",N($E171)-N($E377))</f>
        <v/>
      </c>
      <c r="G377" s="51" t="str">
        <f aca="false">IF($A377="","",SUMIFS(工数明細!$G$3:$G$302,工数明細!$B$3:$B$302,$A377,工数明細!$I$3:$I$302,G$212))</f>
        <v/>
      </c>
      <c r="H377" s="51" t="str">
        <f aca="false">IF($A377="","",SUMIFS(工数明細!$G$3:$G$302,工数明細!$B$3:$B$302,$A377,工数明細!$I$3:$I$302,H$212))</f>
        <v/>
      </c>
      <c r="I377" s="51" t="str">
        <f aca="false">IF($A377="","",SUMIFS(工数明細!$G$3:$G$302,工数明細!$B$3:$B$302,$A377,工数明細!$I$3:$I$302,I$212))</f>
        <v/>
      </c>
      <c r="J377" s="51" t="str">
        <f aca="false">IF($A377="","",SUMIFS(工数明細!$G$3:$G$302,工数明細!$B$3:$B$302,$A377,工数明細!$I$3:$I$302,J$212))</f>
        <v/>
      </c>
      <c r="K377" s="51" t="str">
        <f aca="false">IF($A377="","",SUMIFS(工数明細!$G$3:$G$302,工数明細!$B$3:$B$302,$A377,工数明細!$I$3:$I$302,K$212))</f>
        <v/>
      </c>
      <c r="L377" s="51" t="str">
        <f aca="false">IF($A377="","",SUMIFS(工数明細!$G$3:$G$302,工数明細!$B$3:$B$302,$A377,工数明細!$I$3:$I$302,L$212))</f>
        <v/>
      </c>
      <c r="M377" s="51" t="str">
        <f aca="false">IF($A377="","",SUMIFS(工数明細!$G$3:$G$302,工数明細!$B$3:$B$302,$A377,工数明細!$I$3:$I$302,M$212))</f>
        <v/>
      </c>
      <c r="N377" s="51" t="str">
        <f aca="false">IF($A377="","",SUMIFS(工数明細!$G$3:$G$302,工数明細!$B$3:$B$302,$A377,工数明細!$I$3:$I$302,N$212))</f>
        <v/>
      </c>
      <c r="O377" s="51" t="str">
        <f aca="false">IF($A377="","",SUMIFS(工数明細!$G$3:$G$302,工数明細!$B$3:$B$302,$A377,工数明細!$I$3:$I$302,O$212))</f>
        <v/>
      </c>
      <c r="P377" s="51" t="str">
        <f aca="false">IF($A377="","",SUMIFS(工数明細!$G$3:$G$302,工数明細!$B$3:$B$302,$A377,工数明細!$I$3:$I$302,P$212))</f>
        <v/>
      </c>
      <c r="Q377" s="51" t="str">
        <f aca="false">IF($A377="","",SUMIFS(工数明細!$G$3:$G$302,工数明細!$B$3:$B$302,$A377,工数明細!$I$3:$I$302,Q$212))</f>
        <v/>
      </c>
      <c r="R377" s="51" t="str">
        <f aca="false">IF($A377="","",SUMIFS(工数明細!$G$3:$G$302,工数明細!$B$3:$B$302,$A377,工数明細!$I$3:$I$302,R$212))</f>
        <v/>
      </c>
      <c r="S377" s="51" t="str">
        <f aca="false">IF($A377="","",SUMIFS(工数明細!$G$3:$G$302,工数明細!$B$3:$B$302,$A377,工数明細!$I$3:$I$302,S$212))</f>
        <v/>
      </c>
      <c r="T377" s="51" t="str">
        <f aca="false">IF($A377="","",SUMIFS(工数明細!$G$3:$G$302,工数明細!$B$3:$B$302,$A377,工数明細!$I$3:$I$302,T$212))</f>
        <v/>
      </c>
      <c r="U377" s="51" t="str">
        <f aca="false">IF($A377="","",SUMIFS(工数明細!$G$3:$G$302,工数明細!$B$3:$B$302,$A377,工数明細!$I$3:$I$302,U$212))</f>
        <v/>
      </c>
      <c r="V377" s="51" t="str">
        <f aca="false">IF($A377="","",SUMIFS(工数明細!$G$3:$G$302,工数明細!$B$3:$B$302,$A377,工数明細!$I$3:$I$302,V$212))</f>
        <v/>
      </c>
      <c r="W377" s="51" t="str">
        <f aca="false">IF($A377="","",SUMIFS(工数明細!$G$3:$G$302,工数明細!$B$3:$B$302,$A377,工数明細!$I$3:$I$302,W$212))</f>
        <v/>
      </c>
      <c r="X377" s="51" t="str">
        <f aca="false">IF($A377="","",SUMIFS(工数明細!$G$3:$G$302,工数明細!$B$3:$B$302,$A377,工数明細!$I$3:$I$302,X$212))</f>
        <v/>
      </c>
      <c r="Y377" s="51" t="str">
        <f aca="false">IF($A377="","",SUMIFS(工数明細!$G$3:$G$302,工数明細!$B$3:$B$302,$A377,工数明細!$I$3:$I$302,Y$212))</f>
        <v/>
      </c>
      <c r="Z377" s="51" t="str">
        <f aca="false">IF($A377="","",SUMIFS(工数明細!$G$3:$G$302,工数明細!$B$3:$B$302,$A377,工数明細!$I$3:$I$302,Z$212))</f>
        <v/>
      </c>
      <c r="AA377" s="51" t="str">
        <f aca="false">IF($A377="","",SUMIFS(工数明細!$G$3:$G$302,工数明細!$B$3:$B$302,$A377,工数明細!$I$3:$I$302,AA$212))</f>
        <v/>
      </c>
      <c r="AB377" s="51" t="str">
        <f aca="false">IF($A377="","",SUMIFS(工数明細!$G$3:$G$302,工数明細!$B$3:$B$302,$A377,工数明細!$I$3:$I$302,AB$212))</f>
        <v/>
      </c>
      <c r="AC377" s="51" t="str">
        <f aca="false">IF($A377="","",SUMIFS(工数明細!$G$3:$G$302,工数明細!$B$3:$B$302,$A377,工数明細!$I$3:$I$302,AC$212))</f>
        <v/>
      </c>
      <c r="AD377" s="51" t="str">
        <f aca="false">IF($A377="","",SUMIFS(工数明細!$G$3:$G$302,工数明細!$B$3:$B$302,$A377,工数明細!$I$3:$I$302,AD$212))</f>
        <v/>
      </c>
    </row>
    <row r="378" customFormat="false" ht="15.75" hidden="false" customHeight="true" outlineLevel="0" collapsed="false">
      <c r="A378" s="28" t="str">
        <f aca="false">IF(案件管理!$A$167:$A$167="","",案件管理!$A$167:$A$167)</f>
        <v/>
      </c>
      <c r="B378" s="10" t="str">
        <f aca="false">IF($A378="","",案件管理!$B$167:$B$167)</f>
        <v/>
      </c>
      <c r="C378" s="10" t="str">
        <f aca="false">IF($A378="","",案件管理!$D$167:$D$167)</f>
        <v/>
      </c>
      <c r="D378" s="30" t="str">
        <f aca="false">IF($A378="","",案件管理!$AE$167:$AE$167)</f>
        <v/>
      </c>
      <c r="E378" s="30" t="str">
        <f aca="false">IF($A378="","",SUM($G378:$AD378))</f>
        <v/>
      </c>
      <c r="F378" s="51" t="str">
        <f aca="false">IF($A378="","",N($E172)-N($E378))</f>
        <v/>
      </c>
      <c r="G378" s="51" t="str">
        <f aca="false">IF($A378="","",SUMIFS(工数明細!$G$3:$G$302,工数明細!$B$3:$B$302,$A378,工数明細!$I$3:$I$302,G$212))</f>
        <v/>
      </c>
      <c r="H378" s="51" t="str">
        <f aca="false">IF($A378="","",SUMIFS(工数明細!$G$3:$G$302,工数明細!$B$3:$B$302,$A378,工数明細!$I$3:$I$302,H$212))</f>
        <v/>
      </c>
      <c r="I378" s="51" t="str">
        <f aca="false">IF($A378="","",SUMIFS(工数明細!$G$3:$G$302,工数明細!$B$3:$B$302,$A378,工数明細!$I$3:$I$302,I$212))</f>
        <v/>
      </c>
      <c r="J378" s="51" t="str">
        <f aca="false">IF($A378="","",SUMIFS(工数明細!$G$3:$G$302,工数明細!$B$3:$B$302,$A378,工数明細!$I$3:$I$302,J$212))</f>
        <v/>
      </c>
      <c r="K378" s="51" t="str">
        <f aca="false">IF($A378="","",SUMIFS(工数明細!$G$3:$G$302,工数明細!$B$3:$B$302,$A378,工数明細!$I$3:$I$302,K$212))</f>
        <v/>
      </c>
      <c r="L378" s="51" t="str">
        <f aca="false">IF($A378="","",SUMIFS(工数明細!$G$3:$G$302,工数明細!$B$3:$B$302,$A378,工数明細!$I$3:$I$302,L$212))</f>
        <v/>
      </c>
      <c r="M378" s="51" t="str">
        <f aca="false">IF($A378="","",SUMIFS(工数明細!$G$3:$G$302,工数明細!$B$3:$B$302,$A378,工数明細!$I$3:$I$302,M$212))</f>
        <v/>
      </c>
      <c r="N378" s="51" t="str">
        <f aca="false">IF($A378="","",SUMIFS(工数明細!$G$3:$G$302,工数明細!$B$3:$B$302,$A378,工数明細!$I$3:$I$302,N$212))</f>
        <v/>
      </c>
      <c r="O378" s="51" t="str">
        <f aca="false">IF($A378="","",SUMIFS(工数明細!$G$3:$G$302,工数明細!$B$3:$B$302,$A378,工数明細!$I$3:$I$302,O$212))</f>
        <v/>
      </c>
      <c r="P378" s="51" t="str">
        <f aca="false">IF($A378="","",SUMIFS(工数明細!$G$3:$G$302,工数明細!$B$3:$B$302,$A378,工数明細!$I$3:$I$302,P$212))</f>
        <v/>
      </c>
      <c r="Q378" s="51" t="str">
        <f aca="false">IF($A378="","",SUMIFS(工数明細!$G$3:$G$302,工数明細!$B$3:$B$302,$A378,工数明細!$I$3:$I$302,Q$212))</f>
        <v/>
      </c>
      <c r="R378" s="51" t="str">
        <f aca="false">IF($A378="","",SUMIFS(工数明細!$G$3:$G$302,工数明細!$B$3:$B$302,$A378,工数明細!$I$3:$I$302,R$212))</f>
        <v/>
      </c>
      <c r="S378" s="51" t="str">
        <f aca="false">IF($A378="","",SUMIFS(工数明細!$G$3:$G$302,工数明細!$B$3:$B$302,$A378,工数明細!$I$3:$I$302,S$212))</f>
        <v/>
      </c>
      <c r="T378" s="51" t="str">
        <f aca="false">IF($A378="","",SUMIFS(工数明細!$G$3:$G$302,工数明細!$B$3:$B$302,$A378,工数明細!$I$3:$I$302,T$212))</f>
        <v/>
      </c>
      <c r="U378" s="51" t="str">
        <f aca="false">IF($A378="","",SUMIFS(工数明細!$G$3:$G$302,工数明細!$B$3:$B$302,$A378,工数明細!$I$3:$I$302,U$212))</f>
        <v/>
      </c>
      <c r="V378" s="51" t="str">
        <f aca="false">IF($A378="","",SUMIFS(工数明細!$G$3:$G$302,工数明細!$B$3:$B$302,$A378,工数明細!$I$3:$I$302,V$212))</f>
        <v/>
      </c>
      <c r="W378" s="51" t="str">
        <f aca="false">IF($A378="","",SUMIFS(工数明細!$G$3:$G$302,工数明細!$B$3:$B$302,$A378,工数明細!$I$3:$I$302,W$212))</f>
        <v/>
      </c>
      <c r="X378" s="51" t="str">
        <f aca="false">IF($A378="","",SUMIFS(工数明細!$G$3:$G$302,工数明細!$B$3:$B$302,$A378,工数明細!$I$3:$I$302,X$212))</f>
        <v/>
      </c>
      <c r="Y378" s="51" t="str">
        <f aca="false">IF($A378="","",SUMIFS(工数明細!$G$3:$G$302,工数明細!$B$3:$B$302,$A378,工数明細!$I$3:$I$302,Y$212))</f>
        <v/>
      </c>
      <c r="Z378" s="51" t="str">
        <f aca="false">IF($A378="","",SUMIFS(工数明細!$G$3:$G$302,工数明細!$B$3:$B$302,$A378,工数明細!$I$3:$I$302,Z$212))</f>
        <v/>
      </c>
      <c r="AA378" s="51" t="str">
        <f aca="false">IF($A378="","",SUMIFS(工数明細!$G$3:$G$302,工数明細!$B$3:$B$302,$A378,工数明細!$I$3:$I$302,AA$212))</f>
        <v/>
      </c>
      <c r="AB378" s="51" t="str">
        <f aca="false">IF($A378="","",SUMIFS(工数明細!$G$3:$G$302,工数明細!$B$3:$B$302,$A378,工数明細!$I$3:$I$302,AB$212))</f>
        <v/>
      </c>
      <c r="AC378" s="51" t="str">
        <f aca="false">IF($A378="","",SUMIFS(工数明細!$G$3:$G$302,工数明細!$B$3:$B$302,$A378,工数明細!$I$3:$I$302,AC$212))</f>
        <v/>
      </c>
      <c r="AD378" s="51" t="str">
        <f aca="false">IF($A378="","",SUMIFS(工数明細!$G$3:$G$302,工数明細!$B$3:$B$302,$A378,工数明細!$I$3:$I$302,AD$212))</f>
        <v/>
      </c>
    </row>
    <row r="379" customFormat="false" ht="15.75" hidden="false" customHeight="true" outlineLevel="0" collapsed="false">
      <c r="A379" s="28" t="str">
        <f aca="false">IF(案件管理!$A$168:$A$168="","",案件管理!$A$168:$A$168)</f>
        <v/>
      </c>
      <c r="B379" s="10" t="str">
        <f aca="false">IF($A379="","",案件管理!$B$168:$B$168)</f>
        <v/>
      </c>
      <c r="C379" s="10" t="str">
        <f aca="false">IF($A379="","",案件管理!$D$168:$D$168)</f>
        <v/>
      </c>
      <c r="D379" s="30" t="str">
        <f aca="false">IF($A379="","",案件管理!$AE$168:$AE$168)</f>
        <v/>
      </c>
      <c r="E379" s="30" t="str">
        <f aca="false">IF($A379="","",SUM($G379:$AD379))</f>
        <v/>
      </c>
      <c r="F379" s="51" t="str">
        <f aca="false">IF($A379="","",N($E173)-N($E379))</f>
        <v/>
      </c>
      <c r="G379" s="51" t="str">
        <f aca="false">IF($A379="","",SUMIFS(工数明細!$G$3:$G$302,工数明細!$B$3:$B$302,$A379,工数明細!$I$3:$I$302,G$212))</f>
        <v/>
      </c>
      <c r="H379" s="51" t="str">
        <f aca="false">IF($A379="","",SUMIFS(工数明細!$G$3:$G$302,工数明細!$B$3:$B$302,$A379,工数明細!$I$3:$I$302,H$212))</f>
        <v/>
      </c>
      <c r="I379" s="51" t="str">
        <f aca="false">IF($A379="","",SUMIFS(工数明細!$G$3:$G$302,工数明細!$B$3:$B$302,$A379,工数明細!$I$3:$I$302,I$212))</f>
        <v/>
      </c>
      <c r="J379" s="51" t="str">
        <f aca="false">IF($A379="","",SUMIFS(工数明細!$G$3:$G$302,工数明細!$B$3:$B$302,$A379,工数明細!$I$3:$I$302,J$212))</f>
        <v/>
      </c>
      <c r="K379" s="51" t="str">
        <f aca="false">IF($A379="","",SUMIFS(工数明細!$G$3:$G$302,工数明細!$B$3:$B$302,$A379,工数明細!$I$3:$I$302,K$212))</f>
        <v/>
      </c>
      <c r="L379" s="51" t="str">
        <f aca="false">IF($A379="","",SUMIFS(工数明細!$G$3:$G$302,工数明細!$B$3:$B$302,$A379,工数明細!$I$3:$I$302,L$212))</f>
        <v/>
      </c>
      <c r="M379" s="51" t="str">
        <f aca="false">IF($A379="","",SUMIFS(工数明細!$G$3:$G$302,工数明細!$B$3:$B$302,$A379,工数明細!$I$3:$I$302,M$212))</f>
        <v/>
      </c>
      <c r="N379" s="51" t="str">
        <f aca="false">IF($A379="","",SUMIFS(工数明細!$G$3:$G$302,工数明細!$B$3:$B$302,$A379,工数明細!$I$3:$I$302,N$212))</f>
        <v/>
      </c>
      <c r="O379" s="51" t="str">
        <f aca="false">IF($A379="","",SUMIFS(工数明細!$G$3:$G$302,工数明細!$B$3:$B$302,$A379,工数明細!$I$3:$I$302,O$212))</f>
        <v/>
      </c>
      <c r="P379" s="51" t="str">
        <f aca="false">IF($A379="","",SUMIFS(工数明細!$G$3:$G$302,工数明細!$B$3:$B$302,$A379,工数明細!$I$3:$I$302,P$212))</f>
        <v/>
      </c>
      <c r="Q379" s="51" t="str">
        <f aca="false">IF($A379="","",SUMIFS(工数明細!$G$3:$G$302,工数明細!$B$3:$B$302,$A379,工数明細!$I$3:$I$302,Q$212))</f>
        <v/>
      </c>
      <c r="R379" s="51" t="str">
        <f aca="false">IF($A379="","",SUMIFS(工数明細!$G$3:$G$302,工数明細!$B$3:$B$302,$A379,工数明細!$I$3:$I$302,R$212))</f>
        <v/>
      </c>
      <c r="S379" s="51" t="str">
        <f aca="false">IF($A379="","",SUMIFS(工数明細!$G$3:$G$302,工数明細!$B$3:$B$302,$A379,工数明細!$I$3:$I$302,S$212))</f>
        <v/>
      </c>
      <c r="T379" s="51" t="str">
        <f aca="false">IF($A379="","",SUMIFS(工数明細!$G$3:$G$302,工数明細!$B$3:$B$302,$A379,工数明細!$I$3:$I$302,T$212))</f>
        <v/>
      </c>
      <c r="U379" s="51" t="str">
        <f aca="false">IF($A379="","",SUMIFS(工数明細!$G$3:$G$302,工数明細!$B$3:$B$302,$A379,工数明細!$I$3:$I$302,U$212))</f>
        <v/>
      </c>
      <c r="V379" s="51" t="str">
        <f aca="false">IF($A379="","",SUMIFS(工数明細!$G$3:$G$302,工数明細!$B$3:$B$302,$A379,工数明細!$I$3:$I$302,V$212))</f>
        <v/>
      </c>
      <c r="W379" s="51" t="str">
        <f aca="false">IF($A379="","",SUMIFS(工数明細!$G$3:$G$302,工数明細!$B$3:$B$302,$A379,工数明細!$I$3:$I$302,W$212))</f>
        <v/>
      </c>
      <c r="X379" s="51" t="str">
        <f aca="false">IF($A379="","",SUMIFS(工数明細!$G$3:$G$302,工数明細!$B$3:$B$302,$A379,工数明細!$I$3:$I$302,X$212))</f>
        <v/>
      </c>
      <c r="Y379" s="51" t="str">
        <f aca="false">IF($A379="","",SUMIFS(工数明細!$G$3:$G$302,工数明細!$B$3:$B$302,$A379,工数明細!$I$3:$I$302,Y$212))</f>
        <v/>
      </c>
      <c r="Z379" s="51" t="str">
        <f aca="false">IF($A379="","",SUMIFS(工数明細!$G$3:$G$302,工数明細!$B$3:$B$302,$A379,工数明細!$I$3:$I$302,Z$212))</f>
        <v/>
      </c>
      <c r="AA379" s="51" t="str">
        <f aca="false">IF($A379="","",SUMIFS(工数明細!$G$3:$G$302,工数明細!$B$3:$B$302,$A379,工数明細!$I$3:$I$302,AA$212))</f>
        <v/>
      </c>
      <c r="AB379" s="51" t="str">
        <f aca="false">IF($A379="","",SUMIFS(工数明細!$G$3:$G$302,工数明細!$B$3:$B$302,$A379,工数明細!$I$3:$I$302,AB$212))</f>
        <v/>
      </c>
      <c r="AC379" s="51" t="str">
        <f aca="false">IF($A379="","",SUMIFS(工数明細!$G$3:$G$302,工数明細!$B$3:$B$302,$A379,工数明細!$I$3:$I$302,AC$212))</f>
        <v/>
      </c>
      <c r="AD379" s="51" t="str">
        <f aca="false">IF($A379="","",SUMIFS(工数明細!$G$3:$G$302,工数明細!$B$3:$B$302,$A379,工数明細!$I$3:$I$302,AD$212))</f>
        <v/>
      </c>
    </row>
    <row r="380" customFormat="false" ht="15.75" hidden="false" customHeight="true" outlineLevel="0" collapsed="false">
      <c r="A380" s="28" t="str">
        <f aca="false">IF(案件管理!$A$169:$A$169="","",案件管理!$A$169:$A$169)</f>
        <v/>
      </c>
      <c r="B380" s="10" t="str">
        <f aca="false">IF($A380="","",案件管理!$B$169:$B$169)</f>
        <v/>
      </c>
      <c r="C380" s="10" t="str">
        <f aca="false">IF($A380="","",案件管理!$D$169:$D$169)</f>
        <v/>
      </c>
      <c r="D380" s="30" t="str">
        <f aca="false">IF($A380="","",案件管理!$AE$169:$AE$169)</f>
        <v/>
      </c>
      <c r="E380" s="30" t="str">
        <f aca="false">IF($A380="","",SUM($G380:$AD380))</f>
        <v/>
      </c>
      <c r="F380" s="51" t="str">
        <f aca="false">IF($A380="","",N($E174)-N($E380))</f>
        <v/>
      </c>
      <c r="G380" s="51" t="str">
        <f aca="false">IF($A380="","",SUMIFS(工数明細!$G$3:$G$302,工数明細!$B$3:$B$302,$A380,工数明細!$I$3:$I$302,G$212))</f>
        <v/>
      </c>
      <c r="H380" s="51" t="str">
        <f aca="false">IF($A380="","",SUMIFS(工数明細!$G$3:$G$302,工数明細!$B$3:$B$302,$A380,工数明細!$I$3:$I$302,H$212))</f>
        <v/>
      </c>
      <c r="I380" s="51" t="str">
        <f aca="false">IF($A380="","",SUMIFS(工数明細!$G$3:$G$302,工数明細!$B$3:$B$302,$A380,工数明細!$I$3:$I$302,I$212))</f>
        <v/>
      </c>
      <c r="J380" s="51" t="str">
        <f aca="false">IF($A380="","",SUMIFS(工数明細!$G$3:$G$302,工数明細!$B$3:$B$302,$A380,工数明細!$I$3:$I$302,J$212))</f>
        <v/>
      </c>
      <c r="K380" s="51" t="str">
        <f aca="false">IF($A380="","",SUMIFS(工数明細!$G$3:$G$302,工数明細!$B$3:$B$302,$A380,工数明細!$I$3:$I$302,K$212))</f>
        <v/>
      </c>
      <c r="L380" s="51" t="str">
        <f aca="false">IF($A380="","",SUMIFS(工数明細!$G$3:$G$302,工数明細!$B$3:$B$302,$A380,工数明細!$I$3:$I$302,L$212))</f>
        <v/>
      </c>
      <c r="M380" s="51" t="str">
        <f aca="false">IF($A380="","",SUMIFS(工数明細!$G$3:$G$302,工数明細!$B$3:$B$302,$A380,工数明細!$I$3:$I$302,M$212))</f>
        <v/>
      </c>
      <c r="N380" s="51" t="str">
        <f aca="false">IF($A380="","",SUMIFS(工数明細!$G$3:$G$302,工数明細!$B$3:$B$302,$A380,工数明細!$I$3:$I$302,N$212))</f>
        <v/>
      </c>
      <c r="O380" s="51" t="str">
        <f aca="false">IF($A380="","",SUMIFS(工数明細!$G$3:$G$302,工数明細!$B$3:$B$302,$A380,工数明細!$I$3:$I$302,O$212))</f>
        <v/>
      </c>
      <c r="P380" s="51" t="str">
        <f aca="false">IF($A380="","",SUMIFS(工数明細!$G$3:$G$302,工数明細!$B$3:$B$302,$A380,工数明細!$I$3:$I$302,P$212))</f>
        <v/>
      </c>
      <c r="Q380" s="51" t="str">
        <f aca="false">IF($A380="","",SUMIFS(工数明細!$G$3:$G$302,工数明細!$B$3:$B$302,$A380,工数明細!$I$3:$I$302,Q$212))</f>
        <v/>
      </c>
      <c r="R380" s="51" t="str">
        <f aca="false">IF($A380="","",SUMIFS(工数明細!$G$3:$G$302,工数明細!$B$3:$B$302,$A380,工数明細!$I$3:$I$302,R$212))</f>
        <v/>
      </c>
      <c r="S380" s="51" t="str">
        <f aca="false">IF($A380="","",SUMIFS(工数明細!$G$3:$G$302,工数明細!$B$3:$B$302,$A380,工数明細!$I$3:$I$302,S$212))</f>
        <v/>
      </c>
      <c r="T380" s="51" t="str">
        <f aca="false">IF($A380="","",SUMIFS(工数明細!$G$3:$G$302,工数明細!$B$3:$B$302,$A380,工数明細!$I$3:$I$302,T$212))</f>
        <v/>
      </c>
      <c r="U380" s="51" t="str">
        <f aca="false">IF($A380="","",SUMIFS(工数明細!$G$3:$G$302,工数明細!$B$3:$B$302,$A380,工数明細!$I$3:$I$302,U$212))</f>
        <v/>
      </c>
      <c r="V380" s="51" t="str">
        <f aca="false">IF($A380="","",SUMIFS(工数明細!$G$3:$G$302,工数明細!$B$3:$B$302,$A380,工数明細!$I$3:$I$302,V$212))</f>
        <v/>
      </c>
      <c r="W380" s="51" t="str">
        <f aca="false">IF($A380="","",SUMIFS(工数明細!$G$3:$G$302,工数明細!$B$3:$B$302,$A380,工数明細!$I$3:$I$302,W$212))</f>
        <v/>
      </c>
      <c r="X380" s="51" t="str">
        <f aca="false">IF($A380="","",SUMIFS(工数明細!$G$3:$G$302,工数明細!$B$3:$B$302,$A380,工数明細!$I$3:$I$302,X$212))</f>
        <v/>
      </c>
      <c r="Y380" s="51" t="str">
        <f aca="false">IF($A380="","",SUMIFS(工数明細!$G$3:$G$302,工数明細!$B$3:$B$302,$A380,工数明細!$I$3:$I$302,Y$212))</f>
        <v/>
      </c>
      <c r="Z380" s="51" t="str">
        <f aca="false">IF($A380="","",SUMIFS(工数明細!$G$3:$G$302,工数明細!$B$3:$B$302,$A380,工数明細!$I$3:$I$302,Z$212))</f>
        <v/>
      </c>
      <c r="AA380" s="51" t="str">
        <f aca="false">IF($A380="","",SUMIFS(工数明細!$G$3:$G$302,工数明細!$B$3:$B$302,$A380,工数明細!$I$3:$I$302,AA$212))</f>
        <v/>
      </c>
      <c r="AB380" s="51" t="str">
        <f aca="false">IF($A380="","",SUMIFS(工数明細!$G$3:$G$302,工数明細!$B$3:$B$302,$A380,工数明細!$I$3:$I$302,AB$212))</f>
        <v/>
      </c>
      <c r="AC380" s="51" t="str">
        <f aca="false">IF($A380="","",SUMIFS(工数明細!$G$3:$G$302,工数明細!$B$3:$B$302,$A380,工数明細!$I$3:$I$302,AC$212))</f>
        <v/>
      </c>
      <c r="AD380" s="51" t="str">
        <f aca="false">IF($A380="","",SUMIFS(工数明細!$G$3:$G$302,工数明細!$B$3:$B$302,$A380,工数明細!$I$3:$I$302,AD$212))</f>
        <v/>
      </c>
    </row>
    <row r="381" customFormat="false" ht="15.75" hidden="false" customHeight="true" outlineLevel="0" collapsed="false">
      <c r="A381" s="28" t="str">
        <f aca="false">IF(案件管理!$A$170:$A$170="","",案件管理!$A$170:$A$170)</f>
        <v/>
      </c>
      <c r="B381" s="10" t="str">
        <f aca="false">IF($A381="","",案件管理!$B$170:$B$170)</f>
        <v/>
      </c>
      <c r="C381" s="10" t="str">
        <f aca="false">IF($A381="","",案件管理!$D$170:$D$170)</f>
        <v/>
      </c>
      <c r="D381" s="30" t="str">
        <f aca="false">IF($A381="","",案件管理!$AE$170:$AE$170)</f>
        <v/>
      </c>
      <c r="E381" s="30" t="str">
        <f aca="false">IF($A381="","",SUM($G381:$AD381))</f>
        <v/>
      </c>
      <c r="F381" s="51" t="str">
        <f aca="false">IF($A381="","",N($E175)-N($E381))</f>
        <v/>
      </c>
      <c r="G381" s="51" t="str">
        <f aca="false">IF($A381="","",SUMIFS(工数明細!$G$3:$G$302,工数明細!$B$3:$B$302,$A381,工数明細!$I$3:$I$302,G$212))</f>
        <v/>
      </c>
      <c r="H381" s="51" t="str">
        <f aca="false">IF($A381="","",SUMIFS(工数明細!$G$3:$G$302,工数明細!$B$3:$B$302,$A381,工数明細!$I$3:$I$302,H$212))</f>
        <v/>
      </c>
      <c r="I381" s="51" t="str">
        <f aca="false">IF($A381="","",SUMIFS(工数明細!$G$3:$G$302,工数明細!$B$3:$B$302,$A381,工数明細!$I$3:$I$302,I$212))</f>
        <v/>
      </c>
      <c r="J381" s="51" t="str">
        <f aca="false">IF($A381="","",SUMIFS(工数明細!$G$3:$G$302,工数明細!$B$3:$B$302,$A381,工数明細!$I$3:$I$302,J$212))</f>
        <v/>
      </c>
      <c r="K381" s="51" t="str">
        <f aca="false">IF($A381="","",SUMIFS(工数明細!$G$3:$G$302,工数明細!$B$3:$B$302,$A381,工数明細!$I$3:$I$302,K$212))</f>
        <v/>
      </c>
      <c r="L381" s="51" t="str">
        <f aca="false">IF($A381="","",SUMIFS(工数明細!$G$3:$G$302,工数明細!$B$3:$B$302,$A381,工数明細!$I$3:$I$302,L$212))</f>
        <v/>
      </c>
      <c r="M381" s="51" t="str">
        <f aca="false">IF($A381="","",SUMIFS(工数明細!$G$3:$G$302,工数明細!$B$3:$B$302,$A381,工数明細!$I$3:$I$302,M$212))</f>
        <v/>
      </c>
      <c r="N381" s="51" t="str">
        <f aca="false">IF($A381="","",SUMIFS(工数明細!$G$3:$G$302,工数明細!$B$3:$B$302,$A381,工数明細!$I$3:$I$302,N$212))</f>
        <v/>
      </c>
      <c r="O381" s="51" t="str">
        <f aca="false">IF($A381="","",SUMIFS(工数明細!$G$3:$G$302,工数明細!$B$3:$B$302,$A381,工数明細!$I$3:$I$302,O$212))</f>
        <v/>
      </c>
      <c r="P381" s="51" t="str">
        <f aca="false">IF($A381="","",SUMIFS(工数明細!$G$3:$G$302,工数明細!$B$3:$B$302,$A381,工数明細!$I$3:$I$302,P$212))</f>
        <v/>
      </c>
      <c r="Q381" s="51" t="str">
        <f aca="false">IF($A381="","",SUMIFS(工数明細!$G$3:$G$302,工数明細!$B$3:$B$302,$A381,工数明細!$I$3:$I$302,Q$212))</f>
        <v/>
      </c>
      <c r="R381" s="51" t="str">
        <f aca="false">IF($A381="","",SUMIFS(工数明細!$G$3:$G$302,工数明細!$B$3:$B$302,$A381,工数明細!$I$3:$I$302,R$212))</f>
        <v/>
      </c>
      <c r="S381" s="51" t="str">
        <f aca="false">IF($A381="","",SUMIFS(工数明細!$G$3:$G$302,工数明細!$B$3:$B$302,$A381,工数明細!$I$3:$I$302,S$212))</f>
        <v/>
      </c>
      <c r="T381" s="51" t="str">
        <f aca="false">IF($A381="","",SUMIFS(工数明細!$G$3:$G$302,工数明細!$B$3:$B$302,$A381,工数明細!$I$3:$I$302,T$212))</f>
        <v/>
      </c>
      <c r="U381" s="51" t="str">
        <f aca="false">IF($A381="","",SUMIFS(工数明細!$G$3:$G$302,工数明細!$B$3:$B$302,$A381,工数明細!$I$3:$I$302,U$212))</f>
        <v/>
      </c>
      <c r="V381" s="51" t="str">
        <f aca="false">IF($A381="","",SUMIFS(工数明細!$G$3:$G$302,工数明細!$B$3:$B$302,$A381,工数明細!$I$3:$I$302,V$212))</f>
        <v/>
      </c>
      <c r="W381" s="51" t="str">
        <f aca="false">IF($A381="","",SUMIFS(工数明細!$G$3:$G$302,工数明細!$B$3:$B$302,$A381,工数明細!$I$3:$I$302,W$212))</f>
        <v/>
      </c>
      <c r="X381" s="51" t="str">
        <f aca="false">IF($A381="","",SUMIFS(工数明細!$G$3:$G$302,工数明細!$B$3:$B$302,$A381,工数明細!$I$3:$I$302,X$212))</f>
        <v/>
      </c>
      <c r="Y381" s="51" t="str">
        <f aca="false">IF($A381="","",SUMIFS(工数明細!$G$3:$G$302,工数明細!$B$3:$B$302,$A381,工数明細!$I$3:$I$302,Y$212))</f>
        <v/>
      </c>
      <c r="Z381" s="51" t="str">
        <f aca="false">IF($A381="","",SUMIFS(工数明細!$G$3:$G$302,工数明細!$B$3:$B$302,$A381,工数明細!$I$3:$I$302,Z$212))</f>
        <v/>
      </c>
      <c r="AA381" s="51" t="str">
        <f aca="false">IF($A381="","",SUMIFS(工数明細!$G$3:$G$302,工数明細!$B$3:$B$302,$A381,工数明細!$I$3:$I$302,AA$212))</f>
        <v/>
      </c>
      <c r="AB381" s="51" t="str">
        <f aca="false">IF($A381="","",SUMIFS(工数明細!$G$3:$G$302,工数明細!$B$3:$B$302,$A381,工数明細!$I$3:$I$302,AB$212))</f>
        <v/>
      </c>
      <c r="AC381" s="51" t="str">
        <f aca="false">IF($A381="","",SUMIFS(工数明細!$G$3:$G$302,工数明細!$B$3:$B$302,$A381,工数明細!$I$3:$I$302,AC$212))</f>
        <v/>
      </c>
      <c r="AD381" s="51" t="str">
        <f aca="false">IF($A381="","",SUMIFS(工数明細!$G$3:$G$302,工数明細!$B$3:$B$302,$A381,工数明細!$I$3:$I$302,AD$212))</f>
        <v/>
      </c>
    </row>
    <row r="382" customFormat="false" ht="15.75" hidden="false" customHeight="true" outlineLevel="0" collapsed="false">
      <c r="A382" s="28" t="str">
        <f aca="false">IF(案件管理!$A$171:$A$171="","",案件管理!$A$171:$A$171)</f>
        <v/>
      </c>
      <c r="B382" s="10" t="str">
        <f aca="false">IF($A382="","",案件管理!$B$171:$B$171)</f>
        <v/>
      </c>
      <c r="C382" s="10" t="str">
        <f aca="false">IF($A382="","",案件管理!$D$171:$D$171)</f>
        <v/>
      </c>
      <c r="D382" s="30" t="str">
        <f aca="false">IF($A382="","",案件管理!$AE$171:$AE$171)</f>
        <v/>
      </c>
      <c r="E382" s="30" t="str">
        <f aca="false">IF($A382="","",SUM($G382:$AD382))</f>
        <v/>
      </c>
      <c r="F382" s="51" t="str">
        <f aca="false">IF($A382="","",N($E176)-N($E382))</f>
        <v/>
      </c>
      <c r="G382" s="51" t="str">
        <f aca="false">IF($A382="","",SUMIFS(工数明細!$G$3:$G$302,工数明細!$B$3:$B$302,$A382,工数明細!$I$3:$I$302,G$212))</f>
        <v/>
      </c>
      <c r="H382" s="51" t="str">
        <f aca="false">IF($A382="","",SUMIFS(工数明細!$G$3:$G$302,工数明細!$B$3:$B$302,$A382,工数明細!$I$3:$I$302,H$212))</f>
        <v/>
      </c>
      <c r="I382" s="51" t="str">
        <f aca="false">IF($A382="","",SUMIFS(工数明細!$G$3:$G$302,工数明細!$B$3:$B$302,$A382,工数明細!$I$3:$I$302,I$212))</f>
        <v/>
      </c>
      <c r="J382" s="51" t="str">
        <f aca="false">IF($A382="","",SUMIFS(工数明細!$G$3:$G$302,工数明細!$B$3:$B$302,$A382,工数明細!$I$3:$I$302,J$212))</f>
        <v/>
      </c>
      <c r="K382" s="51" t="str">
        <f aca="false">IF($A382="","",SUMIFS(工数明細!$G$3:$G$302,工数明細!$B$3:$B$302,$A382,工数明細!$I$3:$I$302,K$212))</f>
        <v/>
      </c>
      <c r="L382" s="51" t="str">
        <f aca="false">IF($A382="","",SUMIFS(工数明細!$G$3:$G$302,工数明細!$B$3:$B$302,$A382,工数明細!$I$3:$I$302,L$212))</f>
        <v/>
      </c>
      <c r="M382" s="51" t="str">
        <f aca="false">IF($A382="","",SUMIFS(工数明細!$G$3:$G$302,工数明細!$B$3:$B$302,$A382,工数明細!$I$3:$I$302,M$212))</f>
        <v/>
      </c>
      <c r="N382" s="51" t="str">
        <f aca="false">IF($A382="","",SUMIFS(工数明細!$G$3:$G$302,工数明細!$B$3:$B$302,$A382,工数明細!$I$3:$I$302,N$212))</f>
        <v/>
      </c>
      <c r="O382" s="51" t="str">
        <f aca="false">IF($A382="","",SUMIFS(工数明細!$G$3:$G$302,工数明細!$B$3:$B$302,$A382,工数明細!$I$3:$I$302,O$212))</f>
        <v/>
      </c>
      <c r="P382" s="51" t="str">
        <f aca="false">IF($A382="","",SUMIFS(工数明細!$G$3:$G$302,工数明細!$B$3:$B$302,$A382,工数明細!$I$3:$I$302,P$212))</f>
        <v/>
      </c>
      <c r="Q382" s="51" t="str">
        <f aca="false">IF($A382="","",SUMIFS(工数明細!$G$3:$G$302,工数明細!$B$3:$B$302,$A382,工数明細!$I$3:$I$302,Q$212))</f>
        <v/>
      </c>
      <c r="R382" s="51" t="str">
        <f aca="false">IF($A382="","",SUMIFS(工数明細!$G$3:$G$302,工数明細!$B$3:$B$302,$A382,工数明細!$I$3:$I$302,R$212))</f>
        <v/>
      </c>
      <c r="S382" s="51" t="str">
        <f aca="false">IF($A382="","",SUMIFS(工数明細!$G$3:$G$302,工数明細!$B$3:$B$302,$A382,工数明細!$I$3:$I$302,S$212))</f>
        <v/>
      </c>
      <c r="T382" s="51" t="str">
        <f aca="false">IF($A382="","",SUMIFS(工数明細!$G$3:$G$302,工数明細!$B$3:$B$302,$A382,工数明細!$I$3:$I$302,T$212))</f>
        <v/>
      </c>
      <c r="U382" s="51" t="str">
        <f aca="false">IF($A382="","",SUMIFS(工数明細!$G$3:$G$302,工数明細!$B$3:$B$302,$A382,工数明細!$I$3:$I$302,U$212))</f>
        <v/>
      </c>
      <c r="V382" s="51" t="str">
        <f aca="false">IF($A382="","",SUMIFS(工数明細!$G$3:$G$302,工数明細!$B$3:$B$302,$A382,工数明細!$I$3:$I$302,V$212))</f>
        <v/>
      </c>
      <c r="W382" s="51" t="str">
        <f aca="false">IF($A382="","",SUMIFS(工数明細!$G$3:$G$302,工数明細!$B$3:$B$302,$A382,工数明細!$I$3:$I$302,W$212))</f>
        <v/>
      </c>
      <c r="X382" s="51" t="str">
        <f aca="false">IF($A382="","",SUMIFS(工数明細!$G$3:$G$302,工数明細!$B$3:$B$302,$A382,工数明細!$I$3:$I$302,X$212))</f>
        <v/>
      </c>
      <c r="Y382" s="51" t="str">
        <f aca="false">IF($A382="","",SUMIFS(工数明細!$G$3:$G$302,工数明細!$B$3:$B$302,$A382,工数明細!$I$3:$I$302,Y$212))</f>
        <v/>
      </c>
      <c r="Z382" s="51" t="str">
        <f aca="false">IF($A382="","",SUMIFS(工数明細!$G$3:$G$302,工数明細!$B$3:$B$302,$A382,工数明細!$I$3:$I$302,Z$212))</f>
        <v/>
      </c>
      <c r="AA382" s="51" t="str">
        <f aca="false">IF($A382="","",SUMIFS(工数明細!$G$3:$G$302,工数明細!$B$3:$B$302,$A382,工数明細!$I$3:$I$302,AA$212))</f>
        <v/>
      </c>
      <c r="AB382" s="51" t="str">
        <f aca="false">IF($A382="","",SUMIFS(工数明細!$G$3:$G$302,工数明細!$B$3:$B$302,$A382,工数明細!$I$3:$I$302,AB$212))</f>
        <v/>
      </c>
      <c r="AC382" s="51" t="str">
        <f aca="false">IF($A382="","",SUMIFS(工数明細!$G$3:$G$302,工数明細!$B$3:$B$302,$A382,工数明細!$I$3:$I$302,AC$212))</f>
        <v/>
      </c>
      <c r="AD382" s="51" t="str">
        <f aca="false">IF($A382="","",SUMIFS(工数明細!$G$3:$G$302,工数明細!$B$3:$B$302,$A382,工数明細!$I$3:$I$302,AD$212))</f>
        <v/>
      </c>
    </row>
    <row r="383" customFormat="false" ht="15.75" hidden="false" customHeight="true" outlineLevel="0" collapsed="false">
      <c r="A383" s="28" t="str">
        <f aca="false">IF(案件管理!$A$172:$A$172="","",案件管理!$A$172:$A$172)</f>
        <v/>
      </c>
      <c r="B383" s="10" t="str">
        <f aca="false">IF($A383="","",案件管理!$B$172:$B$172)</f>
        <v/>
      </c>
      <c r="C383" s="10" t="str">
        <f aca="false">IF($A383="","",案件管理!$D$172:$D$172)</f>
        <v/>
      </c>
      <c r="D383" s="30" t="str">
        <f aca="false">IF($A383="","",案件管理!$AE$172:$AE$172)</f>
        <v/>
      </c>
      <c r="E383" s="30" t="str">
        <f aca="false">IF($A383="","",SUM($G383:$AD383))</f>
        <v/>
      </c>
      <c r="F383" s="51" t="str">
        <f aca="false">IF($A383="","",N($E177)-N($E383))</f>
        <v/>
      </c>
      <c r="G383" s="51" t="str">
        <f aca="false">IF($A383="","",SUMIFS(工数明細!$G$3:$G$302,工数明細!$B$3:$B$302,$A383,工数明細!$I$3:$I$302,G$212))</f>
        <v/>
      </c>
      <c r="H383" s="51" t="str">
        <f aca="false">IF($A383="","",SUMIFS(工数明細!$G$3:$G$302,工数明細!$B$3:$B$302,$A383,工数明細!$I$3:$I$302,H$212))</f>
        <v/>
      </c>
      <c r="I383" s="51" t="str">
        <f aca="false">IF($A383="","",SUMIFS(工数明細!$G$3:$G$302,工数明細!$B$3:$B$302,$A383,工数明細!$I$3:$I$302,I$212))</f>
        <v/>
      </c>
      <c r="J383" s="51" t="str">
        <f aca="false">IF($A383="","",SUMIFS(工数明細!$G$3:$G$302,工数明細!$B$3:$B$302,$A383,工数明細!$I$3:$I$302,J$212))</f>
        <v/>
      </c>
      <c r="K383" s="51" t="str">
        <f aca="false">IF($A383="","",SUMIFS(工数明細!$G$3:$G$302,工数明細!$B$3:$B$302,$A383,工数明細!$I$3:$I$302,K$212))</f>
        <v/>
      </c>
      <c r="L383" s="51" t="str">
        <f aca="false">IF($A383="","",SUMIFS(工数明細!$G$3:$G$302,工数明細!$B$3:$B$302,$A383,工数明細!$I$3:$I$302,L$212))</f>
        <v/>
      </c>
      <c r="M383" s="51" t="str">
        <f aca="false">IF($A383="","",SUMIFS(工数明細!$G$3:$G$302,工数明細!$B$3:$B$302,$A383,工数明細!$I$3:$I$302,M$212))</f>
        <v/>
      </c>
      <c r="N383" s="51" t="str">
        <f aca="false">IF($A383="","",SUMIFS(工数明細!$G$3:$G$302,工数明細!$B$3:$B$302,$A383,工数明細!$I$3:$I$302,N$212))</f>
        <v/>
      </c>
      <c r="O383" s="51" t="str">
        <f aca="false">IF($A383="","",SUMIFS(工数明細!$G$3:$G$302,工数明細!$B$3:$B$302,$A383,工数明細!$I$3:$I$302,O$212))</f>
        <v/>
      </c>
      <c r="P383" s="51" t="str">
        <f aca="false">IF($A383="","",SUMIFS(工数明細!$G$3:$G$302,工数明細!$B$3:$B$302,$A383,工数明細!$I$3:$I$302,P$212))</f>
        <v/>
      </c>
      <c r="Q383" s="51" t="str">
        <f aca="false">IF($A383="","",SUMIFS(工数明細!$G$3:$G$302,工数明細!$B$3:$B$302,$A383,工数明細!$I$3:$I$302,Q$212))</f>
        <v/>
      </c>
      <c r="R383" s="51" t="str">
        <f aca="false">IF($A383="","",SUMIFS(工数明細!$G$3:$G$302,工数明細!$B$3:$B$302,$A383,工数明細!$I$3:$I$302,R$212))</f>
        <v/>
      </c>
      <c r="S383" s="51" t="str">
        <f aca="false">IF($A383="","",SUMIFS(工数明細!$G$3:$G$302,工数明細!$B$3:$B$302,$A383,工数明細!$I$3:$I$302,S$212))</f>
        <v/>
      </c>
      <c r="T383" s="51" t="str">
        <f aca="false">IF($A383="","",SUMIFS(工数明細!$G$3:$G$302,工数明細!$B$3:$B$302,$A383,工数明細!$I$3:$I$302,T$212))</f>
        <v/>
      </c>
      <c r="U383" s="51" t="str">
        <f aca="false">IF($A383="","",SUMIFS(工数明細!$G$3:$G$302,工数明細!$B$3:$B$302,$A383,工数明細!$I$3:$I$302,U$212))</f>
        <v/>
      </c>
      <c r="V383" s="51" t="str">
        <f aca="false">IF($A383="","",SUMIFS(工数明細!$G$3:$G$302,工数明細!$B$3:$B$302,$A383,工数明細!$I$3:$I$302,V$212))</f>
        <v/>
      </c>
      <c r="W383" s="51" t="str">
        <f aca="false">IF($A383="","",SUMIFS(工数明細!$G$3:$G$302,工数明細!$B$3:$B$302,$A383,工数明細!$I$3:$I$302,W$212))</f>
        <v/>
      </c>
      <c r="X383" s="51" t="str">
        <f aca="false">IF($A383="","",SUMIFS(工数明細!$G$3:$G$302,工数明細!$B$3:$B$302,$A383,工数明細!$I$3:$I$302,X$212))</f>
        <v/>
      </c>
      <c r="Y383" s="51" t="str">
        <f aca="false">IF($A383="","",SUMIFS(工数明細!$G$3:$G$302,工数明細!$B$3:$B$302,$A383,工数明細!$I$3:$I$302,Y$212))</f>
        <v/>
      </c>
      <c r="Z383" s="51" t="str">
        <f aca="false">IF($A383="","",SUMIFS(工数明細!$G$3:$G$302,工数明細!$B$3:$B$302,$A383,工数明細!$I$3:$I$302,Z$212))</f>
        <v/>
      </c>
      <c r="AA383" s="51" t="str">
        <f aca="false">IF($A383="","",SUMIFS(工数明細!$G$3:$G$302,工数明細!$B$3:$B$302,$A383,工数明細!$I$3:$I$302,AA$212))</f>
        <v/>
      </c>
      <c r="AB383" s="51" t="str">
        <f aca="false">IF($A383="","",SUMIFS(工数明細!$G$3:$G$302,工数明細!$B$3:$B$302,$A383,工数明細!$I$3:$I$302,AB$212))</f>
        <v/>
      </c>
      <c r="AC383" s="51" t="str">
        <f aca="false">IF($A383="","",SUMIFS(工数明細!$G$3:$G$302,工数明細!$B$3:$B$302,$A383,工数明細!$I$3:$I$302,AC$212))</f>
        <v/>
      </c>
      <c r="AD383" s="51" t="str">
        <f aca="false">IF($A383="","",SUMIFS(工数明細!$G$3:$G$302,工数明細!$B$3:$B$302,$A383,工数明細!$I$3:$I$302,AD$212))</f>
        <v/>
      </c>
    </row>
    <row r="384" customFormat="false" ht="15.75" hidden="false" customHeight="true" outlineLevel="0" collapsed="false">
      <c r="A384" s="28" t="str">
        <f aca="false">IF(案件管理!$A$173:$A$173="","",案件管理!$A$173:$A$173)</f>
        <v/>
      </c>
      <c r="B384" s="10" t="str">
        <f aca="false">IF($A384="","",案件管理!$B$173:$B$173)</f>
        <v/>
      </c>
      <c r="C384" s="10" t="str">
        <f aca="false">IF($A384="","",案件管理!$D$173:$D$173)</f>
        <v/>
      </c>
      <c r="D384" s="30" t="str">
        <f aca="false">IF($A384="","",案件管理!$AE$173:$AE$173)</f>
        <v/>
      </c>
      <c r="E384" s="30" t="str">
        <f aca="false">IF($A384="","",SUM($G384:$AD384))</f>
        <v/>
      </c>
      <c r="F384" s="51" t="str">
        <f aca="false">IF($A384="","",N($E178)-N($E384))</f>
        <v/>
      </c>
      <c r="G384" s="51" t="str">
        <f aca="false">IF($A384="","",SUMIFS(工数明細!$G$3:$G$302,工数明細!$B$3:$B$302,$A384,工数明細!$I$3:$I$302,G$212))</f>
        <v/>
      </c>
      <c r="H384" s="51" t="str">
        <f aca="false">IF($A384="","",SUMIFS(工数明細!$G$3:$G$302,工数明細!$B$3:$B$302,$A384,工数明細!$I$3:$I$302,H$212))</f>
        <v/>
      </c>
      <c r="I384" s="51" t="str">
        <f aca="false">IF($A384="","",SUMIFS(工数明細!$G$3:$G$302,工数明細!$B$3:$B$302,$A384,工数明細!$I$3:$I$302,I$212))</f>
        <v/>
      </c>
      <c r="J384" s="51" t="str">
        <f aca="false">IF($A384="","",SUMIFS(工数明細!$G$3:$G$302,工数明細!$B$3:$B$302,$A384,工数明細!$I$3:$I$302,J$212))</f>
        <v/>
      </c>
      <c r="K384" s="51" t="str">
        <f aca="false">IF($A384="","",SUMIFS(工数明細!$G$3:$G$302,工数明細!$B$3:$B$302,$A384,工数明細!$I$3:$I$302,K$212))</f>
        <v/>
      </c>
      <c r="L384" s="51" t="str">
        <f aca="false">IF($A384="","",SUMIFS(工数明細!$G$3:$G$302,工数明細!$B$3:$B$302,$A384,工数明細!$I$3:$I$302,L$212))</f>
        <v/>
      </c>
      <c r="M384" s="51" t="str">
        <f aca="false">IF($A384="","",SUMIFS(工数明細!$G$3:$G$302,工数明細!$B$3:$B$302,$A384,工数明細!$I$3:$I$302,M$212))</f>
        <v/>
      </c>
      <c r="N384" s="51" t="str">
        <f aca="false">IF($A384="","",SUMIFS(工数明細!$G$3:$G$302,工数明細!$B$3:$B$302,$A384,工数明細!$I$3:$I$302,N$212))</f>
        <v/>
      </c>
      <c r="O384" s="51" t="str">
        <f aca="false">IF($A384="","",SUMIFS(工数明細!$G$3:$G$302,工数明細!$B$3:$B$302,$A384,工数明細!$I$3:$I$302,O$212))</f>
        <v/>
      </c>
      <c r="P384" s="51" t="str">
        <f aca="false">IF($A384="","",SUMIFS(工数明細!$G$3:$G$302,工数明細!$B$3:$B$302,$A384,工数明細!$I$3:$I$302,P$212))</f>
        <v/>
      </c>
      <c r="Q384" s="51" t="str">
        <f aca="false">IF($A384="","",SUMIFS(工数明細!$G$3:$G$302,工数明細!$B$3:$B$302,$A384,工数明細!$I$3:$I$302,Q$212))</f>
        <v/>
      </c>
      <c r="R384" s="51" t="str">
        <f aca="false">IF($A384="","",SUMIFS(工数明細!$G$3:$G$302,工数明細!$B$3:$B$302,$A384,工数明細!$I$3:$I$302,R$212))</f>
        <v/>
      </c>
      <c r="S384" s="51" t="str">
        <f aca="false">IF($A384="","",SUMIFS(工数明細!$G$3:$G$302,工数明細!$B$3:$B$302,$A384,工数明細!$I$3:$I$302,S$212))</f>
        <v/>
      </c>
      <c r="T384" s="51" t="str">
        <f aca="false">IF($A384="","",SUMIFS(工数明細!$G$3:$G$302,工数明細!$B$3:$B$302,$A384,工数明細!$I$3:$I$302,T$212))</f>
        <v/>
      </c>
      <c r="U384" s="51" t="str">
        <f aca="false">IF($A384="","",SUMIFS(工数明細!$G$3:$G$302,工数明細!$B$3:$B$302,$A384,工数明細!$I$3:$I$302,U$212))</f>
        <v/>
      </c>
      <c r="V384" s="51" t="str">
        <f aca="false">IF($A384="","",SUMIFS(工数明細!$G$3:$G$302,工数明細!$B$3:$B$302,$A384,工数明細!$I$3:$I$302,V$212))</f>
        <v/>
      </c>
      <c r="W384" s="51" t="str">
        <f aca="false">IF($A384="","",SUMIFS(工数明細!$G$3:$G$302,工数明細!$B$3:$B$302,$A384,工数明細!$I$3:$I$302,W$212))</f>
        <v/>
      </c>
      <c r="X384" s="51" t="str">
        <f aca="false">IF($A384="","",SUMIFS(工数明細!$G$3:$G$302,工数明細!$B$3:$B$302,$A384,工数明細!$I$3:$I$302,X$212))</f>
        <v/>
      </c>
      <c r="Y384" s="51" t="str">
        <f aca="false">IF($A384="","",SUMIFS(工数明細!$G$3:$G$302,工数明細!$B$3:$B$302,$A384,工数明細!$I$3:$I$302,Y$212))</f>
        <v/>
      </c>
      <c r="Z384" s="51" t="str">
        <f aca="false">IF($A384="","",SUMIFS(工数明細!$G$3:$G$302,工数明細!$B$3:$B$302,$A384,工数明細!$I$3:$I$302,Z$212))</f>
        <v/>
      </c>
      <c r="AA384" s="51" t="str">
        <f aca="false">IF($A384="","",SUMIFS(工数明細!$G$3:$G$302,工数明細!$B$3:$B$302,$A384,工数明細!$I$3:$I$302,AA$212))</f>
        <v/>
      </c>
      <c r="AB384" s="51" t="str">
        <f aca="false">IF($A384="","",SUMIFS(工数明細!$G$3:$G$302,工数明細!$B$3:$B$302,$A384,工数明細!$I$3:$I$302,AB$212))</f>
        <v/>
      </c>
      <c r="AC384" s="51" t="str">
        <f aca="false">IF($A384="","",SUMIFS(工数明細!$G$3:$G$302,工数明細!$B$3:$B$302,$A384,工数明細!$I$3:$I$302,AC$212))</f>
        <v/>
      </c>
      <c r="AD384" s="51" t="str">
        <f aca="false">IF($A384="","",SUMIFS(工数明細!$G$3:$G$302,工数明細!$B$3:$B$302,$A384,工数明細!$I$3:$I$302,AD$212))</f>
        <v/>
      </c>
    </row>
    <row r="385" customFormat="false" ht="15.75" hidden="false" customHeight="true" outlineLevel="0" collapsed="false">
      <c r="A385" s="28" t="str">
        <f aca="false">IF(案件管理!$A$174:$A$174="","",案件管理!$A$174:$A$174)</f>
        <v/>
      </c>
      <c r="B385" s="10" t="str">
        <f aca="false">IF($A385="","",案件管理!$B$174:$B$174)</f>
        <v/>
      </c>
      <c r="C385" s="10" t="str">
        <f aca="false">IF($A385="","",案件管理!$D$174:$D$174)</f>
        <v/>
      </c>
      <c r="D385" s="30" t="str">
        <f aca="false">IF($A385="","",案件管理!$AE$174:$AE$174)</f>
        <v/>
      </c>
      <c r="E385" s="30" t="str">
        <f aca="false">IF($A385="","",SUM($G385:$AD385))</f>
        <v/>
      </c>
      <c r="F385" s="51" t="str">
        <f aca="false">IF($A385="","",N($E179)-N($E385))</f>
        <v/>
      </c>
      <c r="G385" s="51" t="str">
        <f aca="false">IF($A385="","",SUMIFS(工数明細!$G$3:$G$302,工数明細!$B$3:$B$302,$A385,工数明細!$I$3:$I$302,G$212))</f>
        <v/>
      </c>
      <c r="H385" s="51" t="str">
        <f aca="false">IF($A385="","",SUMIFS(工数明細!$G$3:$G$302,工数明細!$B$3:$B$302,$A385,工数明細!$I$3:$I$302,H$212))</f>
        <v/>
      </c>
      <c r="I385" s="51" t="str">
        <f aca="false">IF($A385="","",SUMIFS(工数明細!$G$3:$G$302,工数明細!$B$3:$B$302,$A385,工数明細!$I$3:$I$302,I$212))</f>
        <v/>
      </c>
      <c r="J385" s="51" t="str">
        <f aca="false">IF($A385="","",SUMIFS(工数明細!$G$3:$G$302,工数明細!$B$3:$B$302,$A385,工数明細!$I$3:$I$302,J$212))</f>
        <v/>
      </c>
      <c r="K385" s="51" t="str">
        <f aca="false">IF($A385="","",SUMIFS(工数明細!$G$3:$G$302,工数明細!$B$3:$B$302,$A385,工数明細!$I$3:$I$302,K$212))</f>
        <v/>
      </c>
      <c r="L385" s="51" t="str">
        <f aca="false">IF($A385="","",SUMIFS(工数明細!$G$3:$G$302,工数明細!$B$3:$B$302,$A385,工数明細!$I$3:$I$302,L$212))</f>
        <v/>
      </c>
      <c r="M385" s="51" t="str">
        <f aca="false">IF($A385="","",SUMIFS(工数明細!$G$3:$G$302,工数明細!$B$3:$B$302,$A385,工数明細!$I$3:$I$302,M$212))</f>
        <v/>
      </c>
      <c r="N385" s="51" t="str">
        <f aca="false">IF($A385="","",SUMIFS(工数明細!$G$3:$G$302,工数明細!$B$3:$B$302,$A385,工数明細!$I$3:$I$302,N$212))</f>
        <v/>
      </c>
      <c r="O385" s="51" t="str">
        <f aca="false">IF($A385="","",SUMIFS(工数明細!$G$3:$G$302,工数明細!$B$3:$B$302,$A385,工数明細!$I$3:$I$302,O$212))</f>
        <v/>
      </c>
      <c r="P385" s="51" t="str">
        <f aca="false">IF($A385="","",SUMIFS(工数明細!$G$3:$G$302,工数明細!$B$3:$B$302,$A385,工数明細!$I$3:$I$302,P$212))</f>
        <v/>
      </c>
      <c r="Q385" s="51" t="str">
        <f aca="false">IF($A385="","",SUMIFS(工数明細!$G$3:$G$302,工数明細!$B$3:$B$302,$A385,工数明細!$I$3:$I$302,Q$212))</f>
        <v/>
      </c>
      <c r="R385" s="51" t="str">
        <f aca="false">IF($A385="","",SUMIFS(工数明細!$G$3:$G$302,工数明細!$B$3:$B$302,$A385,工数明細!$I$3:$I$302,R$212))</f>
        <v/>
      </c>
      <c r="S385" s="51" t="str">
        <f aca="false">IF($A385="","",SUMIFS(工数明細!$G$3:$G$302,工数明細!$B$3:$B$302,$A385,工数明細!$I$3:$I$302,S$212))</f>
        <v/>
      </c>
      <c r="T385" s="51" t="str">
        <f aca="false">IF($A385="","",SUMIFS(工数明細!$G$3:$G$302,工数明細!$B$3:$B$302,$A385,工数明細!$I$3:$I$302,T$212))</f>
        <v/>
      </c>
      <c r="U385" s="51" t="str">
        <f aca="false">IF($A385="","",SUMIFS(工数明細!$G$3:$G$302,工数明細!$B$3:$B$302,$A385,工数明細!$I$3:$I$302,U$212))</f>
        <v/>
      </c>
      <c r="V385" s="51" t="str">
        <f aca="false">IF($A385="","",SUMIFS(工数明細!$G$3:$G$302,工数明細!$B$3:$B$302,$A385,工数明細!$I$3:$I$302,V$212))</f>
        <v/>
      </c>
      <c r="W385" s="51" t="str">
        <f aca="false">IF($A385="","",SUMIFS(工数明細!$G$3:$G$302,工数明細!$B$3:$B$302,$A385,工数明細!$I$3:$I$302,W$212))</f>
        <v/>
      </c>
      <c r="X385" s="51" t="str">
        <f aca="false">IF($A385="","",SUMIFS(工数明細!$G$3:$G$302,工数明細!$B$3:$B$302,$A385,工数明細!$I$3:$I$302,X$212))</f>
        <v/>
      </c>
      <c r="Y385" s="51" t="str">
        <f aca="false">IF($A385="","",SUMIFS(工数明細!$G$3:$G$302,工数明細!$B$3:$B$302,$A385,工数明細!$I$3:$I$302,Y$212))</f>
        <v/>
      </c>
      <c r="Z385" s="51" t="str">
        <f aca="false">IF($A385="","",SUMIFS(工数明細!$G$3:$G$302,工数明細!$B$3:$B$302,$A385,工数明細!$I$3:$I$302,Z$212))</f>
        <v/>
      </c>
      <c r="AA385" s="51" t="str">
        <f aca="false">IF($A385="","",SUMIFS(工数明細!$G$3:$G$302,工数明細!$B$3:$B$302,$A385,工数明細!$I$3:$I$302,AA$212))</f>
        <v/>
      </c>
      <c r="AB385" s="51" t="str">
        <f aca="false">IF($A385="","",SUMIFS(工数明細!$G$3:$G$302,工数明細!$B$3:$B$302,$A385,工数明細!$I$3:$I$302,AB$212))</f>
        <v/>
      </c>
      <c r="AC385" s="51" t="str">
        <f aca="false">IF($A385="","",SUMIFS(工数明細!$G$3:$G$302,工数明細!$B$3:$B$302,$A385,工数明細!$I$3:$I$302,AC$212))</f>
        <v/>
      </c>
      <c r="AD385" s="51" t="str">
        <f aca="false">IF($A385="","",SUMIFS(工数明細!$G$3:$G$302,工数明細!$B$3:$B$302,$A385,工数明細!$I$3:$I$302,AD$212))</f>
        <v/>
      </c>
    </row>
    <row r="386" customFormat="false" ht="15.75" hidden="false" customHeight="true" outlineLevel="0" collapsed="false">
      <c r="A386" s="28" t="str">
        <f aca="false">IF(案件管理!$A$175:$A$175="","",案件管理!$A$175:$A$175)</f>
        <v/>
      </c>
      <c r="B386" s="10" t="str">
        <f aca="false">IF($A386="","",案件管理!$B$175:$B$175)</f>
        <v/>
      </c>
      <c r="C386" s="10" t="str">
        <f aca="false">IF($A386="","",案件管理!$D$175:$D$175)</f>
        <v/>
      </c>
      <c r="D386" s="30" t="str">
        <f aca="false">IF($A386="","",案件管理!$AE$175:$AE$175)</f>
        <v/>
      </c>
      <c r="E386" s="30" t="str">
        <f aca="false">IF($A386="","",SUM($G386:$AD386))</f>
        <v/>
      </c>
      <c r="F386" s="51" t="str">
        <f aca="false">IF($A386="","",N($E180)-N($E386))</f>
        <v/>
      </c>
      <c r="G386" s="51" t="str">
        <f aca="false">IF($A386="","",SUMIFS(工数明細!$G$3:$G$302,工数明細!$B$3:$B$302,$A386,工数明細!$I$3:$I$302,G$212))</f>
        <v/>
      </c>
      <c r="H386" s="51" t="str">
        <f aca="false">IF($A386="","",SUMIFS(工数明細!$G$3:$G$302,工数明細!$B$3:$B$302,$A386,工数明細!$I$3:$I$302,H$212))</f>
        <v/>
      </c>
      <c r="I386" s="51" t="str">
        <f aca="false">IF($A386="","",SUMIFS(工数明細!$G$3:$G$302,工数明細!$B$3:$B$302,$A386,工数明細!$I$3:$I$302,I$212))</f>
        <v/>
      </c>
      <c r="J386" s="51" t="str">
        <f aca="false">IF($A386="","",SUMIFS(工数明細!$G$3:$G$302,工数明細!$B$3:$B$302,$A386,工数明細!$I$3:$I$302,J$212))</f>
        <v/>
      </c>
      <c r="K386" s="51" t="str">
        <f aca="false">IF($A386="","",SUMIFS(工数明細!$G$3:$G$302,工数明細!$B$3:$B$302,$A386,工数明細!$I$3:$I$302,K$212))</f>
        <v/>
      </c>
      <c r="L386" s="51" t="str">
        <f aca="false">IF($A386="","",SUMIFS(工数明細!$G$3:$G$302,工数明細!$B$3:$B$302,$A386,工数明細!$I$3:$I$302,L$212))</f>
        <v/>
      </c>
      <c r="M386" s="51" t="str">
        <f aca="false">IF($A386="","",SUMIFS(工数明細!$G$3:$G$302,工数明細!$B$3:$B$302,$A386,工数明細!$I$3:$I$302,M$212))</f>
        <v/>
      </c>
      <c r="N386" s="51" t="str">
        <f aca="false">IF($A386="","",SUMIFS(工数明細!$G$3:$G$302,工数明細!$B$3:$B$302,$A386,工数明細!$I$3:$I$302,N$212))</f>
        <v/>
      </c>
      <c r="O386" s="51" t="str">
        <f aca="false">IF($A386="","",SUMIFS(工数明細!$G$3:$G$302,工数明細!$B$3:$B$302,$A386,工数明細!$I$3:$I$302,O$212))</f>
        <v/>
      </c>
      <c r="P386" s="51" t="str">
        <f aca="false">IF($A386="","",SUMIFS(工数明細!$G$3:$G$302,工数明細!$B$3:$B$302,$A386,工数明細!$I$3:$I$302,P$212))</f>
        <v/>
      </c>
      <c r="Q386" s="51" t="str">
        <f aca="false">IF($A386="","",SUMIFS(工数明細!$G$3:$G$302,工数明細!$B$3:$B$302,$A386,工数明細!$I$3:$I$302,Q$212))</f>
        <v/>
      </c>
      <c r="R386" s="51" t="str">
        <f aca="false">IF($A386="","",SUMIFS(工数明細!$G$3:$G$302,工数明細!$B$3:$B$302,$A386,工数明細!$I$3:$I$302,R$212))</f>
        <v/>
      </c>
      <c r="S386" s="51" t="str">
        <f aca="false">IF($A386="","",SUMIFS(工数明細!$G$3:$G$302,工数明細!$B$3:$B$302,$A386,工数明細!$I$3:$I$302,S$212))</f>
        <v/>
      </c>
      <c r="T386" s="51" t="str">
        <f aca="false">IF($A386="","",SUMIFS(工数明細!$G$3:$G$302,工数明細!$B$3:$B$302,$A386,工数明細!$I$3:$I$302,T$212))</f>
        <v/>
      </c>
      <c r="U386" s="51" t="str">
        <f aca="false">IF($A386="","",SUMIFS(工数明細!$G$3:$G$302,工数明細!$B$3:$B$302,$A386,工数明細!$I$3:$I$302,U$212))</f>
        <v/>
      </c>
      <c r="V386" s="51" t="str">
        <f aca="false">IF($A386="","",SUMIFS(工数明細!$G$3:$G$302,工数明細!$B$3:$B$302,$A386,工数明細!$I$3:$I$302,V$212))</f>
        <v/>
      </c>
      <c r="W386" s="51" t="str">
        <f aca="false">IF($A386="","",SUMIFS(工数明細!$G$3:$G$302,工数明細!$B$3:$B$302,$A386,工数明細!$I$3:$I$302,W$212))</f>
        <v/>
      </c>
      <c r="X386" s="51" t="str">
        <f aca="false">IF($A386="","",SUMIFS(工数明細!$G$3:$G$302,工数明細!$B$3:$B$302,$A386,工数明細!$I$3:$I$302,X$212))</f>
        <v/>
      </c>
      <c r="Y386" s="51" t="str">
        <f aca="false">IF($A386="","",SUMIFS(工数明細!$G$3:$G$302,工数明細!$B$3:$B$302,$A386,工数明細!$I$3:$I$302,Y$212))</f>
        <v/>
      </c>
      <c r="Z386" s="51" t="str">
        <f aca="false">IF($A386="","",SUMIFS(工数明細!$G$3:$G$302,工数明細!$B$3:$B$302,$A386,工数明細!$I$3:$I$302,Z$212))</f>
        <v/>
      </c>
      <c r="AA386" s="51" t="str">
        <f aca="false">IF($A386="","",SUMIFS(工数明細!$G$3:$G$302,工数明細!$B$3:$B$302,$A386,工数明細!$I$3:$I$302,AA$212))</f>
        <v/>
      </c>
      <c r="AB386" s="51" t="str">
        <f aca="false">IF($A386="","",SUMIFS(工数明細!$G$3:$G$302,工数明細!$B$3:$B$302,$A386,工数明細!$I$3:$I$302,AB$212))</f>
        <v/>
      </c>
      <c r="AC386" s="51" t="str">
        <f aca="false">IF($A386="","",SUMIFS(工数明細!$G$3:$G$302,工数明細!$B$3:$B$302,$A386,工数明細!$I$3:$I$302,AC$212))</f>
        <v/>
      </c>
      <c r="AD386" s="51" t="str">
        <f aca="false">IF($A386="","",SUMIFS(工数明細!$G$3:$G$302,工数明細!$B$3:$B$302,$A386,工数明細!$I$3:$I$302,AD$212))</f>
        <v/>
      </c>
    </row>
    <row r="387" customFormat="false" ht="15.75" hidden="false" customHeight="true" outlineLevel="0" collapsed="false">
      <c r="A387" s="28" t="str">
        <f aca="false">IF(案件管理!$A$176:$A$176="","",案件管理!$A$176:$A$176)</f>
        <v/>
      </c>
      <c r="B387" s="10" t="str">
        <f aca="false">IF($A387="","",案件管理!$B$176:$B$176)</f>
        <v/>
      </c>
      <c r="C387" s="10" t="str">
        <f aca="false">IF($A387="","",案件管理!$D$176:$D$176)</f>
        <v/>
      </c>
      <c r="D387" s="30" t="str">
        <f aca="false">IF($A387="","",案件管理!$AE$176:$AE$176)</f>
        <v/>
      </c>
      <c r="E387" s="30" t="str">
        <f aca="false">IF($A387="","",SUM($G387:$AD387))</f>
        <v/>
      </c>
      <c r="F387" s="51" t="str">
        <f aca="false">IF($A387="","",N($E181)-N($E387))</f>
        <v/>
      </c>
      <c r="G387" s="51" t="str">
        <f aca="false">IF($A387="","",SUMIFS(工数明細!$G$3:$G$302,工数明細!$B$3:$B$302,$A387,工数明細!$I$3:$I$302,G$212))</f>
        <v/>
      </c>
      <c r="H387" s="51" t="str">
        <f aca="false">IF($A387="","",SUMIFS(工数明細!$G$3:$G$302,工数明細!$B$3:$B$302,$A387,工数明細!$I$3:$I$302,H$212))</f>
        <v/>
      </c>
      <c r="I387" s="51" t="str">
        <f aca="false">IF($A387="","",SUMIFS(工数明細!$G$3:$G$302,工数明細!$B$3:$B$302,$A387,工数明細!$I$3:$I$302,I$212))</f>
        <v/>
      </c>
      <c r="J387" s="51" t="str">
        <f aca="false">IF($A387="","",SUMIFS(工数明細!$G$3:$G$302,工数明細!$B$3:$B$302,$A387,工数明細!$I$3:$I$302,J$212))</f>
        <v/>
      </c>
      <c r="K387" s="51" t="str">
        <f aca="false">IF($A387="","",SUMIFS(工数明細!$G$3:$G$302,工数明細!$B$3:$B$302,$A387,工数明細!$I$3:$I$302,K$212))</f>
        <v/>
      </c>
      <c r="L387" s="51" t="str">
        <f aca="false">IF($A387="","",SUMIFS(工数明細!$G$3:$G$302,工数明細!$B$3:$B$302,$A387,工数明細!$I$3:$I$302,L$212))</f>
        <v/>
      </c>
      <c r="M387" s="51" t="str">
        <f aca="false">IF($A387="","",SUMIFS(工数明細!$G$3:$G$302,工数明細!$B$3:$B$302,$A387,工数明細!$I$3:$I$302,M$212))</f>
        <v/>
      </c>
      <c r="N387" s="51" t="str">
        <f aca="false">IF($A387="","",SUMIFS(工数明細!$G$3:$G$302,工数明細!$B$3:$B$302,$A387,工数明細!$I$3:$I$302,N$212))</f>
        <v/>
      </c>
      <c r="O387" s="51" t="str">
        <f aca="false">IF($A387="","",SUMIFS(工数明細!$G$3:$G$302,工数明細!$B$3:$B$302,$A387,工数明細!$I$3:$I$302,O$212))</f>
        <v/>
      </c>
      <c r="P387" s="51" t="str">
        <f aca="false">IF($A387="","",SUMIFS(工数明細!$G$3:$G$302,工数明細!$B$3:$B$302,$A387,工数明細!$I$3:$I$302,P$212))</f>
        <v/>
      </c>
      <c r="Q387" s="51" t="str">
        <f aca="false">IF($A387="","",SUMIFS(工数明細!$G$3:$G$302,工数明細!$B$3:$B$302,$A387,工数明細!$I$3:$I$302,Q$212))</f>
        <v/>
      </c>
      <c r="R387" s="51" t="str">
        <f aca="false">IF($A387="","",SUMIFS(工数明細!$G$3:$G$302,工数明細!$B$3:$B$302,$A387,工数明細!$I$3:$I$302,R$212))</f>
        <v/>
      </c>
      <c r="S387" s="51" t="str">
        <f aca="false">IF($A387="","",SUMIFS(工数明細!$G$3:$G$302,工数明細!$B$3:$B$302,$A387,工数明細!$I$3:$I$302,S$212))</f>
        <v/>
      </c>
      <c r="T387" s="51" t="str">
        <f aca="false">IF($A387="","",SUMIFS(工数明細!$G$3:$G$302,工数明細!$B$3:$B$302,$A387,工数明細!$I$3:$I$302,T$212))</f>
        <v/>
      </c>
      <c r="U387" s="51" t="str">
        <f aca="false">IF($A387="","",SUMIFS(工数明細!$G$3:$G$302,工数明細!$B$3:$B$302,$A387,工数明細!$I$3:$I$302,U$212))</f>
        <v/>
      </c>
      <c r="V387" s="51" t="str">
        <f aca="false">IF($A387="","",SUMIFS(工数明細!$G$3:$G$302,工数明細!$B$3:$B$302,$A387,工数明細!$I$3:$I$302,V$212))</f>
        <v/>
      </c>
      <c r="W387" s="51" t="str">
        <f aca="false">IF($A387="","",SUMIFS(工数明細!$G$3:$G$302,工数明細!$B$3:$B$302,$A387,工数明細!$I$3:$I$302,W$212))</f>
        <v/>
      </c>
      <c r="X387" s="51" t="str">
        <f aca="false">IF($A387="","",SUMIFS(工数明細!$G$3:$G$302,工数明細!$B$3:$B$302,$A387,工数明細!$I$3:$I$302,X$212))</f>
        <v/>
      </c>
      <c r="Y387" s="51" t="str">
        <f aca="false">IF($A387="","",SUMIFS(工数明細!$G$3:$G$302,工数明細!$B$3:$B$302,$A387,工数明細!$I$3:$I$302,Y$212))</f>
        <v/>
      </c>
      <c r="Z387" s="51" t="str">
        <f aca="false">IF($A387="","",SUMIFS(工数明細!$G$3:$G$302,工数明細!$B$3:$B$302,$A387,工数明細!$I$3:$I$302,Z$212))</f>
        <v/>
      </c>
      <c r="AA387" s="51" t="str">
        <f aca="false">IF($A387="","",SUMIFS(工数明細!$G$3:$G$302,工数明細!$B$3:$B$302,$A387,工数明細!$I$3:$I$302,AA$212))</f>
        <v/>
      </c>
      <c r="AB387" s="51" t="str">
        <f aca="false">IF($A387="","",SUMIFS(工数明細!$G$3:$G$302,工数明細!$B$3:$B$302,$A387,工数明細!$I$3:$I$302,AB$212))</f>
        <v/>
      </c>
      <c r="AC387" s="51" t="str">
        <f aca="false">IF($A387="","",SUMIFS(工数明細!$G$3:$G$302,工数明細!$B$3:$B$302,$A387,工数明細!$I$3:$I$302,AC$212))</f>
        <v/>
      </c>
      <c r="AD387" s="51" t="str">
        <f aca="false">IF($A387="","",SUMIFS(工数明細!$G$3:$G$302,工数明細!$B$3:$B$302,$A387,工数明細!$I$3:$I$302,AD$212))</f>
        <v/>
      </c>
    </row>
    <row r="388" customFormat="false" ht="15.75" hidden="false" customHeight="true" outlineLevel="0" collapsed="false">
      <c r="A388" s="28" t="str">
        <f aca="false">IF(案件管理!$A$177:$A$177="","",案件管理!$A$177:$A$177)</f>
        <v/>
      </c>
      <c r="B388" s="10" t="str">
        <f aca="false">IF($A388="","",案件管理!$B$177:$B$177)</f>
        <v/>
      </c>
      <c r="C388" s="10" t="str">
        <f aca="false">IF($A388="","",案件管理!$D$177:$D$177)</f>
        <v/>
      </c>
      <c r="D388" s="30" t="str">
        <f aca="false">IF($A388="","",案件管理!$AE$177:$AE$177)</f>
        <v/>
      </c>
      <c r="E388" s="30" t="str">
        <f aca="false">IF($A388="","",SUM($G388:$AD388))</f>
        <v/>
      </c>
      <c r="F388" s="51" t="str">
        <f aca="false">IF($A388="","",N($E182)-N($E388))</f>
        <v/>
      </c>
      <c r="G388" s="51" t="str">
        <f aca="false">IF($A388="","",SUMIFS(工数明細!$G$3:$G$302,工数明細!$B$3:$B$302,$A388,工数明細!$I$3:$I$302,G$212))</f>
        <v/>
      </c>
      <c r="H388" s="51" t="str">
        <f aca="false">IF($A388="","",SUMIFS(工数明細!$G$3:$G$302,工数明細!$B$3:$B$302,$A388,工数明細!$I$3:$I$302,H$212))</f>
        <v/>
      </c>
      <c r="I388" s="51" t="str">
        <f aca="false">IF($A388="","",SUMIFS(工数明細!$G$3:$G$302,工数明細!$B$3:$B$302,$A388,工数明細!$I$3:$I$302,I$212))</f>
        <v/>
      </c>
      <c r="J388" s="51" t="str">
        <f aca="false">IF($A388="","",SUMIFS(工数明細!$G$3:$G$302,工数明細!$B$3:$B$302,$A388,工数明細!$I$3:$I$302,J$212))</f>
        <v/>
      </c>
      <c r="K388" s="51" t="str">
        <f aca="false">IF($A388="","",SUMIFS(工数明細!$G$3:$G$302,工数明細!$B$3:$B$302,$A388,工数明細!$I$3:$I$302,K$212))</f>
        <v/>
      </c>
      <c r="L388" s="51" t="str">
        <f aca="false">IF($A388="","",SUMIFS(工数明細!$G$3:$G$302,工数明細!$B$3:$B$302,$A388,工数明細!$I$3:$I$302,L$212))</f>
        <v/>
      </c>
      <c r="M388" s="51" t="str">
        <f aca="false">IF($A388="","",SUMIFS(工数明細!$G$3:$G$302,工数明細!$B$3:$B$302,$A388,工数明細!$I$3:$I$302,M$212))</f>
        <v/>
      </c>
      <c r="N388" s="51" t="str">
        <f aca="false">IF($A388="","",SUMIFS(工数明細!$G$3:$G$302,工数明細!$B$3:$B$302,$A388,工数明細!$I$3:$I$302,N$212))</f>
        <v/>
      </c>
      <c r="O388" s="51" t="str">
        <f aca="false">IF($A388="","",SUMIFS(工数明細!$G$3:$G$302,工数明細!$B$3:$B$302,$A388,工数明細!$I$3:$I$302,O$212))</f>
        <v/>
      </c>
      <c r="P388" s="51" t="str">
        <f aca="false">IF($A388="","",SUMIFS(工数明細!$G$3:$G$302,工数明細!$B$3:$B$302,$A388,工数明細!$I$3:$I$302,P$212))</f>
        <v/>
      </c>
      <c r="Q388" s="51" t="str">
        <f aca="false">IF($A388="","",SUMIFS(工数明細!$G$3:$G$302,工数明細!$B$3:$B$302,$A388,工数明細!$I$3:$I$302,Q$212))</f>
        <v/>
      </c>
      <c r="R388" s="51" t="str">
        <f aca="false">IF($A388="","",SUMIFS(工数明細!$G$3:$G$302,工数明細!$B$3:$B$302,$A388,工数明細!$I$3:$I$302,R$212))</f>
        <v/>
      </c>
      <c r="S388" s="51" t="str">
        <f aca="false">IF($A388="","",SUMIFS(工数明細!$G$3:$G$302,工数明細!$B$3:$B$302,$A388,工数明細!$I$3:$I$302,S$212))</f>
        <v/>
      </c>
      <c r="T388" s="51" t="str">
        <f aca="false">IF($A388="","",SUMIFS(工数明細!$G$3:$G$302,工数明細!$B$3:$B$302,$A388,工数明細!$I$3:$I$302,T$212))</f>
        <v/>
      </c>
      <c r="U388" s="51" t="str">
        <f aca="false">IF($A388="","",SUMIFS(工数明細!$G$3:$G$302,工数明細!$B$3:$B$302,$A388,工数明細!$I$3:$I$302,U$212))</f>
        <v/>
      </c>
      <c r="V388" s="51" t="str">
        <f aca="false">IF($A388="","",SUMIFS(工数明細!$G$3:$G$302,工数明細!$B$3:$B$302,$A388,工数明細!$I$3:$I$302,V$212))</f>
        <v/>
      </c>
      <c r="W388" s="51" t="str">
        <f aca="false">IF($A388="","",SUMIFS(工数明細!$G$3:$G$302,工数明細!$B$3:$B$302,$A388,工数明細!$I$3:$I$302,W$212))</f>
        <v/>
      </c>
      <c r="X388" s="51" t="str">
        <f aca="false">IF($A388="","",SUMIFS(工数明細!$G$3:$G$302,工数明細!$B$3:$B$302,$A388,工数明細!$I$3:$I$302,X$212))</f>
        <v/>
      </c>
      <c r="Y388" s="51" t="str">
        <f aca="false">IF($A388="","",SUMIFS(工数明細!$G$3:$G$302,工数明細!$B$3:$B$302,$A388,工数明細!$I$3:$I$302,Y$212))</f>
        <v/>
      </c>
      <c r="Z388" s="51" t="str">
        <f aca="false">IF($A388="","",SUMIFS(工数明細!$G$3:$G$302,工数明細!$B$3:$B$302,$A388,工数明細!$I$3:$I$302,Z$212))</f>
        <v/>
      </c>
      <c r="AA388" s="51" t="str">
        <f aca="false">IF($A388="","",SUMIFS(工数明細!$G$3:$G$302,工数明細!$B$3:$B$302,$A388,工数明細!$I$3:$I$302,AA$212))</f>
        <v/>
      </c>
      <c r="AB388" s="51" t="str">
        <f aca="false">IF($A388="","",SUMIFS(工数明細!$G$3:$G$302,工数明細!$B$3:$B$302,$A388,工数明細!$I$3:$I$302,AB$212))</f>
        <v/>
      </c>
      <c r="AC388" s="51" t="str">
        <f aca="false">IF($A388="","",SUMIFS(工数明細!$G$3:$G$302,工数明細!$B$3:$B$302,$A388,工数明細!$I$3:$I$302,AC$212))</f>
        <v/>
      </c>
      <c r="AD388" s="51" t="str">
        <f aca="false">IF($A388="","",SUMIFS(工数明細!$G$3:$G$302,工数明細!$B$3:$B$302,$A388,工数明細!$I$3:$I$302,AD$212))</f>
        <v/>
      </c>
    </row>
    <row r="389" customFormat="false" ht="15.75" hidden="false" customHeight="true" outlineLevel="0" collapsed="false">
      <c r="A389" s="28" t="str">
        <f aca="false">IF(案件管理!$A$178:$A$178="","",案件管理!$A$178:$A$178)</f>
        <v/>
      </c>
      <c r="B389" s="10" t="str">
        <f aca="false">IF($A389="","",案件管理!$B$178:$B$178)</f>
        <v/>
      </c>
      <c r="C389" s="10" t="str">
        <f aca="false">IF($A389="","",案件管理!$D$178:$D$178)</f>
        <v/>
      </c>
      <c r="D389" s="30" t="str">
        <f aca="false">IF($A389="","",案件管理!$AE$178:$AE$178)</f>
        <v/>
      </c>
      <c r="E389" s="30" t="str">
        <f aca="false">IF($A389="","",SUM($G389:$AD389))</f>
        <v/>
      </c>
      <c r="F389" s="51" t="str">
        <f aca="false">IF($A389="","",N($E183)-N($E389))</f>
        <v/>
      </c>
      <c r="G389" s="51" t="str">
        <f aca="false">IF($A389="","",SUMIFS(工数明細!$G$3:$G$302,工数明細!$B$3:$B$302,$A389,工数明細!$I$3:$I$302,G$212))</f>
        <v/>
      </c>
      <c r="H389" s="51" t="str">
        <f aca="false">IF($A389="","",SUMIFS(工数明細!$G$3:$G$302,工数明細!$B$3:$B$302,$A389,工数明細!$I$3:$I$302,H$212))</f>
        <v/>
      </c>
      <c r="I389" s="51" t="str">
        <f aca="false">IF($A389="","",SUMIFS(工数明細!$G$3:$G$302,工数明細!$B$3:$B$302,$A389,工数明細!$I$3:$I$302,I$212))</f>
        <v/>
      </c>
      <c r="J389" s="51" t="str">
        <f aca="false">IF($A389="","",SUMIFS(工数明細!$G$3:$G$302,工数明細!$B$3:$B$302,$A389,工数明細!$I$3:$I$302,J$212))</f>
        <v/>
      </c>
      <c r="K389" s="51" t="str">
        <f aca="false">IF($A389="","",SUMIFS(工数明細!$G$3:$G$302,工数明細!$B$3:$B$302,$A389,工数明細!$I$3:$I$302,K$212))</f>
        <v/>
      </c>
      <c r="L389" s="51" t="str">
        <f aca="false">IF($A389="","",SUMIFS(工数明細!$G$3:$G$302,工数明細!$B$3:$B$302,$A389,工数明細!$I$3:$I$302,L$212))</f>
        <v/>
      </c>
      <c r="M389" s="51" t="str">
        <f aca="false">IF($A389="","",SUMIFS(工数明細!$G$3:$G$302,工数明細!$B$3:$B$302,$A389,工数明細!$I$3:$I$302,M$212))</f>
        <v/>
      </c>
      <c r="N389" s="51" t="str">
        <f aca="false">IF($A389="","",SUMIFS(工数明細!$G$3:$G$302,工数明細!$B$3:$B$302,$A389,工数明細!$I$3:$I$302,N$212))</f>
        <v/>
      </c>
      <c r="O389" s="51" t="str">
        <f aca="false">IF($A389="","",SUMIFS(工数明細!$G$3:$G$302,工数明細!$B$3:$B$302,$A389,工数明細!$I$3:$I$302,O$212))</f>
        <v/>
      </c>
      <c r="P389" s="51" t="str">
        <f aca="false">IF($A389="","",SUMIFS(工数明細!$G$3:$G$302,工数明細!$B$3:$B$302,$A389,工数明細!$I$3:$I$302,P$212))</f>
        <v/>
      </c>
      <c r="Q389" s="51" t="str">
        <f aca="false">IF($A389="","",SUMIFS(工数明細!$G$3:$G$302,工数明細!$B$3:$B$302,$A389,工数明細!$I$3:$I$302,Q$212))</f>
        <v/>
      </c>
      <c r="R389" s="51" t="str">
        <f aca="false">IF($A389="","",SUMIFS(工数明細!$G$3:$G$302,工数明細!$B$3:$B$302,$A389,工数明細!$I$3:$I$302,R$212))</f>
        <v/>
      </c>
      <c r="S389" s="51" t="str">
        <f aca="false">IF($A389="","",SUMIFS(工数明細!$G$3:$G$302,工数明細!$B$3:$B$302,$A389,工数明細!$I$3:$I$302,S$212))</f>
        <v/>
      </c>
      <c r="T389" s="51" t="str">
        <f aca="false">IF($A389="","",SUMIFS(工数明細!$G$3:$G$302,工数明細!$B$3:$B$302,$A389,工数明細!$I$3:$I$302,T$212))</f>
        <v/>
      </c>
      <c r="U389" s="51" t="str">
        <f aca="false">IF($A389="","",SUMIFS(工数明細!$G$3:$G$302,工数明細!$B$3:$B$302,$A389,工数明細!$I$3:$I$302,U$212))</f>
        <v/>
      </c>
      <c r="V389" s="51" t="str">
        <f aca="false">IF($A389="","",SUMIFS(工数明細!$G$3:$G$302,工数明細!$B$3:$B$302,$A389,工数明細!$I$3:$I$302,V$212))</f>
        <v/>
      </c>
      <c r="W389" s="51" t="str">
        <f aca="false">IF($A389="","",SUMIFS(工数明細!$G$3:$G$302,工数明細!$B$3:$B$302,$A389,工数明細!$I$3:$I$302,W$212))</f>
        <v/>
      </c>
      <c r="X389" s="51" t="str">
        <f aca="false">IF($A389="","",SUMIFS(工数明細!$G$3:$G$302,工数明細!$B$3:$B$302,$A389,工数明細!$I$3:$I$302,X$212))</f>
        <v/>
      </c>
      <c r="Y389" s="51" t="str">
        <f aca="false">IF($A389="","",SUMIFS(工数明細!$G$3:$G$302,工数明細!$B$3:$B$302,$A389,工数明細!$I$3:$I$302,Y$212))</f>
        <v/>
      </c>
      <c r="Z389" s="51" t="str">
        <f aca="false">IF($A389="","",SUMIFS(工数明細!$G$3:$G$302,工数明細!$B$3:$B$302,$A389,工数明細!$I$3:$I$302,Z$212))</f>
        <v/>
      </c>
      <c r="AA389" s="51" t="str">
        <f aca="false">IF($A389="","",SUMIFS(工数明細!$G$3:$G$302,工数明細!$B$3:$B$302,$A389,工数明細!$I$3:$I$302,AA$212))</f>
        <v/>
      </c>
      <c r="AB389" s="51" t="str">
        <f aca="false">IF($A389="","",SUMIFS(工数明細!$G$3:$G$302,工数明細!$B$3:$B$302,$A389,工数明細!$I$3:$I$302,AB$212))</f>
        <v/>
      </c>
      <c r="AC389" s="51" t="str">
        <f aca="false">IF($A389="","",SUMIFS(工数明細!$G$3:$G$302,工数明細!$B$3:$B$302,$A389,工数明細!$I$3:$I$302,AC$212))</f>
        <v/>
      </c>
      <c r="AD389" s="51" t="str">
        <f aca="false">IF($A389="","",SUMIFS(工数明細!$G$3:$G$302,工数明細!$B$3:$B$302,$A389,工数明細!$I$3:$I$302,AD$212))</f>
        <v/>
      </c>
    </row>
    <row r="390" customFormat="false" ht="15.75" hidden="false" customHeight="true" outlineLevel="0" collapsed="false">
      <c r="A390" s="28" t="str">
        <f aca="false">IF(案件管理!$A$179:$A$179="","",案件管理!$A$179:$A$179)</f>
        <v/>
      </c>
      <c r="B390" s="10" t="str">
        <f aca="false">IF($A390="","",案件管理!$B$179:$B$179)</f>
        <v/>
      </c>
      <c r="C390" s="10" t="str">
        <f aca="false">IF($A390="","",案件管理!$D$179:$D$179)</f>
        <v/>
      </c>
      <c r="D390" s="30" t="str">
        <f aca="false">IF($A390="","",案件管理!$AE$179:$AE$179)</f>
        <v/>
      </c>
      <c r="E390" s="30" t="str">
        <f aca="false">IF($A390="","",SUM($G390:$AD390))</f>
        <v/>
      </c>
      <c r="F390" s="51" t="str">
        <f aca="false">IF($A390="","",N($E184)-N($E390))</f>
        <v/>
      </c>
      <c r="G390" s="51" t="str">
        <f aca="false">IF($A390="","",SUMIFS(工数明細!$G$3:$G$302,工数明細!$B$3:$B$302,$A390,工数明細!$I$3:$I$302,G$212))</f>
        <v/>
      </c>
      <c r="H390" s="51" t="str">
        <f aca="false">IF($A390="","",SUMIFS(工数明細!$G$3:$G$302,工数明細!$B$3:$B$302,$A390,工数明細!$I$3:$I$302,H$212))</f>
        <v/>
      </c>
      <c r="I390" s="51" t="str">
        <f aca="false">IF($A390="","",SUMIFS(工数明細!$G$3:$G$302,工数明細!$B$3:$B$302,$A390,工数明細!$I$3:$I$302,I$212))</f>
        <v/>
      </c>
      <c r="J390" s="51" t="str">
        <f aca="false">IF($A390="","",SUMIFS(工数明細!$G$3:$G$302,工数明細!$B$3:$B$302,$A390,工数明細!$I$3:$I$302,J$212))</f>
        <v/>
      </c>
      <c r="K390" s="51" t="str">
        <f aca="false">IF($A390="","",SUMIFS(工数明細!$G$3:$G$302,工数明細!$B$3:$B$302,$A390,工数明細!$I$3:$I$302,K$212))</f>
        <v/>
      </c>
      <c r="L390" s="51" t="str">
        <f aca="false">IF($A390="","",SUMIFS(工数明細!$G$3:$G$302,工数明細!$B$3:$B$302,$A390,工数明細!$I$3:$I$302,L$212))</f>
        <v/>
      </c>
      <c r="M390" s="51" t="str">
        <f aca="false">IF($A390="","",SUMIFS(工数明細!$G$3:$G$302,工数明細!$B$3:$B$302,$A390,工数明細!$I$3:$I$302,M$212))</f>
        <v/>
      </c>
      <c r="N390" s="51" t="str">
        <f aca="false">IF($A390="","",SUMIFS(工数明細!$G$3:$G$302,工数明細!$B$3:$B$302,$A390,工数明細!$I$3:$I$302,N$212))</f>
        <v/>
      </c>
      <c r="O390" s="51" t="str">
        <f aca="false">IF($A390="","",SUMIFS(工数明細!$G$3:$G$302,工数明細!$B$3:$B$302,$A390,工数明細!$I$3:$I$302,O$212))</f>
        <v/>
      </c>
      <c r="P390" s="51" t="str">
        <f aca="false">IF($A390="","",SUMIFS(工数明細!$G$3:$G$302,工数明細!$B$3:$B$302,$A390,工数明細!$I$3:$I$302,P$212))</f>
        <v/>
      </c>
      <c r="Q390" s="51" t="str">
        <f aca="false">IF($A390="","",SUMIFS(工数明細!$G$3:$G$302,工数明細!$B$3:$B$302,$A390,工数明細!$I$3:$I$302,Q$212))</f>
        <v/>
      </c>
      <c r="R390" s="51" t="str">
        <f aca="false">IF($A390="","",SUMIFS(工数明細!$G$3:$G$302,工数明細!$B$3:$B$302,$A390,工数明細!$I$3:$I$302,R$212))</f>
        <v/>
      </c>
      <c r="S390" s="51" t="str">
        <f aca="false">IF($A390="","",SUMIFS(工数明細!$G$3:$G$302,工数明細!$B$3:$B$302,$A390,工数明細!$I$3:$I$302,S$212))</f>
        <v/>
      </c>
      <c r="T390" s="51" t="str">
        <f aca="false">IF($A390="","",SUMIFS(工数明細!$G$3:$G$302,工数明細!$B$3:$B$302,$A390,工数明細!$I$3:$I$302,T$212))</f>
        <v/>
      </c>
      <c r="U390" s="51" t="str">
        <f aca="false">IF($A390="","",SUMIFS(工数明細!$G$3:$G$302,工数明細!$B$3:$B$302,$A390,工数明細!$I$3:$I$302,U$212))</f>
        <v/>
      </c>
      <c r="V390" s="51" t="str">
        <f aca="false">IF($A390="","",SUMIFS(工数明細!$G$3:$G$302,工数明細!$B$3:$B$302,$A390,工数明細!$I$3:$I$302,V$212))</f>
        <v/>
      </c>
      <c r="W390" s="51" t="str">
        <f aca="false">IF($A390="","",SUMIFS(工数明細!$G$3:$G$302,工数明細!$B$3:$B$302,$A390,工数明細!$I$3:$I$302,W$212))</f>
        <v/>
      </c>
      <c r="X390" s="51" t="str">
        <f aca="false">IF($A390="","",SUMIFS(工数明細!$G$3:$G$302,工数明細!$B$3:$B$302,$A390,工数明細!$I$3:$I$302,X$212))</f>
        <v/>
      </c>
      <c r="Y390" s="51" t="str">
        <f aca="false">IF($A390="","",SUMIFS(工数明細!$G$3:$G$302,工数明細!$B$3:$B$302,$A390,工数明細!$I$3:$I$302,Y$212))</f>
        <v/>
      </c>
      <c r="Z390" s="51" t="str">
        <f aca="false">IF($A390="","",SUMIFS(工数明細!$G$3:$G$302,工数明細!$B$3:$B$302,$A390,工数明細!$I$3:$I$302,Z$212))</f>
        <v/>
      </c>
      <c r="AA390" s="51" t="str">
        <f aca="false">IF($A390="","",SUMIFS(工数明細!$G$3:$G$302,工数明細!$B$3:$B$302,$A390,工数明細!$I$3:$I$302,AA$212))</f>
        <v/>
      </c>
      <c r="AB390" s="51" t="str">
        <f aca="false">IF($A390="","",SUMIFS(工数明細!$G$3:$G$302,工数明細!$B$3:$B$302,$A390,工数明細!$I$3:$I$302,AB$212))</f>
        <v/>
      </c>
      <c r="AC390" s="51" t="str">
        <f aca="false">IF($A390="","",SUMIFS(工数明細!$G$3:$G$302,工数明細!$B$3:$B$302,$A390,工数明細!$I$3:$I$302,AC$212))</f>
        <v/>
      </c>
      <c r="AD390" s="51" t="str">
        <f aca="false">IF($A390="","",SUMIFS(工数明細!$G$3:$G$302,工数明細!$B$3:$B$302,$A390,工数明細!$I$3:$I$302,AD$212))</f>
        <v/>
      </c>
    </row>
    <row r="391" customFormat="false" ht="15.75" hidden="false" customHeight="true" outlineLevel="0" collapsed="false">
      <c r="A391" s="28" t="str">
        <f aca="false">IF(案件管理!$A$180:$A$180="","",案件管理!$A$180:$A$180)</f>
        <v/>
      </c>
      <c r="B391" s="10" t="str">
        <f aca="false">IF($A391="","",案件管理!$B$180:$B$180)</f>
        <v/>
      </c>
      <c r="C391" s="10" t="str">
        <f aca="false">IF($A391="","",案件管理!$D$180:$D$180)</f>
        <v/>
      </c>
      <c r="D391" s="30" t="str">
        <f aca="false">IF($A391="","",案件管理!$AE$180:$AE$180)</f>
        <v/>
      </c>
      <c r="E391" s="30" t="str">
        <f aca="false">IF($A391="","",SUM($G391:$AD391))</f>
        <v/>
      </c>
      <c r="F391" s="51" t="str">
        <f aca="false">IF($A391="","",N($E185)-N($E391))</f>
        <v/>
      </c>
      <c r="G391" s="51" t="str">
        <f aca="false">IF($A391="","",SUMIFS(工数明細!$G$3:$G$302,工数明細!$B$3:$B$302,$A391,工数明細!$I$3:$I$302,G$212))</f>
        <v/>
      </c>
      <c r="H391" s="51" t="str">
        <f aca="false">IF($A391="","",SUMIFS(工数明細!$G$3:$G$302,工数明細!$B$3:$B$302,$A391,工数明細!$I$3:$I$302,H$212))</f>
        <v/>
      </c>
      <c r="I391" s="51" t="str">
        <f aca="false">IF($A391="","",SUMIFS(工数明細!$G$3:$G$302,工数明細!$B$3:$B$302,$A391,工数明細!$I$3:$I$302,I$212))</f>
        <v/>
      </c>
      <c r="J391" s="51" t="str">
        <f aca="false">IF($A391="","",SUMIFS(工数明細!$G$3:$G$302,工数明細!$B$3:$B$302,$A391,工数明細!$I$3:$I$302,J$212))</f>
        <v/>
      </c>
      <c r="K391" s="51" t="str">
        <f aca="false">IF($A391="","",SUMIFS(工数明細!$G$3:$G$302,工数明細!$B$3:$B$302,$A391,工数明細!$I$3:$I$302,K$212))</f>
        <v/>
      </c>
      <c r="L391" s="51" t="str">
        <f aca="false">IF($A391="","",SUMIFS(工数明細!$G$3:$G$302,工数明細!$B$3:$B$302,$A391,工数明細!$I$3:$I$302,L$212))</f>
        <v/>
      </c>
      <c r="M391" s="51" t="str">
        <f aca="false">IF($A391="","",SUMIFS(工数明細!$G$3:$G$302,工数明細!$B$3:$B$302,$A391,工数明細!$I$3:$I$302,M$212))</f>
        <v/>
      </c>
      <c r="N391" s="51" t="str">
        <f aca="false">IF($A391="","",SUMIFS(工数明細!$G$3:$G$302,工数明細!$B$3:$B$302,$A391,工数明細!$I$3:$I$302,N$212))</f>
        <v/>
      </c>
      <c r="O391" s="51" t="str">
        <f aca="false">IF($A391="","",SUMIFS(工数明細!$G$3:$G$302,工数明細!$B$3:$B$302,$A391,工数明細!$I$3:$I$302,O$212))</f>
        <v/>
      </c>
      <c r="P391" s="51" t="str">
        <f aca="false">IF($A391="","",SUMIFS(工数明細!$G$3:$G$302,工数明細!$B$3:$B$302,$A391,工数明細!$I$3:$I$302,P$212))</f>
        <v/>
      </c>
      <c r="Q391" s="51" t="str">
        <f aca="false">IF($A391="","",SUMIFS(工数明細!$G$3:$G$302,工数明細!$B$3:$B$302,$A391,工数明細!$I$3:$I$302,Q$212))</f>
        <v/>
      </c>
      <c r="R391" s="51" t="str">
        <f aca="false">IF($A391="","",SUMIFS(工数明細!$G$3:$G$302,工数明細!$B$3:$B$302,$A391,工数明細!$I$3:$I$302,R$212))</f>
        <v/>
      </c>
      <c r="S391" s="51" t="str">
        <f aca="false">IF($A391="","",SUMIFS(工数明細!$G$3:$G$302,工数明細!$B$3:$B$302,$A391,工数明細!$I$3:$I$302,S$212))</f>
        <v/>
      </c>
      <c r="T391" s="51" t="str">
        <f aca="false">IF($A391="","",SUMIFS(工数明細!$G$3:$G$302,工数明細!$B$3:$B$302,$A391,工数明細!$I$3:$I$302,T$212))</f>
        <v/>
      </c>
      <c r="U391" s="51" t="str">
        <f aca="false">IF($A391="","",SUMIFS(工数明細!$G$3:$G$302,工数明細!$B$3:$B$302,$A391,工数明細!$I$3:$I$302,U$212))</f>
        <v/>
      </c>
      <c r="V391" s="51" t="str">
        <f aca="false">IF($A391="","",SUMIFS(工数明細!$G$3:$G$302,工数明細!$B$3:$B$302,$A391,工数明細!$I$3:$I$302,V$212))</f>
        <v/>
      </c>
      <c r="W391" s="51" t="str">
        <f aca="false">IF($A391="","",SUMIFS(工数明細!$G$3:$G$302,工数明細!$B$3:$B$302,$A391,工数明細!$I$3:$I$302,W$212))</f>
        <v/>
      </c>
      <c r="X391" s="51" t="str">
        <f aca="false">IF($A391="","",SUMIFS(工数明細!$G$3:$G$302,工数明細!$B$3:$B$302,$A391,工数明細!$I$3:$I$302,X$212))</f>
        <v/>
      </c>
      <c r="Y391" s="51" t="str">
        <f aca="false">IF($A391="","",SUMIFS(工数明細!$G$3:$G$302,工数明細!$B$3:$B$302,$A391,工数明細!$I$3:$I$302,Y$212))</f>
        <v/>
      </c>
      <c r="Z391" s="51" t="str">
        <f aca="false">IF($A391="","",SUMIFS(工数明細!$G$3:$G$302,工数明細!$B$3:$B$302,$A391,工数明細!$I$3:$I$302,Z$212))</f>
        <v/>
      </c>
      <c r="AA391" s="51" t="str">
        <f aca="false">IF($A391="","",SUMIFS(工数明細!$G$3:$G$302,工数明細!$B$3:$B$302,$A391,工数明細!$I$3:$I$302,AA$212))</f>
        <v/>
      </c>
      <c r="AB391" s="51" t="str">
        <f aca="false">IF($A391="","",SUMIFS(工数明細!$G$3:$G$302,工数明細!$B$3:$B$302,$A391,工数明細!$I$3:$I$302,AB$212))</f>
        <v/>
      </c>
      <c r="AC391" s="51" t="str">
        <f aca="false">IF($A391="","",SUMIFS(工数明細!$G$3:$G$302,工数明細!$B$3:$B$302,$A391,工数明細!$I$3:$I$302,AC$212))</f>
        <v/>
      </c>
      <c r="AD391" s="51" t="str">
        <f aca="false">IF($A391="","",SUMIFS(工数明細!$G$3:$G$302,工数明細!$B$3:$B$302,$A391,工数明細!$I$3:$I$302,AD$212))</f>
        <v/>
      </c>
    </row>
    <row r="392" customFormat="false" ht="15.75" hidden="false" customHeight="true" outlineLevel="0" collapsed="false">
      <c r="A392" s="28" t="str">
        <f aca="false">IF(案件管理!$A$181:$A$181="","",案件管理!$A$181:$A$181)</f>
        <v/>
      </c>
      <c r="B392" s="10" t="str">
        <f aca="false">IF($A392="","",案件管理!$B$181:$B$181)</f>
        <v/>
      </c>
      <c r="C392" s="10" t="str">
        <f aca="false">IF($A392="","",案件管理!$D$181:$D$181)</f>
        <v/>
      </c>
      <c r="D392" s="30" t="str">
        <f aca="false">IF($A392="","",案件管理!$AE$181:$AE$181)</f>
        <v/>
      </c>
      <c r="E392" s="30" t="str">
        <f aca="false">IF($A392="","",SUM($G392:$AD392))</f>
        <v/>
      </c>
      <c r="F392" s="51" t="str">
        <f aca="false">IF($A392="","",N($E186)-N($E392))</f>
        <v/>
      </c>
      <c r="G392" s="51" t="str">
        <f aca="false">IF($A392="","",SUMIFS(工数明細!$G$3:$G$302,工数明細!$B$3:$B$302,$A392,工数明細!$I$3:$I$302,G$212))</f>
        <v/>
      </c>
      <c r="H392" s="51" t="str">
        <f aca="false">IF($A392="","",SUMIFS(工数明細!$G$3:$G$302,工数明細!$B$3:$B$302,$A392,工数明細!$I$3:$I$302,H$212))</f>
        <v/>
      </c>
      <c r="I392" s="51" t="str">
        <f aca="false">IF($A392="","",SUMIFS(工数明細!$G$3:$G$302,工数明細!$B$3:$B$302,$A392,工数明細!$I$3:$I$302,I$212))</f>
        <v/>
      </c>
      <c r="J392" s="51" t="str">
        <f aca="false">IF($A392="","",SUMIFS(工数明細!$G$3:$G$302,工数明細!$B$3:$B$302,$A392,工数明細!$I$3:$I$302,J$212))</f>
        <v/>
      </c>
      <c r="K392" s="51" t="str">
        <f aca="false">IF($A392="","",SUMIFS(工数明細!$G$3:$G$302,工数明細!$B$3:$B$302,$A392,工数明細!$I$3:$I$302,K$212))</f>
        <v/>
      </c>
      <c r="L392" s="51" t="str">
        <f aca="false">IF($A392="","",SUMIFS(工数明細!$G$3:$G$302,工数明細!$B$3:$B$302,$A392,工数明細!$I$3:$I$302,L$212))</f>
        <v/>
      </c>
      <c r="M392" s="51" t="str">
        <f aca="false">IF($A392="","",SUMIFS(工数明細!$G$3:$G$302,工数明細!$B$3:$B$302,$A392,工数明細!$I$3:$I$302,M$212))</f>
        <v/>
      </c>
      <c r="N392" s="51" t="str">
        <f aca="false">IF($A392="","",SUMIFS(工数明細!$G$3:$G$302,工数明細!$B$3:$B$302,$A392,工数明細!$I$3:$I$302,N$212))</f>
        <v/>
      </c>
      <c r="O392" s="51" t="str">
        <f aca="false">IF($A392="","",SUMIFS(工数明細!$G$3:$G$302,工数明細!$B$3:$B$302,$A392,工数明細!$I$3:$I$302,O$212))</f>
        <v/>
      </c>
      <c r="P392" s="51" t="str">
        <f aca="false">IF($A392="","",SUMIFS(工数明細!$G$3:$G$302,工数明細!$B$3:$B$302,$A392,工数明細!$I$3:$I$302,P$212))</f>
        <v/>
      </c>
      <c r="Q392" s="51" t="str">
        <f aca="false">IF($A392="","",SUMIFS(工数明細!$G$3:$G$302,工数明細!$B$3:$B$302,$A392,工数明細!$I$3:$I$302,Q$212))</f>
        <v/>
      </c>
      <c r="R392" s="51" t="str">
        <f aca="false">IF($A392="","",SUMIFS(工数明細!$G$3:$G$302,工数明細!$B$3:$B$302,$A392,工数明細!$I$3:$I$302,R$212))</f>
        <v/>
      </c>
      <c r="S392" s="51" t="str">
        <f aca="false">IF($A392="","",SUMIFS(工数明細!$G$3:$G$302,工数明細!$B$3:$B$302,$A392,工数明細!$I$3:$I$302,S$212))</f>
        <v/>
      </c>
      <c r="T392" s="51" t="str">
        <f aca="false">IF($A392="","",SUMIFS(工数明細!$G$3:$G$302,工数明細!$B$3:$B$302,$A392,工数明細!$I$3:$I$302,T$212))</f>
        <v/>
      </c>
      <c r="U392" s="51" t="str">
        <f aca="false">IF($A392="","",SUMIFS(工数明細!$G$3:$G$302,工数明細!$B$3:$B$302,$A392,工数明細!$I$3:$I$302,U$212))</f>
        <v/>
      </c>
      <c r="V392" s="51" t="str">
        <f aca="false">IF($A392="","",SUMIFS(工数明細!$G$3:$G$302,工数明細!$B$3:$B$302,$A392,工数明細!$I$3:$I$302,V$212))</f>
        <v/>
      </c>
      <c r="W392" s="51" t="str">
        <f aca="false">IF($A392="","",SUMIFS(工数明細!$G$3:$G$302,工数明細!$B$3:$B$302,$A392,工数明細!$I$3:$I$302,W$212))</f>
        <v/>
      </c>
      <c r="X392" s="51" t="str">
        <f aca="false">IF($A392="","",SUMIFS(工数明細!$G$3:$G$302,工数明細!$B$3:$B$302,$A392,工数明細!$I$3:$I$302,X$212))</f>
        <v/>
      </c>
      <c r="Y392" s="51" t="str">
        <f aca="false">IF($A392="","",SUMIFS(工数明細!$G$3:$G$302,工数明細!$B$3:$B$302,$A392,工数明細!$I$3:$I$302,Y$212))</f>
        <v/>
      </c>
      <c r="Z392" s="51" t="str">
        <f aca="false">IF($A392="","",SUMIFS(工数明細!$G$3:$G$302,工数明細!$B$3:$B$302,$A392,工数明細!$I$3:$I$302,Z$212))</f>
        <v/>
      </c>
      <c r="AA392" s="51" t="str">
        <f aca="false">IF($A392="","",SUMIFS(工数明細!$G$3:$G$302,工数明細!$B$3:$B$302,$A392,工数明細!$I$3:$I$302,AA$212))</f>
        <v/>
      </c>
      <c r="AB392" s="51" t="str">
        <f aca="false">IF($A392="","",SUMIFS(工数明細!$G$3:$G$302,工数明細!$B$3:$B$302,$A392,工数明細!$I$3:$I$302,AB$212))</f>
        <v/>
      </c>
      <c r="AC392" s="51" t="str">
        <f aca="false">IF($A392="","",SUMIFS(工数明細!$G$3:$G$302,工数明細!$B$3:$B$302,$A392,工数明細!$I$3:$I$302,AC$212))</f>
        <v/>
      </c>
      <c r="AD392" s="51" t="str">
        <f aca="false">IF($A392="","",SUMIFS(工数明細!$G$3:$G$302,工数明細!$B$3:$B$302,$A392,工数明細!$I$3:$I$302,AD$212))</f>
        <v/>
      </c>
    </row>
    <row r="393" customFormat="false" ht="15.75" hidden="false" customHeight="true" outlineLevel="0" collapsed="false">
      <c r="A393" s="28" t="str">
        <f aca="false">IF(案件管理!$A$182:$A$182="","",案件管理!$A$182:$A$182)</f>
        <v/>
      </c>
      <c r="B393" s="10" t="str">
        <f aca="false">IF($A393="","",案件管理!$B$182:$B$182)</f>
        <v/>
      </c>
      <c r="C393" s="10" t="str">
        <f aca="false">IF($A393="","",案件管理!$D$182:$D$182)</f>
        <v/>
      </c>
      <c r="D393" s="30" t="str">
        <f aca="false">IF($A393="","",案件管理!$AE$182:$AE$182)</f>
        <v/>
      </c>
      <c r="E393" s="30" t="str">
        <f aca="false">IF($A393="","",SUM($G393:$AD393))</f>
        <v/>
      </c>
      <c r="F393" s="51" t="str">
        <f aca="false">IF($A393="","",N($E187)-N($E393))</f>
        <v/>
      </c>
      <c r="G393" s="51" t="str">
        <f aca="false">IF($A393="","",SUMIFS(工数明細!$G$3:$G$302,工数明細!$B$3:$B$302,$A393,工数明細!$I$3:$I$302,G$212))</f>
        <v/>
      </c>
      <c r="H393" s="51" t="str">
        <f aca="false">IF($A393="","",SUMIFS(工数明細!$G$3:$G$302,工数明細!$B$3:$B$302,$A393,工数明細!$I$3:$I$302,H$212))</f>
        <v/>
      </c>
      <c r="I393" s="51" t="str">
        <f aca="false">IF($A393="","",SUMIFS(工数明細!$G$3:$G$302,工数明細!$B$3:$B$302,$A393,工数明細!$I$3:$I$302,I$212))</f>
        <v/>
      </c>
      <c r="J393" s="51" t="str">
        <f aca="false">IF($A393="","",SUMIFS(工数明細!$G$3:$G$302,工数明細!$B$3:$B$302,$A393,工数明細!$I$3:$I$302,J$212))</f>
        <v/>
      </c>
      <c r="K393" s="51" t="str">
        <f aca="false">IF($A393="","",SUMIFS(工数明細!$G$3:$G$302,工数明細!$B$3:$B$302,$A393,工数明細!$I$3:$I$302,K$212))</f>
        <v/>
      </c>
      <c r="L393" s="51" t="str">
        <f aca="false">IF($A393="","",SUMIFS(工数明細!$G$3:$G$302,工数明細!$B$3:$B$302,$A393,工数明細!$I$3:$I$302,L$212))</f>
        <v/>
      </c>
      <c r="M393" s="51" t="str">
        <f aca="false">IF($A393="","",SUMIFS(工数明細!$G$3:$G$302,工数明細!$B$3:$B$302,$A393,工数明細!$I$3:$I$302,M$212))</f>
        <v/>
      </c>
      <c r="N393" s="51" t="str">
        <f aca="false">IF($A393="","",SUMIFS(工数明細!$G$3:$G$302,工数明細!$B$3:$B$302,$A393,工数明細!$I$3:$I$302,N$212))</f>
        <v/>
      </c>
      <c r="O393" s="51" t="str">
        <f aca="false">IF($A393="","",SUMIFS(工数明細!$G$3:$G$302,工数明細!$B$3:$B$302,$A393,工数明細!$I$3:$I$302,O$212))</f>
        <v/>
      </c>
      <c r="P393" s="51" t="str">
        <f aca="false">IF($A393="","",SUMIFS(工数明細!$G$3:$G$302,工数明細!$B$3:$B$302,$A393,工数明細!$I$3:$I$302,P$212))</f>
        <v/>
      </c>
      <c r="Q393" s="51" t="str">
        <f aca="false">IF($A393="","",SUMIFS(工数明細!$G$3:$G$302,工数明細!$B$3:$B$302,$A393,工数明細!$I$3:$I$302,Q$212))</f>
        <v/>
      </c>
      <c r="R393" s="51" t="str">
        <f aca="false">IF($A393="","",SUMIFS(工数明細!$G$3:$G$302,工数明細!$B$3:$B$302,$A393,工数明細!$I$3:$I$302,R$212))</f>
        <v/>
      </c>
      <c r="S393" s="51" t="str">
        <f aca="false">IF($A393="","",SUMIFS(工数明細!$G$3:$G$302,工数明細!$B$3:$B$302,$A393,工数明細!$I$3:$I$302,S$212))</f>
        <v/>
      </c>
      <c r="T393" s="51" t="str">
        <f aca="false">IF($A393="","",SUMIFS(工数明細!$G$3:$G$302,工数明細!$B$3:$B$302,$A393,工数明細!$I$3:$I$302,T$212))</f>
        <v/>
      </c>
      <c r="U393" s="51" t="str">
        <f aca="false">IF($A393="","",SUMIFS(工数明細!$G$3:$G$302,工数明細!$B$3:$B$302,$A393,工数明細!$I$3:$I$302,U$212))</f>
        <v/>
      </c>
      <c r="V393" s="51" t="str">
        <f aca="false">IF($A393="","",SUMIFS(工数明細!$G$3:$G$302,工数明細!$B$3:$B$302,$A393,工数明細!$I$3:$I$302,V$212))</f>
        <v/>
      </c>
      <c r="W393" s="51" t="str">
        <f aca="false">IF($A393="","",SUMIFS(工数明細!$G$3:$G$302,工数明細!$B$3:$B$302,$A393,工数明細!$I$3:$I$302,W$212))</f>
        <v/>
      </c>
      <c r="X393" s="51" t="str">
        <f aca="false">IF($A393="","",SUMIFS(工数明細!$G$3:$G$302,工数明細!$B$3:$B$302,$A393,工数明細!$I$3:$I$302,X$212))</f>
        <v/>
      </c>
      <c r="Y393" s="51" t="str">
        <f aca="false">IF($A393="","",SUMIFS(工数明細!$G$3:$G$302,工数明細!$B$3:$B$302,$A393,工数明細!$I$3:$I$302,Y$212))</f>
        <v/>
      </c>
      <c r="Z393" s="51" t="str">
        <f aca="false">IF($A393="","",SUMIFS(工数明細!$G$3:$G$302,工数明細!$B$3:$B$302,$A393,工数明細!$I$3:$I$302,Z$212))</f>
        <v/>
      </c>
      <c r="AA393" s="51" t="str">
        <f aca="false">IF($A393="","",SUMIFS(工数明細!$G$3:$G$302,工数明細!$B$3:$B$302,$A393,工数明細!$I$3:$I$302,AA$212))</f>
        <v/>
      </c>
      <c r="AB393" s="51" t="str">
        <f aca="false">IF($A393="","",SUMIFS(工数明細!$G$3:$G$302,工数明細!$B$3:$B$302,$A393,工数明細!$I$3:$I$302,AB$212))</f>
        <v/>
      </c>
      <c r="AC393" s="51" t="str">
        <f aca="false">IF($A393="","",SUMIFS(工数明細!$G$3:$G$302,工数明細!$B$3:$B$302,$A393,工数明細!$I$3:$I$302,AC$212))</f>
        <v/>
      </c>
      <c r="AD393" s="51" t="str">
        <f aca="false">IF($A393="","",SUMIFS(工数明細!$G$3:$G$302,工数明細!$B$3:$B$302,$A393,工数明細!$I$3:$I$302,AD$212))</f>
        <v/>
      </c>
    </row>
    <row r="394" customFormat="false" ht="15.75" hidden="false" customHeight="true" outlineLevel="0" collapsed="false">
      <c r="A394" s="28" t="str">
        <f aca="false">IF(案件管理!$A$183:$A$183="","",案件管理!$A$183:$A$183)</f>
        <v/>
      </c>
      <c r="B394" s="10" t="str">
        <f aca="false">IF($A394="","",案件管理!$B$183:$B$183)</f>
        <v/>
      </c>
      <c r="C394" s="10" t="str">
        <f aca="false">IF($A394="","",案件管理!$D$183:$D$183)</f>
        <v/>
      </c>
      <c r="D394" s="30" t="str">
        <f aca="false">IF($A394="","",案件管理!$AE$183:$AE$183)</f>
        <v/>
      </c>
      <c r="E394" s="30" t="str">
        <f aca="false">IF($A394="","",SUM($G394:$AD394))</f>
        <v/>
      </c>
      <c r="F394" s="51" t="str">
        <f aca="false">IF($A394="","",N($E188)-N($E394))</f>
        <v/>
      </c>
      <c r="G394" s="51" t="str">
        <f aca="false">IF($A394="","",SUMIFS(工数明細!$G$3:$G$302,工数明細!$B$3:$B$302,$A394,工数明細!$I$3:$I$302,G$212))</f>
        <v/>
      </c>
      <c r="H394" s="51" t="str">
        <f aca="false">IF($A394="","",SUMIFS(工数明細!$G$3:$G$302,工数明細!$B$3:$B$302,$A394,工数明細!$I$3:$I$302,H$212))</f>
        <v/>
      </c>
      <c r="I394" s="51" t="str">
        <f aca="false">IF($A394="","",SUMIFS(工数明細!$G$3:$G$302,工数明細!$B$3:$B$302,$A394,工数明細!$I$3:$I$302,I$212))</f>
        <v/>
      </c>
      <c r="J394" s="51" t="str">
        <f aca="false">IF($A394="","",SUMIFS(工数明細!$G$3:$G$302,工数明細!$B$3:$B$302,$A394,工数明細!$I$3:$I$302,J$212))</f>
        <v/>
      </c>
      <c r="K394" s="51" t="str">
        <f aca="false">IF($A394="","",SUMIFS(工数明細!$G$3:$G$302,工数明細!$B$3:$B$302,$A394,工数明細!$I$3:$I$302,K$212))</f>
        <v/>
      </c>
      <c r="L394" s="51" t="str">
        <f aca="false">IF($A394="","",SUMIFS(工数明細!$G$3:$G$302,工数明細!$B$3:$B$302,$A394,工数明細!$I$3:$I$302,L$212))</f>
        <v/>
      </c>
      <c r="M394" s="51" t="str">
        <f aca="false">IF($A394="","",SUMIFS(工数明細!$G$3:$G$302,工数明細!$B$3:$B$302,$A394,工数明細!$I$3:$I$302,M$212))</f>
        <v/>
      </c>
      <c r="N394" s="51" t="str">
        <f aca="false">IF($A394="","",SUMIFS(工数明細!$G$3:$G$302,工数明細!$B$3:$B$302,$A394,工数明細!$I$3:$I$302,N$212))</f>
        <v/>
      </c>
      <c r="O394" s="51" t="str">
        <f aca="false">IF($A394="","",SUMIFS(工数明細!$G$3:$G$302,工数明細!$B$3:$B$302,$A394,工数明細!$I$3:$I$302,O$212))</f>
        <v/>
      </c>
      <c r="P394" s="51" t="str">
        <f aca="false">IF($A394="","",SUMIFS(工数明細!$G$3:$G$302,工数明細!$B$3:$B$302,$A394,工数明細!$I$3:$I$302,P$212))</f>
        <v/>
      </c>
      <c r="Q394" s="51" t="str">
        <f aca="false">IF($A394="","",SUMIFS(工数明細!$G$3:$G$302,工数明細!$B$3:$B$302,$A394,工数明細!$I$3:$I$302,Q$212))</f>
        <v/>
      </c>
      <c r="R394" s="51" t="str">
        <f aca="false">IF($A394="","",SUMIFS(工数明細!$G$3:$G$302,工数明細!$B$3:$B$302,$A394,工数明細!$I$3:$I$302,R$212))</f>
        <v/>
      </c>
      <c r="S394" s="51" t="str">
        <f aca="false">IF($A394="","",SUMIFS(工数明細!$G$3:$G$302,工数明細!$B$3:$B$302,$A394,工数明細!$I$3:$I$302,S$212))</f>
        <v/>
      </c>
      <c r="T394" s="51" t="str">
        <f aca="false">IF($A394="","",SUMIFS(工数明細!$G$3:$G$302,工数明細!$B$3:$B$302,$A394,工数明細!$I$3:$I$302,T$212))</f>
        <v/>
      </c>
      <c r="U394" s="51" t="str">
        <f aca="false">IF($A394="","",SUMIFS(工数明細!$G$3:$G$302,工数明細!$B$3:$B$302,$A394,工数明細!$I$3:$I$302,U$212))</f>
        <v/>
      </c>
      <c r="V394" s="51" t="str">
        <f aca="false">IF($A394="","",SUMIFS(工数明細!$G$3:$G$302,工数明細!$B$3:$B$302,$A394,工数明細!$I$3:$I$302,V$212))</f>
        <v/>
      </c>
      <c r="W394" s="51" t="str">
        <f aca="false">IF($A394="","",SUMIFS(工数明細!$G$3:$G$302,工数明細!$B$3:$B$302,$A394,工数明細!$I$3:$I$302,W$212))</f>
        <v/>
      </c>
      <c r="X394" s="51" t="str">
        <f aca="false">IF($A394="","",SUMIFS(工数明細!$G$3:$G$302,工数明細!$B$3:$B$302,$A394,工数明細!$I$3:$I$302,X$212))</f>
        <v/>
      </c>
      <c r="Y394" s="51" t="str">
        <f aca="false">IF($A394="","",SUMIFS(工数明細!$G$3:$G$302,工数明細!$B$3:$B$302,$A394,工数明細!$I$3:$I$302,Y$212))</f>
        <v/>
      </c>
      <c r="Z394" s="51" t="str">
        <f aca="false">IF($A394="","",SUMIFS(工数明細!$G$3:$G$302,工数明細!$B$3:$B$302,$A394,工数明細!$I$3:$I$302,Z$212))</f>
        <v/>
      </c>
      <c r="AA394" s="51" t="str">
        <f aca="false">IF($A394="","",SUMIFS(工数明細!$G$3:$G$302,工数明細!$B$3:$B$302,$A394,工数明細!$I$3:$I$302,AA$212))</f>
        <v/>
      </c>
      <c r="AB394" s="51" t="str">
        <f aca="false">IF($A394="","",SUMIFS(工数明細!$G$3:$G$302,工数明細!$B$3:$B$302,$A394,工数明細!$I$3:$I$302,AB$212))</f>
        <v/>
      </c>
      <c r="AC394" s="51" t="str">
        <f aca="false">IF($A394="","",SUMIFS(工数明細!$G$3:$G$302,工数明細!$B$3:$B$302,$A394,工数明細!$I$3:$I$302,AC$212))</f>
        <v/>
      </c>
      <c r="AD394" s="51" t="str">
        <f aca="false">IF($A394="","",SUMIFS(工数明細!$G$3:$G$302,工数明細!$B$3:$B$302,$A394,工数明細!$I$3:$I$302,AD$212))</f>
        <v/>
      </c>
    </row>
    <row r="395" customFormat="false" ht="15.75" hidden="false" customHeight="true" outlineLevel="0" collapsed="false">
      <c r="A395" s="28" t="str">
        <f aca="false">IF(案件管理!$A$184:$A$184="","",案件管理!$A$184:$A$184)</f>
        <v/>
      </c>
      <c r="B395" s="10" t="str">
        <f aca="false">IF($A395="","",案件管理!$B$184:$B$184)</f>
        <v/>
      </c>
      <c r="C395" s="10" t="str">
        <f aca="false">IF($A395="","",案件管理!$D$184:$D$184)</f>
        <v/>
      </c>
      <c r="D395" s="30" t="str">
        <f aca="false">IF($A395="","",案件管理!$AE$184:$AE$184)</f>
        <v/>
      </c>
      <c r="E395" s="30" t="str">
        <f aca="false">IF($A395="","",SUM($G395:$AD395))</f>
        <v/>
      </c>
      <c r="F395" s="51" t="str">
        <f aca="false">IF($A395="","",N($E189)-N($E395))</f>
        <v/>
      </c>
      <c r="G395" s="51" t="str">
        <f aca="false">IF($A395="","",SUMIFS(工数明細!$G$3:$G$302,工数明細!$B$3:$B$302,$A395,工数明細!$I$3:$I$302,G$212))</f>
        <v/>
      </c>
      <c r="H395" s="51" t="str">
        <f aca="false">IF($A395="","",SUMIFS(工数明細!$G$3:$G$302,工数明細!$B$3:$B$302,$A395,工数明細!$I$3:$I$302,H$212))</f>
        <v/>
      </c>
      <c r="I395" s="51" t="str">
        <f aca="false">IF($A395="","",SUMIFS(工数明細!$G$3:$G$302,工数明細!$B$3:$B$302,$A395,工数明細!$I$3:$I$302,I$212))</f>
        <v/>
      </c>
      <c r="J395" s="51" t="str">
        <f aca="false">IF($A395="","",SUMIFS(工数明細!$G$3:$G$302,工数明細!$B$3:$B$302,$A395,工数明細!$I$3:$I$302,J$212))</f>
        <v/>
      </c>
      <c r="K395" s="51" t="str">
        <f aca="false">IF($A395="","",SUMIFS(工数明細!$G$3:$G$302,工数明細!$B$3:$B$302,$A395,工数明細!$I$3:$I$302,K$212))</f>
        <v/>
      </c>
      <c r="L395" s="51" t="str">
        <f aca="false">IF($A395="","",SUMIFS(工数明細!$G$3:$G$302,工数明細!$B$3:$B$302,$A395,工数明細!$I$3:$I$302,L$212))</f>
        <v/>
      </c>
      <c r="M395" s="51" t="str">
        <f aca="false">IF($A395="","",SUMIFS(工数明細!$G$3:$G$302,工数明細!$B$3:$B$302,$A395,工数明細!$I$3:$I$302,M$212))</f>
        <v/>
      </c>
      <c r="N395" s="51" t="str">
        <f aca="false">IF($A395="","",SUMIFS(工数明細!$G$3:$G$302,工数明細!$B$3:$B$302,$A395,工数明細!$I$3:$I$302,N$212))</f>
        <v/>
      </c>
      <c r="O395" s="51" t="str">
        <f aca="false">IF($A395="","",SUMIFS(工数明細!$G$3:$G$302,工数明細!$B$3:$B$302,$A395,工数明細!$I$3:$I$302,O$212))</f>
        <v/>
      </c>
      <c r="P395" s="51" t="str">
        <f aca="false">IF($A395="","",SUMIFS(工数明細!$G$3:$G$302,工数明細!$B$3:$B$302,$A395,工数明細!$I$3:$I$302,P$212))</f>
        <v/>
      </c>
      <c r="Q395" s="51" t="str">
        <f aca="false">IF($A395="","",SUMIFS(工数明細!$G$3:$G$302,工数明細!$B$3:$B$302,$A395,工数明細!$I$3:$I$302,Q$212))</f>
        <v/>
      </c>
      <c r="R395" s="51" t="str">
        <f aca="false">IF($A395="","",SUMIFS(工数明細!$G$3:$G$302,工数明細!$B$3:$B$302,$A395,工数明細!$I$3:$I$302,R$212))</f>
        <v/>
      </c>
      <c r="S395" s="51" t="str">
        <f aca="false">IF($A395="","",SUMIFS(工数明細!$G$3:$G$302,工数明細!$B$3:$B$302,$A395,工数明細!$I$3:$I$302,S$212))</f>
        <v/>
      </c>
      <c r="T395" s="51" t="str">
        <f aca="false">IF($A395="","",SUMIFS(工数明細!$G$3:$G$302,工数明細!$B$3:$B$302,$A395,工数明細!$I$3:$I$302,T$212))</f>
        <v/>
      </c>
      <c r="U395" s="51" t="str">
        <f aca="false">IF($A395="","",SUMIFS(工数明細!$G$3:$G$302,工数明細!$B$3:$B$302,$A395,工数明細!$I$3:$I$302,U$212))</f>
        <v/>
      </c>
      <c r="V395" s="51" t="str">
        <f aca="false">IF($A395="","",SUMIFS(工数明細!$G$3:$G$302,工数明細!$B$3:$B$302,$A395,工数明細!$I$3:$I$302,V$212))</f>
        <v/>
      </c>
      <c r="W395" s="51" t="str">
        <f aca="false">IF($A395="","",SUMIFS(工数明細!$G$3:$G$302,工数明細!$B$3:$B$302,$A395,工数明細!$I$3:$I$302,W$212))</f>
        <v/>
      </c>
      <c r="X395" s="51" t="str">
        <f aca="false">IF($A395="","",SUMIFS(工数明細!$G$3:$G$302,工数明細!$B$3:$B$302,$A395,工数明細!$I$3:$I$302,X$212))</f>
        <v/>
      </c>
      <c r="Y395" s="51" t="str">
        <f aca="false">IF($A395="","",SUMIFS(工数明細!$G$3:$G$302,工数明細!$B$3:$B$302,$A395,工数明細!$I$3:$I$302,Y$212))</f>
        <v/>
      </c>
      <c r="Z395" s="51" t="str">
        <f aca="false">IF($A395="","",SUMIFS(工数明細!$G$3:$G$302,工数明細!$B$3:$B$302,$A395,工数明細!$I$3:$I$302,Z$212))</f>
        <v/>
      </c>
      <c r="AA395" s="51" t="str">
        <f aca="false">IF($A395="","",SUMIFS(工数明細!$G$3:$G$302,工数明細!$B$3:$B$302,$A395,工数明細!$I$3:$I$302,AA$212))</f>
        <v/>
      </c>
      <c r="AB395" s="51" t="str">
        <f aca="false">IF($A395="","",SUMIFS(工数明細!$G$3:$G$302,工数明細!$B$3:$B$302,$A395,工数明細!$I$3:$I$302,AB$212))</f>
        <v/>
      </c>
      <c r="AC395" s="51" t="str">
        <f aca="false">IF($A395="","",SUMIFS(工数明細!$G$3:$G$302,工数明細!$B$3:$B$302,$A395,工数明細!$I$3:$I$302,AC$212))</f>
        <v/>
      </c>
      <c r="AD395" s="51" t="str">
        <f aca="false">IF($A395="","",SUMIFS(工数明細!$G$3:$G$302,工数明細!$B$3:$B$302,$A395,工数明細!$I$3:$I$302,AD$212))</f>
        <v/>
      </c>
    </row>
    <row r="396" customFormat="false" ht="15.75" hidden="false" customHeight="true" outlineLevel="0" collapsed="false">
      <c r="A396" s="28" t="str">
        <f aca="false">IF(案件管理!$A$185:$A$185="","",案件管理!$A$185:$A$185)</f>
        <v/>
      </c>
      <c r="B396" s="10" t="str">
        <f aca="false">IF($A396="","",案件管理!$B$185:$B$185)</f>
        <v/>
      </c>
      <c r="C396" s="10" t="str">
        <f aca="false">IF($A396="","",案件管理!$D$185:$D$185)</f>
        <v/>
      </c>
      <c r="D396" s="30" t="str">
        <f aca="false">IF($A396="","",案件管理!$AE$185:$AE$185)</f>
        <v/>
      </c>
      <c r="E396" s="30" t="str">
        <f aca="false">IF($A396="","",SUM($G396:$AD396))</f>
        <v/>
      </c>
      <c r="F396" s="51" t="str">
        <f aca="false">IF($A396="","",N($E190)-N($E396))</f>
        <v/>
      </c>
      <c r="G396" s="51" t="str">
        <f aca="false">IF($A396="","",SUMIFS(工数明細!$G$3:$G$302,工数明細!$B$3:$B$302,$A396,工数明細!$I$3:$I$302,G$212))</f>
        <v/>
      </c>
      <c r="H396" s="51" t="str">
        <f aca="false">IF($A396="","",SUMIFS(工数明細!$G$3:$G$302,工数明細!$B$3:$B$302,$A396,工数明細!$I$3:$I$302,H$212))</f>
        <v/>
      </c>
      <c r="I396" s="51" t="str">
        <f aca="false">IF($A396="","",SUMIFS(工数明細!$G$3:$G$302,工数明細!$B$3:$B$302,$A396,工数明細!$I$3:$I$302,I$212))</f>
        <v/>
      </c>
      <c r="J396" s="51" t="str">
        <f aca="false">IF($A396="","",SUMIFS(工数明細!$G$3:$G$302,工数明細!$B$3:$B$302,$A396,工数明細!$I$3:$I$302,J$212))</f>
        <v/>
      </c>
      <c r="K396" s="51" t="str">
        <f aca="false">IF($A396="","",SUMIFS(工数明細!$G$3:$G$302,工数明細!$B$3:$B$302,$A396,工数明細!$I$3:$I$302,K$212))</f>
        <v/>
      </c>
      <c r="L396" s="51" t="str">
        <f aca="false">IF($A396="","",SUMIFS(工数明細!$G$3:$G$302,工数明細!$B$3:$B$302,$A396,工数明細!$I$3:$I$302,L$212))</f>
        <v/>
      </c>
      <c r="M396" s="51" t="str">
        <f aca="false">IF($A396="","",SUMIFS(工数明細!$G$3:$G$302,工数明細!$B$3:$B$302,$A396,工数明細!$I$3:$I$302,M$212))</f>
        <v/>
      </c>
      <c r="N396" s="51" t="str">
        <f aca="false">IF($A396="","",SUMIFS(工数明細!$G$3:$G$302,工数明細!$B$3:$B$302,$A396,工数明細!$I$3:$I$302,N$212))</f>
        <v/>
      </c>
      <c r="O396" s="51" t="str">
        <f aca="false">IF($A396="","",SUMIFS(工数明細!$G$3:$G$302,工数明細!$B$3:$B$302,$A396,工数明細!$I$3:$I$302,O$212))</f>
        <v/>
      </c>
      <c r="P396" s="51" t="str">
        <f aca="false">IF($A396="","",SUMIFS(工数明細!$G$3:$G$302,工数明細!$B$3:$B$302,$A396,工数明細!$I$3:$I$302,P$212))</f>
        <v/>
      </c>
      <c r="Q396" s="51" t="str">
        <f aca="false">IF($A396="","",SUMIFS(工数明細!$G$3:$G$302,工数明細!$B$3:$B$302,$A396,工数明細!$I$3:$I$302,Q$212))</f>
        <v/>
      </c>
      <c r="R396" s="51" t="str">
        <f aca="false">IF($A396="","",SUMIFS(工数明細!$G$3:$G$302,工数明細!$B$3:$B$302,$A396,工数明細!$I$3:$I$302,R$212))</f>
        <v/>
      </c>
      <c r="S396" s="51" t="str">
        <f aca="false">IF($A396="","",SUMIFS(工数明細!$G$3:$G$302,工数明細!$B$3:$B$302,$A396,工数明細!$I$3:$I$302,S$212))</f>
        <v/>
      </c>
      <c r="T396" s="51" t="str">
        <f aca="false">IF($A396="","",SUMIFS(工数明細!$G$3:$G$302,工数明細!$B$3:$B$302,$A396,工数明細!$I$3:$I$302,T$212))</f>
        <v/>
      </c>
      <c r="U396" s="51" t="str">
        <f aca="false">IF($A396="","",SUMIFS(工数明細!$G$3:$G$302,工数明細!$B$3:$B$302,$A396,工数明細!$I$3:$I$302,U$212))</f>
        <v/>
      </c>
      <c r="V396" s="51" t="str">
        <f aca="false">IF($A396="","",SUMIFS(工数明細!$G$3:$G$302,工数明細!$B$3:$B$302,$A396,工数明細!$I$3:$I$302,V$212))</f>
        <v/>
      </c>
      <c r="W396" s="51" t="str">
        <f aca="false">IF($A396="","",SUMIFS(工数明細!$G$3:$G$302,工数明細!$B$3:$B$302,$A396,工数明細!$I$3:$I$302,W$212))</f>
        <v/>
      </c>
      <c r="X396" s="51" t="str">
        <f aca="false">IF($A396="","",SUMIFS(工数明細!$G$3:$G$302,工数明細!$B$3:$B$302,$A396,工数明細!$I$3:$I$302,X$212))</f>
        <v/>
      </c>
      <c r="Y396" s="51" t="str">
        <f aca="false">IF($A396="","",SUMIFS(工数明細!$G$3:$G$302,工数明細!$B$3:$B$302,$A396,工数明細!$I$3:$I$302,Y$212))</f>
        <v/>
      </c>
      <c r="Z396" s="51" t="str">
        <f aca="false">IF($A396="","",SUMIFS(工数明細!$G$3:$G$302,工数明細!$B$3:$B$302,$A396,工数明細!$I$3:$I$302,Z$212))</f>
        <v/>
      </c>
      <c r="AA396" s="51" t="str">
        <f aca="false">IF($A396="","",SUMIFS(工数明細!$G$3:$G$302,工数明細!$B$3:$B$302,$A396,工数明細!$I$3:$I$302,AA$212))</f>
        <v/>
      </c>
      <c r="AB396" s="51" t="str">
        <f aca="false">IF($A396="","",SUMIFS(工数明細!$G$3:$G$302,工数明細!$B$3:$B$302,$A396,工数明細!$I$3:$I$302,AB$212))</f>
        <v/>
      </c>
      <c r="AC396" s="51" t="str">
        <f aca="false">IF($A396="","",SUMIFS(工数明細!$G$3:$G$302,工数明細!$B$3:$B$302,$A396,工数明細!$I$3:$I$302,AC$212))</f>
        <v/>
      </c>
      <c r="AD396" s="51" t="str">
        <f aca="false">IF($A396="","",SUMIFS(工数明細!$G$3:$G$302,工数明細!$B$3:$B$302,$A396,工数明細!$I$3:$I$302,AD$212))</f>
        <v/>
      </c>
    </row>
    <row r="397" customFormat="false" ht="15.75" hidden="false" customHeight="true" outlineLevel="0" collapsed="false">
      <c r="A397" s="28" t="str">
        <f aca="false">IF(案件管理!$A$186:$A$186="","",案件管理!$A$186:$A$186)</f>
        <v/>
      </c>
      <c r="B397" s="10" t="str">
        <f aca="false">IF($A397="","",案件管理!$B$186:$B$186)</f>
        <v/>
      </c>
      <c r="C397" s="10" t="str">
        <f aca="false">IF($A397="","",案件管理!$D$186:$D$186)</f>
        <v/>
      </c>
      <c r="D397" s="30" t="str">
        <f aca="false">IF($A397="","",案件管理!$AE$186:$AE$186)</f>
        <v/>
      </c>
      <c r="E397" s="30" t="str">
        <f aca="false">IF($A397="","",SUM($G397:$AD397))</f>
        <v/>
      </c>
      <c r="F397" s="51" t="str">
        <f aca="false">IF($A397="","",N($E191)-N($E397))</f>
        <v/>
      </c>
      <c r="G397" s="51" t="str">
        <f aca="false">IF($A397="","",SUMIFS(工数明細!$G$3:$G$302,工数明細!$B$3:$B$302,$A397,工数明細!$I$3:$I$302,G$212))</f>
        <v/>
      </c>
      <c r="H397" s="51" t="str">
        <f aca="false">IF($A397="","",SUMIFS(工数明細!$G$3:$G$302,工数明細!$B$3:$B$302,$A397,工数明細!$I$3:$I$302,H$212))</f>
        <v/>
      </c>
      <c r="I397" s="51" t="str">
        <f aca="false">IF($A397="","",SUMIFS(工数明細!$G$3:$G$302,工数明細!$B$3:$B$302,$A397,工数明細!$I$3:$I$302,I$212))</f>
        <v/>
      </c>
      <c r="J397" s="51" t="str">
        <f aca="false">IF($A397="","",SUMIFS(工数明細!$G$3:$G$302,工数明細!$B$3:$B$302,$A397,工数明細!$I$3:$I$302,J$212))</f>
        <v/>
      </c>
      <c r="K397" s="51" t="str">
        <f aca="false">IF($A397="","",SUMIFS(工数明細!$G$3:$G$302,工数明細!$B$3:$B$302,$A397,工数明細!$I$3:$I$302,K$212))</f>
        <v/>
      </c>
      <c r="L397" s="51" t="str">
        <f aca="false">IF($A397="","",SUMIFS(工数明細!$G$3:$G$302,工数明細!$B$3:$B$302,$A397,工数明細!$I$3:$I$302,L$212))</f>
        <v/>
      </c>
      <c r="M397" s="51" t="str">
        <f aca="false">IF($A397="","",SUMIFS(工数明細!$G$3:$G$302,工数明細!$B$3:$B$302,$A397,工数明細!$I$3:$I$302,M$212))</f>
        <v/>
      </c>
      <c r="N397" s="51" t="str">
        <f aca="false">IF($A397="","",SUMIFS(工数明細!$G$3:$G$302,工数明細!$B$3:$B$302,$A397,工数明細!$I$3:$I$302,N$212))</f>
        <v/>
      </c>
      <c r="O397" s="51" t="str">
        <f aca="false">IF($A397="","",SUMIFS(工数明細!$G$3:$G$302,工数明細!$B$3:$B$302,$A397,工数明細!$I$3:$I$302,O$212))</f>
        <v/>
      </c>
      <c r="P397" s="51" t="str">
        <f aca="false">IF($A397="","",SUMIFS(工数明細!$G$3:$G$302,工数明細!$B$3:$B$302,$A397,工数明細!$I$3:$I$302,P$212))</f>
        <v/>
      </c>
      <c r="Q397" s="51" t="str">
        <f aca="false">IF($A397="","",SUMIFS(工数明細!$G$3:$G$302,工数明細!$B$3:$B$302,$A397,工数明細!$I$3:$I$302,Q$212))</f>
        <v/>
      </c>
      <c r="R397" s="51" t="str">
        <f aca="false">IF($A397="","",SUMIFS(工数明細!$G$3:$G$302,工数明細!$B$3:$B$302,$A397,工数明細!$I$3:$I$302,R$212))</f>
        <v/>
      </c>
      <c r="S397" s="51" t="str">
        <f aca="false">IF($A397="","",SUMIFS(工数明細!$G$3:$G$302,工数明細!$B$3:$B$302,$A397,工数明細!$I$3:$I$302,S$212))</f>
        <v/>
      </c>
      <c r="T397" s="51" t="str">
        <f aca="false">IF($A397="","",SUMIFS(工数明細!$G$3:$G$302,工数明細!$B$3:$B$302,$A397,工数明細!$I$3:$I$302,T$212))</f>
        <v/>
      </c>
      <c r="U397" s="51" t="str">
        <f aca="false">IF($A397="","",SUMIFS(工数明細!$G$3:$G$302,工数明細!$B$3:$B$302,$A397,工数明細!$I$3:$I$302,U$212))</f>
        <v/>
      </c>
      <c r="V397" s="51" t="str">
        <f aca="false">IF($A397="","",SUMIFS(工数明細!$G$3:$G$302,工数明細!$B$3:$B$302,$A397,工数明細!$I$3:$I$302,V$212))</f>
        <v/>
      </c>
      <c r="W397" s="51" t="str">
        <f aca="false">IF($A397="","",SUMIFS(工数明細!$G$3:$G$302,工数明細!$B$3:$B$302,$A397,工数明細!$I$3:$I$302,W$212))</f>
        <v/>
      </c>
      <c r="X397" s="51" t="str">
        <f aca="false">IF($A397="","",SUMIFS(工数明細!$G$3:$G$302,工数明細!$B$3:$B$302,$A397,工数明細!$I$3:$I$302,X$212))</f>
        <v/>
      </c>
      <c r="Y397" s="51" t="str">
        <f aca="false">IF($A397="","",SUMIFS(工数明細!$G$3:$G$302,工数明細!$B$3:$B$302,$A397,工数明細!$I$3:$I$302,Y$212))</f>
        <v/>
      </c>
      <c r="Z397" s="51" t="str">
        <f aca="false">IF($A397="","",SUMIFS(工数明細!$G$3:$G$302,工数明細!$B$3:$B$302,$A397,工数明細!$I$3:$I$302,Z$212))</f>
        <v/>
      </c>
      <c r="AA397" s="51" t="str">
        <f aca="false">IF($A397="","",SUMIFS(工数明細!$G$3:$G$302,工数明細!$B$3:$B$302,$A397,工数明細!$I$3:$I$302,AA$212))</f>
        <v/>
      </c>
      <c r="AB397" s="51" t="str">
        <f aca="false">IF($A397="","",SUMIFS(工数明細!$G$3:$G$302,工数明細!$B$3:$B$302,$A397,工数明細!$I$3:$I$302,AB$212))</f>
        <v/>
      </c>
      <c r="AC397" s="51" t="str">
        <f aca="false">IF($A397="","",SUMIFS(工数明細!$G$3:$G$302,工数明細!$B$3:$B$302,$A397,工数明細!$I$3:$I$302,AC$212))</f>
        <v/>
      </c>
      <c r="AD397" s="51" t="str">
        <f aca="false">IF($A397="","",SUMIFS(工数明細!$G$3:$G$302,工数明細!$B$3:$B$302,$A397,工数明細!$I$3:$I$302,AD$212))</f>
        <v/>
      </c>
    </row>
    <row r="398" customFormat="false" ht="15.75" hidden="false" customHeight="true" outlineLevel="0" collapsed="false">
      <c r="A398" s="28" t="str">
        <f aca="false">IF(案件管理!$A$187:$A$187="","",案件管理!$A$187:$A$187)</f>
        <v/>
      </c>
      <c r="B398" s="10" t="str">
        <f aca="false">IF($A398="","",案件管理!$B$187:$B$187)</f>
        <v/>
      </c>
      <c r="C398" s="10" t="str">
        <f aca="false">IF($A398="","",案件管理!$D$187:$D$187)</f>
        <v/>
      </c>
      <c r="D398" s="30" t="str">
        <f aca="false">IF($A398="","",案件管理!$AE$187:$AE$187)</f>
        <v/>
      </c>
      <c r="E398" s="30" t="str">
        <f aca="false">IF($A398="","",SUM($G398:$AD398))</f>
        <v/>
      </c>
      <c r="F398" s="51" t="str">
        <f aca="false">IF($A398="","",N($E192)-N($E398))</f>
        <v/>
      </c>
      <c r="G398" s="51" t="str">
        <f aca="false">IF($A398="","",SUMIFS(工数明細!$G$3:$G$302,工数明細!$B$3:$B$302,$A398,工数明細!$I$3:$I$302,G$212))</f>
        <v/>
      </c>
      <c r="H398" s="51" t="str">
        <f aca="false">IF($A398="","",SUMIFS(工数明細!$G$3:$G$302,工数明細!$B$3:$B$302,$A398,工数明細!$I$3:$I$302,H$212))</f>
        <v/>
      </c>
      <c r="I398" s="51" t="str">
        <f aca="false">IF($A398="","",SUMIFS(工数明細!$G$3:$G$302,工数明細!$B$3:$B$302,$A398,工数明細!$I$3:$I$302,I$212))</f>
        <v/>
      </c>
      <c r="J398" s="51" t="str">
        <f aca="false">IF($A398="","",SUMIFS(工数明細!$G$3:$G$302,工数明細!$B$3:$B$302,$A398,工数明細!$I$3:$I$302,J$212))</f>
        <v/>
      </c>
      <c r="K398" s="51" t="str">
        <f aca="false">IF($A398="","",SUMIFS(工数明細!$G$3:$G$302,工数明細!$B$3:$B$302,$A398,工数明細!$I$3:$I$302,K$212))</f>
        <v/>
      </c>
      <c r="L398" s="51" t="str">
        <f aca="false">IF($A398="","",SUMIFS(工数明細!$G$3:$G$302,工数明細!$B$3:$B$302,$A398,工数明細!$I$3:$I$302,L$212))</f>
        <v/>
      </c>
      <c r="M398" s="51" t="str">
        <f aca="false">IF($A398="","",SUMIFS(工数明細!$G$3:$G$302,工数明細!$B$3:$B$302,$A398,工数明細!$I$3:$I$302,M$212))</f>
        <v/>
      </c>
      <c r="N398" s="51" t="str">
        <f aca="false">IF($A398="","",SUMIFS(工数明細!$G$3:$G$302,工数明細!$B$3:$B$302,$A398,工数明細!$I$3:$I$302,N$212))</f>
        <v/>
      </c>
      <c r="O398" s="51" t="str">
        <f aca="false">IF($A398="","",SUMIFS(工数明細!$G$3:$G$302,工数明細!$B$3:$B$302,$A398,工数明細!$I$3:$I$302,O$212))</f>
        <v/>
      </c>
      <c r="P398" s="51" t="str">
        <f aca="false">IF($A398="","",SUMIFS(工数明細!$G$3:$G$302,工数明細!$B$3:$B$302,$A398,工数明細!$I$3:$I$302,P$212))</f>
        <v/>
      </c>
      <c r="Q398" s="51" t="str">
        <f aca="false">IF($A398="","",SUMIFS(工数明細!$G$3:$G$302,工数明細!$B$3:$B$302,$A398,工数明細!$I$3:$I$302,Q$212))</f>
        <v/>
      </c>
      <c r="R398" s="51" t="str">
        <f aca="false">IF($A398="","",SUMIFS(工数明細!$G$3:$G$302,工数明細!$B$3:$B$302,$A398,工数明細!$I$3:$I$302,R$212))</f>
        <v/>
      </c>
      <c r="S398" s="51" t="str">
        <f aca="false">IF($A398="","",SUMIFS(工数明細!$G$3:$G$302,工数明細!$B$3:$B$302,$A398,工数明細!$I$3:$I$302,S$212))</f>
        <v/>
      </c>
      <c r="T398" s="51" t="str">
        <f aca="false">IF($A398="","",SUMIFS(工数明細!$G$3:$G$302,工数明細!$B$3:$B$302,$A398,工数明細!$I$3:$I$302,T$212))</f>
        <v/>
      </c>
      <c r="U398" s="51" t="str">
        <f aca="false">IF($A398="","",SUMIFS(工数明細!$G$3:$G$302,工数明細!$B$3:$B$302,$A398,工数明細!$I$3:$I$302,U$212))</f>
        <v/>
      </c>
      <c r="V398" s="51" t="str">
        <f aca="false">IF($A398="","",SUMIFS(工数明細!$G$3:$G$302,工数明細!$B$3:$B$302,$A398,工数明細!$I$3:$I$302,V$212))</f>
        <v/>
      </c>
      <c r="W398" s="51" t="str">
        <f aca="false">IF($A398="","",SUMIFS(工数明細!$G$3:$G$302,工数明細!$B$3:$B$302,$A398,工数明細!$I$3:$I$302,W$212))</f>
        <v/>
      </c>
      <c r="X398" s="51" t="str">
        <f aca="false">IF($A398="","",SUMIFS(工数明細!$G$3:$G$302,工数明細!$B$3:$B$302,$A398,工数明細!$I$3:$I$302,X$212))</f>
        <v/>
      </c>
      <c r="Y398" s="51" t="str">
        <f aca="false">IF($A398="","",SUMIFS(工数明細!$G$3:$G$302,工数明細!$B$3:$B$302,$A398,工数明細!$I$3:$I$302,Y$212))</f>
        <v/>
      </c>
      <c r="Z398" s="51" t="str">
        <f aca="false">IF($A398="","",SUMIFS(工数明細!$G$3:$G$302,工数明細!$B$3:$B$302,$A398,工数明細!$I$3:$I$302,Z$212))</f>
        <v/>
      </c>
      <c r="AA398" s="51" t="str">
        <f aca="false">IF($A398="","",SUMIFS(工数明細!$G$3:$G$302,工数明細!$B$3:$B$302,$A398,工数明細!$I$3:$I$302,AA$212))</f>
        <v/>
      </c>
      <c r="AB398" s="51" t="str">
        <f aca="false">IF($A398="","",SUMIFS(工数明細!$G$3:$G$302,工数明細!$B$3:$B$302,$A398,工数明細!$I$3:$I$302,AB$212))</f>
        <v/>
      </c>
      <c r="AC398" s="51" t="str">
        <f aca="false">IF($A398="","",SUMIFS(工数明細!$G$3:$G$302,工数明細!$B$3:$B$302,$A398,工数明細!$I$3:$I$302,AC$212))</f>
        <v/>
      </c>
      <c r="AD398" s="51" t="str">
        <f aca="false">IF($A398="","",SUMIFS(工数明細!$G$3:$G$302,工数明細!$B$3:$B$302,$A398,工数明細!$I$3:$I$302,AD$212))</f>
        <v/>
      </c>
    </row>
    <row r="399" customFormat="false" ht="15.75" hidden="false" customHeight="true" outlineLevel="0" collapsed="false">
      <c r="A399" s="28" t="str">
        <f aca="false">IF(案件管理!$A$188:$A$188="","",案件管理!$A$188:$A$188)</f>
        <v/>
      </c>
      <c r="B399" s="10" t="str">
        <f aca="false">IF($A399="","",案件管理!$B$188:$B$188)</f>
        <v/>
      </c>
      <c r="C399" s="10" t="str">
        <f aca="false">IF($A399="","",案件管理!$D$188:$D$188)</f>
        <v/>
      </c>
      <c r="D399" s="30" t="str">
        <f aca="false">IF($A399="","",案件管理!$AE$188:$AE$188)</f>
        <v/>
      </c>
      <c r="E399" s="30" t="str">
        <f aca="false">IF($A399="","",SUM($G399:$AD399))</f>
        <v/>
      </c>
      <c r="F399" s="51" t="str">
        <f aca="false">IF($A399="","",N($E193)-N($E399))</f>
        <v/>
      </c>
      <c r="G399" s="51" t="str">
        <f aca="false">IF($A399="","",SUMIFS(工数明細!$G$3:$G$302,工数明細!$B$3:$B$302,$A399,工数明細!$I$3:$I$302,G$212))</f>
        <v/>
      </c>
      <c r="H399" s="51" t="str">
        <f aca="false">IF($A399="","",SUMIFS(工数明細!$G$3:$G$302,工数明細!$B$3:$B$302,$A399,工数明細!$I$3:$I$302,H$212))</f>
        <v/>
      </c>
      <c r="I399" s="51" t="str">
        <f aca="false">IF($A399="","",SUMIFS(工数明細!$G$3:$G$302,工数明細!$B$3:$B$302,$A399,工数明細!$I$3:$I$302,I$212))</f>
        <v/>
      </c>
      <c r="J399" s="51" t="str">
        <f aca="false">IF($A399="","",SUMIFS(工数明細!$G$3:$G$302,工数明細!$B$3:$B$302,$A399,工数明細!$I$3:$I$302,J$212))</f>
        <v/>
      </c>
      <c r="K399" s="51" t="str">
        <f aca="false">IF($A399="","",SUMIFS(工数明細!$G$3:$G$302,工数明細!$B$3:$B$302,$A399,工数明細!$I$3:$I$302,K$212))</f>
        <v/>
      </c>
      <c r="L399" s="51" t="str">
        <f aca="false">IF($A399="","",SUMIFS(工数明細!$G$3:$G$302,工数明細!$B$3:$B$302,$A399,工数明細!$I$3:$I$302,L$212))</f>
        <v/>
      </c>
      <c r="M399" s="51" t="str">
        <f aca="false">IF($A399="","",SUMIFS(工数明細!$G$3:$G$302,工数明細!$B$3:$B$302,$A399,工数明細!$I$3:$I$302,M$212))</f>
        <v/>
      </c>
      <c r="N399" s="51" t="str">
        <f aca="false">IF($A399="","",SUMIFS(工数明細!$G$3:$G$302,工数明細!$B$3:$B$302,$A399,工数明細!$I$3:$I$302,N$212))</f>
        <v/>
      </c>
      <c r="O399" s="51" t="str">
        <f aca="false">IF($A399="","",SUMIFS(工数明細!$G$3:$G$302,工数明細!$B$3:$B$302,$A399,工数明細!$I$3:$I$302,O$212))</f>
        <v/>
      </c>
      <c r="P399" s="51" t="str">
        <f aca="false">IF($A399="","",SUMIFS(工数明細!$G$3:$G$302,工数明細!$B$3:$B$302,$A399,工数明細!$I$3:$I$302,P$212))</f>
        <v/>
      </c>
      <c r="Q399" s="51" t="str">
        <f aca="false">IF($A399="","",SUMIFS(工数明細!$G$3:$G$302,工数明細!$B$3:$B$302,$A399,工数明細!$I$3:$I$302,Q$212))</f>
        <v/>
      </c>
      <c r="R399" s="51" t="str">
        <f aca="false">IF($A399="","",SUMIFS(工数明細!$G$3:$G$302,工数明細!$B$3:$B$302,$A399,工数明細!$I$3:$I$302,R$212))</f>
        <v/>
      </c>
      <c r="S399" s="51" t="str">
        <f aca="false">IF($A399="","",SUMIFS(工数明細!$G$3:$G$302,工数明細!$B$3:$B$302,$A399,工数明細!$I$3:$I$302,S$212))</f>
        <v/>
      </c>
      <c r="T399" s="51" t="str">
        <f aca="false">IF($A399="","",SUMIFS(工数明細!$G$3:$G$302,工数明細!$B$3:$B$302,$A399,工数明細!$I$3:$I$302,T$212))</f>
        <v/>
      </c>
      <c r="U399" s="51" t="str">
        <f aca="false">IF($A399="","",SUMIFS(工数明細!$G$3:$G$302,工数明細!$B$3:$B$302,$A399,工数明細!$I$3:$I$302,U$212))</f>
        <v/>
      </c>
      <c r="V399" s="51" t="str">
        <f aca="false">IF($A399="","",SUMIFS(工数明細!$G$3:$G$302,工数明細!$B$3:$B$302,$A399,工数明細!$I$3:$I$302,V$212))</f>
        <v/>
      </c>
      <c r="W399" s="51" t="str">
        <f aca="false">IF($A399="","",SUMIFS(工数明細!$G$3:$G$302,工数明細!$B$3:$B$302,$A399,工数明細!$I$3:$I$302,W$212))</f>
        <v/>
      </c>
      <c r="X399" s="51" t="str">
        <f aca="false">IF($A399="","",SUMIFS(工数明細!$G$3:$G$302,工数明細!$B$3:$B$302,$A399,工数明細!$I$3:$I$302,X$212))</f>
        <v/>
      </c>
      <c r="Y399" s="51" t="str">
        <f aca="false">IF($A399="","",SUMIFS(工数明細!$G$3:$G$302,工数明細!$B$3:$B$302,$A399,工数明細!$I$3:$I$302,Y$212))</f>
        <v/>
      </c>
      <c r="Z399" s="51" t="str">
        <f aca="false">IF($A399="","",SUMIFS(工数明細!$G$3:$G$302,工数明細!$B$3:$B$302,$A399,工数明細!$I$3:$I$302,Z$212))</f>
        <v/>
      </c>
      <c r="AA399" s="51" t="str">
        <f aca="false">IF($A399="","",SUMIFS(工数明細!$G$3:$G$302,工数明細!$B$3:$B$302,$A399,工数明細!$I$3:$I$302,AA$212))</f>
        <v/>
      </c>
      <c r="AB399" s="51" t="str">
        <f aca="false">IF($A399="","",SUMIFS(工数明細!$G$3:$G$302,工数明細!$B$3:$B$302,$A399,工数明細!$I$3:$I$302,AB$212))</f>
        <v/>
      </c>
      <c r="AC399" s="51" t="str">
        <f aca="false">IF($A399="","",SUMIFS(工数明細!$G$3:$G$302,工数明細!$B$3:$B$302,$A399,工数明細!$I$3:$I$302,AC$212))</f>
        <v/>
      </c>
      <c r="AD399" s="51" t="str">
        <f aca="false">IF($A399="","",SUMIFS(工数明細!$G$3:$G$302,工数明細!$B$3:$B$302,$A399,工数明細!$I$3:$I$302,AD$212))</f>
        <v/>
      </c>
    </row>
    <row r="400" customFormat="false" ht="15.75" hidden="false" customHeight="true" outlineLevel="0" collapsed="false">
      <c r="A400" s="28" t="str">
        <f aca="false">IF(案件管理!$A$189:$A$189="","",案件管理!$A$189:$A$189)</f>
        <v/>
      </c>
      <c r="B400" s="10" t="str">
        <f aca="false">IF($A400="","",案件管理!$B$189:$B$189)</f>
        <v/>
      </c>
      <c r="C400" s="10" t="str">
        <f aca="false">IF($A400="","",案件管理!$D$189:$D$189)</f>
        <v/>
      </c>
      <c r="D400" s="30" t="str">
        <f aca="false">IF($A400="","",案件管理!$AE$189:$AE$189)</f>
        <v/>
      </c>
      <c r="E400" s="30" t="str">
        <f aca="false">IF($A400="","",SUM($G400:$AD400))</f>
        <v/>
      </c>
      <c r="F400" s="51" t="str">
        <f aca="false">IF($A400="","",N($E194)-N($E400))</f>
        <v/>
      </c>
      <c r="G400" s="51" t="str">
        <f aca="false">IF($A400="","",SUMIFS(工数明細!$G$3:$G$302,工数明細!$B$3:$B$302,$A400,工数明細!$I$3:$I$302,G$212))</f>
        <v/>
      </c>
      <c r="H400" s="51" t="str">
        <f aca="false">IF($A400="","",SUMIFS(工数明細!$G$3:$G$302,工数明細!$B$3:$B$302,$A400,工数明細!$I$3:$I$302,H$212))</f>
        <v/>
      </c>
      <c r="I400" s="51" t="str">
        <f aca="false">IF($A400="","",SUMIFS(工数明細!$G$3:$G$302,工数明細!$B$3:$B$302,$A400,工数明細!$I$3:$I$302,I$212))</f>
        <v/>
      </c>
      <c r="J400" s="51" t="str">
        <f aca="false">IF($A400="","",SUMIFS(工数明細!$G$3:$G$302,工数明細!$B$3:$B$302,$A400,工数明細!$I$3:$I$302,J$212))</f>
        <v/>
      </c>
      <c r="K400" s="51" t="str">
        <f aca="false">IF($A400="","",SUMIFS(工数明細!$G$3:$G$302,工数明細!$B$3:$B$302,$A400,工数明細!$I$3:$I$302,K$212))</f>
        <v/>
      </c>
      <c r="L400" s="51" t="str">
        <f aca="false">IF($A400="","",SUMIFS(工数明細!$G$3:$G$302,工数明細!$B$3:$B$302,$A400,工数明細!$I$3:$I$302,L$212))</f>
        <v/>
      </c>
      <c r="M400" s="51" t="str">
        <f aca="false">IF($A400="","",SUMIFS(工数明細!$G$3:$G$302,工数明細!$B$3:$B$302,$A400,工数明細!$I$3:$I$302,M$212))</f>
        <v/>
      </c>
      <c r="N400" s="51" t="str">
        <f aca="false">IF($A400="","",SUMIFS(工数明細!$G$3:$G$302,工数明細!$B$3:$B$302,$A400,工数明細!$I$3:$I$302,N$212))</f>
        <v/>
      </c>
      <c r="O400" s="51" t="str">
        <f aca="false">IF($A400="","",SUMIFS(工数明細!$G$3:$G$302,工数明細!$B$3:$B$302,$A400,工数明細!$I$3:$I$302,O$212))</f>
        <v/>
      </c>
      <c r="P400" s="51" t="str">
        <f aca="false">IF($A400="","",SUMIFS(工数明細!$G$3:$G$302,工数明細!$B$3:$B$302,$A400,工数明細!$I$3:$I$302,P$212))</f>
        <v/>
      </c>
      <c r="Q400" s="51" t="str">
        <f aca="false">IF($A400="","",SUMIFS(工数明細!$G$3:$G$302,工数明細!$B$3:$B$302,$A400,工数明細!$I$3:$I$302,Q$212))</f>
        <v/>
      </c>
      <c r="R400" s="51" t="str">
        <f aca="false">IF($A400="","",SUMIFS(工数明細!$G$3:$G$302,工数明細!$B$3:$B$302,$A400,工数明細!$I$3:$I$302,R$212))</f>
        <v/>
      </c>
      <c r="S400" s="51" t="str">
        <f aca="false">IF($A400="","",SUMIFS(工数明細!$G$3:$G$302,工数明細!$B$3:$B$302,$A400,工数明細!$I$3:$I$302,S$212))</f>
        <v/>
      </c>
      <c r="T400" s="51" t="str">
        <f aca="false">IF($A400="","",SUMIFS(工数明細!$G$3:$G$302,工数明細!$B$3:$B$302,$A400,工数明細!$I$3:$I$302,T$212))</f>
        <v/>
      </c>
      <c r="U400" s="51" t="str">
        <f aca="false">IF($A400="","",SUMIFS(工数明細!$G$3:$G$302,工数明細!$B$3:$B$302,$A400,工数明細!$I$3:$I$302,U$212))</f>
        <v/>
      </c>
      <c r="V400" s="51" t="str">
        <f aca="false">IF($A400="","",SUMIFS(工数明細!$G$3:$G$302,工数明細!$B$3:$B$302,$A400,工数明細!$I$3:$I$302,V$212))</f>
        <v/>
      </c>
      <c r="W400" s="51" t="str">
        <f aca="false">IF($A400="","",SUMIFS(工数明細!$G$3:$G$302,工数明細!$B$3:$B$302,$A400,工数明細!$I$3:$I$302,W$212))</f>
        <v/>
      </c>
      <c r="X400" s="51" t="str">
        <f aca="false">IF($A400="","",SUMIFS(工数明細!$G$3:$G$302,工数明細!$B$3:$B$302,$A400,工数明細!$I$3:$I$302,X$212))</f>
        <v/>
      </c>
      <c r="Y400" s="51" t="str">
        <f aca="false">IF($A400="","",SUMIFS(工数明細!$G$3:$G$302,工数明細!$B$3:$B$302,$A400,工数明細!$I$3:$I$302,Y$212))</f>
        <v/>
      </c>
      <c r="Z400" s="51" t="str">
        <f aca="false">IF($A400="","",SUMIFS(工数明細!$G$3:$G$302,工数明細!$B$3:$B$302,$A400,工数明細!$I$3:$I$302,Z$212))</f>
        <v/>
      </c>
      <c r="AA400" s="51" t="str">
        <f aca="false">IF($A400="","",SUMIFS(工数明細!$G$3:$G$302,工数明細!$B$3:$B$302,$A400,工数明細!$I$3:$I$302,AA$212))</f>
        <v/>
      </c>
      <c r="AB400" s="51" t="str">
        <f aca="false">IF($A400="","",SUMIFS(工数明細!$G$3:$G$302,工数明細!$B$3:$B$302,$A400,工数明細!$I$3:$I$302,AB$212))</f>
        <v/>
      </c>
      <c r="AC400" s="51" t="str">
        <f aca="false">IF($A400="","",SUMIFS(工数明細!$G$3:$G$302,工数明細!$B$3:$B$302,$A400,工数明細!$I$3:$I$302,AC$212))</f>
        <v/>
      </c>
      <c r="AD400" s="51" t="str">
        <f aca="false">IF($A400="","",SUMIFS(工数明細!$G$3:$G$302,工数明細!$B$3:$B$302,$A400,工数明細!$I$3:$I$302,AD$212))</f>
        <v/>
      </c>
    </row>
    <row r="401" customFormat="false" ht="15.75" hidden="false" customHeight="true" outlineLevel="0" collapsed="false">
      <c r="A401" s="28" t="str">
        <f aca="false">IF(案件管理!$A$190:$A$190="","",案件管理!$A$190:$A$190)</f>
        <v/>
      </c>
      <c r="B401" s="10" t="str">
        <f aca="false">IF($A401="","",案件管理!$B$190:$B$190)</f>
        <v/>
      </c>
      <c r="C401" s="10" t="str">
        <f aca="false">IF($A401="","",案件管理!$D$190:$D$190)</f>
        <v/>
      </c>
      <c r="D401" s="30" t="str">
        <f aca="false">IF($A401="","",案件管理!$AE$190:$AE$190)</f>
        <v/>
      </c>
      <c r="E401" s="30" t="str">
        <f aca="false">IF($A401="","",SUM($G401:$AD401))</f>
        <v/>
      </c>
      <c r="F401" s="51" t="str">
        <f aca="false">IF($A401="","",N($E195)-N($E401))</f>
        <v/>
      </c>
      <c r="G401" s="51" t="str">
        <f aca="false">IF($A401="","",SUMIFS(工数明細!$G$3:$G$302,工数明細!$B$3:$B$302,$A401,工数明細!$I$3:$I$302,G$212))</f>
        <v/>
      </c>
      <c r="H401" s="51" t="str">
        <f aca="false">IF($A401="","",SUMIFS(工数明細!$G$3:$G$302,工数明細!$B$3:$B$302,$A401,工数明細!$I$3:$I$302,H$212))</f>
        <v/>
      </c>
      <c r="I401" s="51" t="str">
        <f aca="false">IF($A401="","",SUMIFS(工数明細!$G$3:$G$302,工数明細!$B$3:$B$302,$A401,工数明細!$I$3:$I$302,I$212))</f>
        <v/>
      </c>
      <c r="J401" s="51" t="str">
        <f aca="false">IF($A401="","",SUMIFS(工数明細!$G$3:$G$302,工数明細!$B$3:$B$302,$A401,工数明細!$I$3:$I$302,J$212))</f>
        <v/>
      </c>
      <c r="K401" s="51" t="str">
        <f aca="false">IF($A401="","",SUMIFS(工数明細!$G$3:$G$302,工数明細!$B$3:$B$302,$A401,工数明細!$I$3:$I$302,K$212))</f>
        <v/>
      </c>
      <c r="L401" s="51" t="str">
        <f aca="false">IF($A401="","",SUMIFS(工数明細!$G$3:$G$302,工数明細!$B$3:$B$302,$A401,工数明細!$I$3:$I$302,L$212))</f>
        <v/>
      </c>
      <c r="M401" s="51" t="str">
        <f aca="false">IF($A401="","",SUMIFS(工数明細!$G$3:$G$302,工数明細!$B$3:$B$302,$A401,工数明細!$I$3:$I$302,M$212))</f>
        <v/>
      </c>
      <c r="N401" s="51" t="str">
        <f aca="false">IF($A401="","",SUMIFS(工数明細!$G$3:$G$302,工数明細!$B$3:$B$302,$A401,工数明細!$I$3:$I$302,N$212))</f>
        <v/>
      </c>
      <c r="O401" s="51" t="str">
        <f aca="false">IF($A401="","",SUMIFS(工数明細!$G$3:$G$302,工数明細!$B$3:$B$302,$A401,工数明細!$I$3:$I$302,O$212))</f>
        <v/>
      </c>
      <c r="P401" s="51" t="str">
        <f aca="false">IF($A401="","",SUMIFS(工数明細!$G$3:$G$302,工数明細!$B$3:$B$302,$A401,工数明細!$I$3:$I$302,P$212))</f>
        <v/>
      </c>
      <c r="Q401" s="51" t="str">
        <f aca="false">IF($A401="","",SUMIFS(工数明細!$G$3:$G$302,工数明細!$B$3:$B$302,$A401,工数明細!$I$3:$I$302,Q$212))</f>
        <v/>
      </c>
      <c r="R401" s="51" t="str">
        <f aca="false">IF($A401="","",SUMIFS(工数明細!$G$3:$G$302,工数明細!$B$3:$B$302,$A401,工数明細!$I$3:$I$302,R$212))</f>
        <v/>
      </c>
      <c r="S401" s="51" t="str">
        <f aca="false">IF($A401="","",SUMIFS(工数明細!$G$3:$G$302,工数明細!$B$3:$B$302,$A401,工数明細!$I$3:$I$302,S$212))</f>
        <v/>
      </c>
      <c r="T401" s="51" t="str">
        <f aca="false">IF($A401="","",SUMIFS(工数明細!$G$3:$G$302,工数明細!$B$3:$B$302,$A401,工数明細!$I$3:$I$302,T$212))</f>
        <v/>
      </c>
      <c r="U401" s="51" t="str">
        <f aca="false">IF($A401="","",SUMIFS(工数明細!$G$3:$G$302,工数明細!$B$3:$B$302,$A401,工数明細!$I$3:$I$302,U$212))</f>
        <v/>
      </c>
      <c r="V401" s="51" t="str">
        <f aca="false">IF($A401="","",SUMIFS(工数明細!$G$3:$G$302,工数明細!$B$3:$B$302,$A401,工数明細!$I$3:$I$302,V$212))</f>
        <v/>
      </c>
      <c r="W401" s="51" t="str">
        <f aca="false">IF($A401="","",SUMIFS(工数明細!$G$3:$G$302,工数明細!$B$3:$B$302,$A401,工数明細!$I$3:$I$302,W$212))</f>
        <v/>
      </c>
      <c r="X401" s="51" t="str">
        <f aca="false">IF($A401="","",SUMIFS(工数明細!$G$3:$G$302,工数明細!$B$3:$B$302,$A401,工数明細!$I$3:$I$302,X$212))</f>
        <v/>
      </c>
      <c r="Y401" s="51" t="str">
        <f aca="false">IF($A401="","",SUMIFS(工数明細!$G$3:$G$302,工数明細!$B$3:$B$302,$A401,工数明細!$I$3:$I$302,Y$212))</f>
        <v/>
      </c>
      <c r="Z401" s="51" t="str">
        <f aca="false">IF($A401="","",SUMIFS(工数明細!$G$3:$G$302,工数明細!$B$3:$B$302,$A401,工数明細!$I$3:$I$302,Z$212))</f>
        <v/>
      </c>
      <c r="AA401" s="51" t="str">
        <f aca="false">IF($A401="","",SUMIFS(工数明細!$G$3:$G$302,工数明細!$B$3:$B$302,$A401,工数明細!$I$3:$I$302,AA$212))</f>
        <v/>
      </c>
      <c r="AB401" s="51" t="str">
        <f aca="false">IF($A401="","",SUMIFS(工数明細!$G$3:$G$302,工数明細!$B$3:$B$302,$A401,工数明細!$I$3:$I$302,AB$212))</f>
        <v/>
      </c>
      <c r="AC401" s="51" t="str">
        <f aca="false">IF($A401="","",SUMIFS(工数明細!$G$3:$G$302,工数明細!$B$3:$B$302,$A401,工数明細!$I$3:$I$302,AC$212))</f>
        <v/>
      </c>
      <c r="AD401" s="51" t="str">
        <f aca="false">IF($A401="","",SUMIFS(工数明細!$G$3:$G$302,工数明細!$B$3:$B$302,$A401,工数明細!$I$3:$I$302,AD$212))</f>
        <v/>
      </c>
    </row>
    <row r="402" customFormat="false" ht="15.75" hidden="false" customHeight="true" outlineLevel="0" collapsed="false">
      <c r="A402" s="28" t="str">
        <f aca="false">IF(案件管理!$A$191:$A$191="","",案件管理!$A$191:$A$191)</f>
        <v/>
      </c>
      <c r="B402" s="10" t="str">
        <f aca="false">IF($A402="","",案件管理!$B$191:$B$191)</f>
        <v/>
      </c>
      <c r="C402" s="10" t="str">
        <f aca="false">IF($A402="","",案件管理!$D$191:$D$191)</f>
        <v/>
      </c>
      <c r="D402" s="30" t="str">
        <f aca="false">IF($A402="","",案件管理!$AE$191:$AE$191)</f>
        <v/>
      </c>
      <c r="E402" s="30" t="str">
        <f aca="false">IF($A402="","",SUM($G402:$AD402))</f>
        <v/>
      </c>
      <c r="F402" s="51" t="str">
        <f aca="false">IF($A402="","",N($E196)-N($E402))</f>
        <v/>
      </c>
      <c r="G402" s="51" t="str">
        <f aca="false">IF($A402="","",SUMIFS(工数明細!$G$3:$G$302,工数明細!$B$3:$B$302,$A402,工数明細!$I$3:$I$302,G$212))</f>
        <v/>
      </c>
      <c r="H402" s="51" t="str">
        <f aca="false">IF($A402="","",SUMIFS(工数明細!$G$3:$G$302,工数明細!$B$3:$B$302,$A402,工数明細!$I$3:$I$302,H$212))</f>
        <v/>
      </c>
      <c r="I402" s="51" t="str">
        <f aca="false">IF($A402="","",SUMIFS(工数明細!$G$3:$G$302,工数明細!$B$3:$B$302,$A402,工数明細!$I$3:$I$302,I$212))</f>
        <v/>
      </c>
      <c r="J402" s="51" t="str">
        <f aca="false">IF($A402="","",SUMIFS(工数明細!$G$3:$G$302,工数明細!$B$3:$B$302,$A402,工数明細!$I$3:$I$302,J$212))</f>
        <v/>
      </c>
      <c r="K402" s="51" t="str">
        <f aca="false">IF($A402="","",SUMIFS(工数明細!$G$3:$G$302,工数明細!$B$3:$B$302,$A402,工数明細!$I$3:$I$302,K$212))</f>
        <v/>
      </c>
      <c r="L402" s="51" t="str">
        <f aca="false">IF($A402="","",SUMIFS(工数明細!$G$3:$G$302,工数明細!$B$3:$B$302,$A402,工数明細!$I$3:$I$302,L$212))</f>
        <v/>
      </c>
      <c r="M402" s="51" t="str">
        <f aca="false">IF($A402="","",SUMIFS(工数明細!$G$3:$G$302,工数明細!$B$3:$B$302,$A402,工数明細!$I$3:$I$302,M$212))</f>
        <v/>
      </c>
      <c r="N402" s="51" t="str">
        <f aca="false">IF($A402="","",SUMIFS(工数明細!$G$3:$G$302,工数明細!$B$3:$B$302,$A402,工数明細!$I$3:$I$302,N$212))</f>
        <v/>
      </c>
      <c r="O402" s="51" t="str">
        <f aca="false">IF($A402="","",SUMIFS(工数明細!$G$3:$G$302,工数明細!$B$3:$B$302,$A402,工数明細!$I$3:$I$302,O$212))</f>
        <v/>
      </c>
      <c r="P402" s="51" t="str">
        <f aca="false">IF($A402="","",SUMIFS(工数明細!$G$3:$G$302,工数明細!$B$3:$B$302,$A402,工数明細!$I$3:$I$302,P$212))</f>
        <v/>
      </c>
      <c r="Q402" s="51" t="str">
        <f aca="false">IF($A402="","",SUMIFS(工数明細!$G$3:$G$302,工数明細!$B$3:$B$302,$A402,工数明細!$I$3:$I$302,Q$212))</f>
        <v/>
      </c>
      <c r="R402" s="51" t="str">
        <f aca="false">IF($A402="","",SUMIFS(工数明細!$G$3:$G$302,工数明細!$B$3:$B$302,$A402,工数明細!$I$3:$I$302,R$212))</f>
        <v/>
      </c>
      <c r="S402" s="51" t="str">
        <f aca="false">IF($A402="","",SUMIFS(工数明細!$G$3:$G$302,工数明細!$B$3:$B$302,$A402,工数明細!$I$3:$I$302,S$212))</f>
        <v/>
      </c>
      <c r="T402" s="51" t="str">
        <f aca="false">IF($A402="","",SUMIFS(工数明細!$G$3:$G$302,工数明細!$B$3:$B$302,$A402,工数明細!$I$3:$I$302,T$212))</f>
        <v/>
      </c>
      <c r="U402" s="51" t="str">
        <f aca="false">IF($A402="","",SUMIFS(工数明細!$G$3:$G$302,工数明細!$B$3:$B$302,$A402,工数明細!$I$3:$I$302,U$212))</f>
        <v/>
      </c>
      <c r="V402" s="51" t="str">
        <f aca="false">IF($A402="","",SUMIFS(工数明細!$G$3:$G$302,工数明細!$B$3:$B$302,$A402,工数明細!$I$3:$I$302,V$212))</f>
        <v/>
      </c>
      <c r="W402" s="51" t="str">
        <f aca="false">IF($A402="","",SUMIFS(工数明細!$G$3:$G$302,工数明細!$B$3:$B$302,$A402,工数明細!$I$3:$I$302,W$212))</f>
        <v/>
      </c>
      <c r="X402" s="51" t="str">
        <f aca="false">IF($A402="","",SUMIFS(工数明細!$G$3:$G$302,工数明細!$B$3:$B$302,$A402,工数明細!$I$3:$I$302,X$212))</f>
        <v/>
      </c>
      <c r="Y402" s="51" t="str">
        <f aca="false">IF($A402="","",SUMIFS(工数明細!$G$3:$G$302,工数明細!$B$3:$B$302,$A402,工数明細!$I$3:$I$302,Y$212))</f>
        <v/>
      </c>
      <c r="Z402" s="51" t="str">
        <f aca="false">IF($A402="","",SUMIFS(工数明細!$G$3:$G$302,工数明細!$B$3:$B$302,$A402,工数明細!$I$3:$I$302,Z$212))</f>
        <v/>
      </c>
      <c r="AA402" s="51" t="str">
        <f aca="false">IF($A402="","",SUMIFS(工数明細!$G$3:$G$302,工数明細!$B$3:$B$302,$A402,工数明細!$I$3:$I$302,AA$212))</f>
        <v/>
      </c>
      <c r="AB402" s="51" t="str">
        <f aca="false">IF($A402="","",SUMIFS(工数明細!$G$3:$G$302,工数明細!$B$3:$B$302,$A402,工数明細!$I$3:$I$302,AB$212))</f>
        <v/>
      </c>
      <c r="AC402" s="51" t="str">
        <f aca="false">IF($A402="","",SUMIFS(工数明細!$G$3:$G$302,工数明細!$B$3:$B$302,$A402,工数明細!$I$3:$I$302,AC$212))</f>
        <v/>
      </c>
      <c r="AD402" s="51" t="str">
        <f aca="false">IF($A402="","",SUMIFS(工数明細!$G$3:$G$302,工数明細!$B$3:$B$302,$A402,工数明細!$I$3:$I$302,AD$212))</f>
        <v/>
      </c>
    </row>
    <row r="403" customFormat="false" ht="15.75" hidden="false" customHeight="true" outlineLevel="0" collapsed="false">
      <c r="A403" s="28" t="str">
        <f aca="false">IF(案件管理!$A$192:$A$192="","",案件管理!$A$192:$A$192)</f>
        <v/>
      </c>
      <c r="B403" s="10" t="str">
        <f aca="false">IF($A403="","",案件管理!$B$192:$B$192)</f>
        <v/>
      </c>
      <c r="C403" s="10" t="str">
        <f aca="false">IF($A403="","",案件管理!$D$192:$D$192)</f>
        <v/>
      </c>
      <c r="D403" s="30" t="str">
        <f aca="false">IF($A403="","",案件管理!$AE$192:$AE$192)</f>
        <v/>
      </c>
      <c r="E403" s="30" t="str">
        <f aca="false">IF($A403="","",SUM($G403:$AD403))</f>
        <v/>
      </c>
      <c r="F403" s="51" t="str">
        <f aca="false">IF($A403="","",N($E197)-N($E403))</f>
        <v/>
      </c>
      <c r="G403" s="51" t="str">
        <f aca="false">IF($A403="","",SUMIFS(工数明細!$G$3:$G$302,工数明細!$B$3:$B$302,$A403,工数明細!$I$3:$I$302,G$212))</f>
        <v/>
      </c>
      <c r="H403" s="51" t="str">
        <f aca="false">IF($A403="","",SUMIFS(工数明細!$G$3:$G$302,工数明細!$B$3:$B$302,$A403,工数明細!$I$3:$I$302,H$212))</f>
        <v/>
      </c>
      <c r="I403" s="51" t="str">
        <f aca="false">IF($A403="","",SUMIFS(工数明細!$G$3:$G$302,工数明細!$B$3:$B$302,$A403,工数明細!$I$3:$I$302,I$212))</f>
        <v/>
      </c>
      <c r="J403" s="51" t="str">
        <f aca="false">IF($A403="","",SUMIFS(工数明細!$G$3:$G$302,工数明細!$B$3:$B$302,$A403,工数明細!$I$3:$I$302,J$212))</f>
        <v/>
      </c>
      <c r="K403" s="51" t="str">
        <f aca="false">IF($A403="","",SUMIFS(工数明細!$G$3:$G$302,工数明細!$B$3:$B$302,$A403,工数明細!$I$3:$I$302,K$212))</f>
        <v/>
      </c>
      <c r="L403" s="51" t="str">
        <f aca="false">IF($A403="","",SUMIFS(工数明細!$G$3:$G$302,工数明細!$B$3:$B$302,$A403,工数明細!$I$3:$I$302,L$212))</f>
        <v/>
      </c>
      <c r="M403" s="51" t="str">
        <f aca="false">IF($A403="","",SUMIFS(工数明細!$G$3:$G$302,工数明細!$B$3:$B$302,$A403,工数明細!$I$3:$I$302,M$212))</f>
        <v/>
      </c>
      <c r="N403" s="51" t="str">
        <f aca="false">IF($A403="","",SUMIFS(工数明細!$G$3:$G$302,工数明細!$B$3:$B$302,$A403,工数明細!$I$3:$I$302,N$212))</f>
        <v/>
      </c>
      <c r="O403" s="51" t="str">
        <f aca="false">IF($A403="","",SUMIFS(工数明細!$G$3:$G$302,工数明細!$B$3:$B$302,$A403,工数明細!$I$3:$I$302,O$212))</f>
        <v/>
      </c>
      <c r="P403" s="51" t="str">
        <f aca="false">IF($A403="","",SUMIFS(工数明細!$G$3:$G$302,工数明細!$B$3:$B$302,$A403,工数明細!$I$3:$I$302,P$212))</f>
        <v/>
      </c>
      <c r="Q403" s="51" t="str">
        <f aca="false">IF($A403="","",SUMIFS(工数明細!$G$3:$G$302,工数明細!$B$3:$B$302,$A403,工数明細!$I$3:$I$302,Q$212))</f>
        <v/>
      </c>
      <c r="R403" s="51" t="str">
        <f aca="false">IF($A403="","",SUMIFS(工数明細!$G$3:$G$302,工数明細!$B$3:$B$302,$A403,工数明細!$I$3:$I$302,R$212))</f>
        <v/>
      </c>
      <c r="S403" s="51" t="str">
        <f aca="false">IF($A403="","",SUMIFS(工数明細!$G$3:$G$302,工数明細!$B$3:$B$302,$A403,工数明細!$I$3:$I$302,S$212))</f>
        <v/>
      </c>
      <c r="T403" s="51" t="str">
        <f aca="false">IF($A403="","",SUMIFS(工数明細!$G$3:$G$302,工数明細!$B$3:$B$302,$A403,工数明細!$I$3:$I$302,T$212))</f>
        <v/>
      </c>
      <c r="U403" s="51" t="str">
        <f aca="false">IF($A403="","",SUMIFS(工数明細!$G$3:$G$302,工数明細!$B$3:$B$302,$A403,工数明細!$I$3:$I$302,U$212))</f>
        <v/>
      </c>
      <c r="V403" s="51" t="str">
        <f aca="false">IF($A403="","",SUMIFS(工数明細!$G$3:$G$302,工数明細!$B$3:$B$302,$A403,工数明細!$I$3:$I$302,V$212))</f>
        <v/>
      </c>
      <c r="W403" s="51" t="str">
        <f aca="false">IF($A403="","",SUMIFS(工数明細!$G$3:$G$302,工数明細!$B$3:$B$302,$A403,工数明細!$I$3:$I$302,W$212))</f>
        <v/>
      </c>
      <c r="X403" s="51" t="str">
        <f aca="false">IF($A403="","",SUMIFS(工数明細!$G$3:$G$302,工数明細!$B$3:$B$302,$A403,工数明細!$I$3:$I$302,X$212))</f>
        <v/>
      </c>
      <c r="Y403" s="51" t="str">
        <f aca="false">IF($A403="","",SUMIFS(工数明細!$G$3:$G$302,工数明細!$B$3:$B$302,$A403,工数明細!$I$3:$I$302,Y$212))</f>
        <v/>
      </c>
      <c r="Z403" s="51" t="str">
        <f aca="false">IF($A403="","",SUMIFS(工数明細!$G$3:$G$302,工数明細!$B$3:$B$302,$A403,工数明細!$I$3:$I$302,Z$212))</f>
        <v/>
      </c>
      <c r="AA403" s="51" t="str">
        <f aca="false">IF($A403="","",SUMIFS(工数明細!$G$3:$G$302,工数明細!$B$3:$B$302,$A403,工数明細!$I$3:$I$302,AA$212))</f>
        <v/>
      </c>
      <c r="AB403" s="51" t="str">
        <f aca="false">IF($A403="","",SUMIFS(工数明細!$G$3:$G$302,工数明細!$B$3:$B$302,$A403,工数明細!$I$3:$I$302,AB$212))</f>
        <v/>
      </c>
      <c r="AC403" s="51" t="str">
        <f aca="false">IF($A403="","",SUMIFS(工数明細!$G$3:$G$302,工数明細!$B$3:$B$302,$A403,工数明細!$I$3:$I$302,AC$212))</f>
        <v/>
      </c>
      <c r="AD403" s="51" t="str">
        <f aca="false">IF($A403="","",SUMIFS(工数明細!$G$3:$G$302,工数明細!$B$3:$B$302,$A403,工数明細!$I$3:$I$302,AD$212))</f>
        <v/>
      </c>
    </row>
    <row r="404" customFormat="false" ht="15.75" hidden="false" customHeight="true" outlineLevel="0" collapsed="false">
      <c r="A404" s="28" t="str">
        <f aca="false">IF(案件管理!$A$193:$A$193="","",案件管理!$A$193:$A$193)</f>
        <v/>
      </c>
      <c r="B404" s="10" t="str">
        <f aca="false">IF($A404="","",案件管理!$B$193:$B$193)</f>
        <v/>
      </c>
      <c r="C404" s="10" t="str">
        <f aca="false">IF($A404="","",案件管理!$D$193:$D$193)</f>
        <v/>
      </c>
      <c r="D404" s="30" t="str">
        <f aca="false">IF($A404="","",案件管理!$AE$193:$AE$193)</f>
        <v/>
      </c>
      <c r="E404" s="30" t="str">
        <f aca="false">IF($A404="","",SUM($G404:$AD404))</f>
        <v/>
      </c>
      <c r="F404" s="51" t="str">
        <f aca="false">IF($A404="","",N($E198)-N($E404))</f>
        <v/>
      </c>
      <c r="G404" s="51" t="str">
        <f aca="false">IF($A404="","",SUMIFS(工数明細!$G$3:$G$302,工数明細!$B$3:$B$302,$A404,工数明細!$I$3:$I$302,G$212))</f>
        <v/>
      </c>
      <c r="H404" s="51" t="str">
        <f aca="false">IF($A404="","",SUMIFS(工数明細!$G$3:$G$302,工数明細!$B$3:$B$302,$A404,工数明細!$I$3:$I$302,H$212))</f>
        <v/>
      </c>
      <c r="I404" s="51" t="str">
        <f aca="false">IF($A404="","",SUMIFS(工数明細!$G$3:$G$302,工数明細!$B$3:$B$302,$A404,工数明細!$I$3:$I$302,I$212))</f>
        <v/>
      </c>
      <c r="J404" s="51" t="str">
        <f aca="false">IF($A404="","",SUMIFS(工数明細!$G$3:$G$302,工数明細!$B$3:$B$302,$A404,工数明細!$I$3:$I$302,J$212))</f>
        <v/>
      </c>
      <c r="K404" s="51" t="str">
        <f aca="false">IF($A404="","",SUMIFS(工数明細!$G$3:$G$302,工数明細!$B$3:$B$302,$A404,工数明細!$I$3:$I$302,K$212))</f>
        <v/>
      </c>
      <c r="L404" s="51" t="str">
        <f aca="false">IF($A404="","",SUMIFS(工数明細!$G$3:$G$302,工数明細!$B$3:$B$302,$A404,工数明細!$I$3:$I$302,L$212))</f>
        <v/>
      </c>
      <c r="M404" s="51" t="str">
        <f aca="false">IF($A404="","",SUMIFS(工数明細!$G$3:$G$302,工数明細!$B$3:$B$302,$A404,工数明細!$I$3:$I$302,M$212))</f>
        <v/>
      </c>
      <c r="N404" s="51" t="str">
        <f aca="false">IF($A404="","",SUMIFS(工数明細!$G$3:$G$302,工数明細!$B$3:$B$302,$A404,工数明細!$I$3:$I$302,N$212))</f>
        <v/>
      </c>
      <c r="O404" s="51" t="str">
        <f aca="false">IF($A404="","",SUMIFS(工数明細!$G$3:$G$302,工数明細!$B$3:$B$302,$A404,工数明細!$I$3:$I$302,O$212))</f>
        <v/>
      </c>
      <c r="P404" s="51" t="str">
        <f aca="false">IF($A404="","",SUMIFS(工数明細!$G$3:$G$302,工数明細!$B$3:$B$302,$A404,工数明細!$I$3:$I$302,P$212))</f>
        <v/>
      </c>
      <c r="Q404" s="51" t="str">
        <f aca="false">IF($A404="","",SUMIFS(工数明細!$G$3:$G$302,工数明細!$B$3:$B$302,$A404,工数明細!$I$3:$I$302,Q$212))</f>
        <v/>
      </c>
      <c r="R404" s="51" t="str">
        <f aca="false">IF($A404="","",SUMIFS(工数明細!$G$3:$G$302,工数明細!$B$3:$B$302,$A404,工数明細!$I$3:$I$302,R$212))</f>
        <v/>
      </c>
      <c r="S404" s="51" t="str">
        <f aca="false">IF($A404="","",SUMIFS(工数明細!$G$3:$G$302,工数明細!$B$3:$B$302,$A404,工数明細!$I$3:$I$302,S$212))</f>
        <v/>
      </c>
      <c r="T404" s="51" t="str">
        <f aca="false">IF($A404="","",SUMIFS(工数明細!$G$3:$G$302,工数明細!$B$3:$B$302,$A404,工数明細!$I$3:$I$302,T$212))</f>
        <v/>
      </c>
      <c r="U404" s="51" t="str">
        <f aca="false">IF($A404="","",SUMIFS(工数明細!$G$3:$G$302,工数明細!$B$3:$B$302,$A404,工数明細!$I$3:$I$302,U$212))</f>
        <v/>
      </c>
      <c r="V404" s="51" t="str">
        <f aca="false">IF($A404="","",SUMIFS(工数明細!$G$3:$G$302,工数明細!$B$3:$B$302,$A404,工数明細!$I$3:$I$302,V$212))</f>
        <v/>
      </c>
      <c r="W404" s="51" t="str">
        <f aca="false">IF($A404="","",SUMIFS(工数明細!$G$3:$G$302,工数明細!$B$3:$B$302,$A404,工数明細!$I$3:$I$302,W$212))</f>
        <v/>
      </c>
      <c r="X404" s="51" t="str">
        <f aca="false">IF($A404="","",SUMIFS(工数明細!$G$3:$G$302,工数明細!$B$3:$B$302,$A404,工数明細!$I$3:$I$302,X$212))</f>
        <v/>
      </c>
      <c r="Y404" s="51" t="str">
        <f aca="false">IF($A404="","",SUMIFS(工数明細!$G$3:$G$302,工数明細!$B$3:$B$302,$A404,工数明細!$I$3:$I$302,Y$212))</f>
        <v/>
      </c>
      <c r="Z404" s="51" t="str">
        <f aca="false">IF($A404="","",SUMIFS(工数明細!$G$3:$G$302,工数明細!$B$3:$B$302,$A404,工数明細!$I$3:$I$302,Z$212))</f>
        <v/>
      </c>
      <c r="AA404" s="51" t="str">
        <f aca="false">IF($A404="","",SUMIFS(工数明細!$G$3:$G$302,工数明細!$B$3:$B$302,$A404,工数明細!$I$3:$I$302,AA$212))</f>
        <v/>
      </c>
      <c r="AB404" s="51" t="str">
        <f aca="false">IF($A404="","",SUMIFS(工数明細!$G$3:$G$302,工数明細!$B$3:$B$302,$A404,工数明細!$I$3:$I$302,AB$212))</f>
        <v/>
      </c>
      <c r="AC404" s="51" t="str">
        <f aca="false">IF($A404="","",SUMIFS(工数明細!$G$3:$G$302,工数明細!$B$3:$B$302,$A404,工数明細!$I$3:$I$302,AC$212))</f>
        <v/>
      </c>
      <c r="AD404" s="51" t="str">
        <f aca="false">IF($A404="","",SUMIFS(工数明細!$G$3:$G$302,工数明細!$B$3:$B$302,$A404,工数明細!$I$3:$I$302,AD$212))</f>
        <v/>
      </c>
    </row>
    <row r="405" customFormat="false" ht="15.75" hidden="false" customHeight="true" outlineLevel="0" collapsed="false">
      <c r="A405" s="28" t="str">
        <f aca="false">IF(案件管理!$A$194:$A$194="","",案件管理!$A$194:$A$194)</f>
        <v/>
      </c>
      <c r="B405" s="10" t="str">
        <f aca="false">IF($A405="","",案件管理!$B$194:$B$194)</f>
        <v/>
      </c>
      <c r="C405" s="10" t="str">
        <f aca="false">IF($A405="","",案件管理!$D$194:$D$194)</f>
        <v/>
      </c>
      <c r="D405" s="30" t="str">
        <f aca="false">IF($A405="","",案件管理!$AE$194:$AE$194)</f>
        <v/>
      </c>
      <c r="E405" s="30" t="str">
        <f aca="false">IF($A405="","",SUM($G405:$AD405))</f>
        <v/>
      </c>
      <c r="F405" s="51" t="str">
        <f aca="false">IF($A405="","",N($E199)-N($E405))</f>
        <v/>
      </c>
      <c r="G405" s="51" t="str">
        <f aca="false">IF($A405="","",SUMIFS(工数明細!$G$3:$G$302,工数明細!$B$3:$B$302,$A405,工数明細!$I$3:$I$302,G$212))</f>
        <v/>
      </c>
      <c r="H405" s="51" t="str">
        <f aca="false">IF($A405="","",SUMIFS(工数明細!$G$3:$G$302,工数明細!$B$3:$B$302,$A405,工数明細!$I$3:$I$302,H$212))</f>
        <v/>
      </c>
      <c r="I405" s="51" t="str">
        <f aca="false">IF($A405="","",SUMIFS(工数明細!$G$3:$G$302,工数明細!$B$3:$B$302,$A405,工数明細!$I$3:$I$302,I$212))</f>
        <v/>
      </c>
      <c r="J405" s="51" t="str">
        <f aca="false">IF($A405="","",SUMIFS(工数明細!$G$3:$G$302,工数明細!$B$3:$B$302,$A405,工数明細!$I$3:$I$302,J$212))</f>
        <v/>
      </c>
      <c r="K405" s="51" t="str">
        <f aca="false">IF($A405="","",SUMIFS(工数明細!$G$3:$G$302,工数明細!$B$3:$B$302,$A405,工数明細!$I$3:$I$302,K$212))</f>
        <v/>
      </c>
      <c r="L405" s="51" t="str">
        <f aca="false">IF($A405="","",SUMIFS(工数明細!$G$3:$G$302,工数明細!$B$3:$B$302,$A405,工数明細!$I$3:$I$302,L$212))</f>
        <v/>
      </c>
      <c r="M405" s="51" t="str">
        <f aca="false">IF($A405="","",SUMIFS(工数明細!$G$3:$G$302,工数明細!$B$3:$B$302,$A405,工数明細!$I$3:$I$302,M$212))</f>
        <v/>
      </c>
      <c r="N405" s="51" t="str">
        <f aca="false">IF($A405="","",SUMIFS(工数明細!$G$3:$G$302,工数明細!$B$3:$B$302,$A405,工数明細!$I$3:$I$302,N$212))</f>
        <v/>
      </c>
      <c r="O405" s="51" t="str">
        <f aca="false">IF($A405="","",SUMIFS(工数明細!$G$3:$G$302,工数明細!$B$3:$B$302,$A405,工数明細!$I$3:$I$302,O$212))</f>
        <v/>
      </c>
      <c r="P405" s="51" t="str">
        <f aca="false">IF($A405="","",SUMIFS(工数明細!$G$3:$G$302,工数明細!$B$3:$B$302,$A405,工数明細!$I$3:$I$302,P$212))</f>
        <v/>
      </c>
      <c r="Q405" s="51" t="str">
        <f aca="false">IF($A405="","",SUMIFS(工数明細!$G$3:$G$302,工数明細!$B$3:$B$302,$A405,工数明細!$I$3:$I$302,Q$212))</f>
        <v/>
      </c>
      <c r="R405" s="51" t="str">
        <f aca="false">IF($A405="","",SUMIFS(工数明細!$G$3:$G$302,工数明細!$B$3:$B$302,$A405,工数明細!$I$3:$I$302,R$212))</f>
        <v/>
      </c>
      <c r="S405" s="51" t="str">
        <f aca="false">IF($A405="","",SUMIFS(工数明細!$G$3:$G$302,工数明細!$B$3:$B$302,$A405,工数明細!$I$3:$I$302,S$212))</f>
        <v/>
      </c>
      <c r="T405" s="51" t="str">
        <f aca="false">IF($A405="","",SUMIFS(工数明細!$G$3:$G$302,工数明細!$B$3:$B$302,$A405,工数明細!$I$3:$I$302,T$212))</f>
        <v/>
      </c>
      <c r="U405" s="51" t="str">
        <f aca="false">IF($A405="","",SUMIFS(工数明細!$G$3:$G$302,工数明細!$B$3:$B$302,$A405,工数明細!$I$3:$I$302,U$212))</f>
        <v/>
      </c>
      <c r="V405" s="51" t="str">
        <f aca="false">IF($A405="","",SUMIFS(工数明細!$G$3:$G$302,工数明細!$B$3:$B$302,$A405,工数明細!$I$3:$I$302,V$212))</f>
        <v/>
      </c>
      <c r="W405" s="51" t="str">
        <f aca="false">IF($A405="","",SUMIFS(工数明細!$G$3:$G$302,工数明細!$B$3:$B$302,$A405,工数明細!$I$3:$I$302,W$212))</f>
        <v/>
      </c>
      <c r="X405" s="51" t="str">
        <f aca="false">IF($A405="","",SUMIFS(工数明細!$G$3:$G$302,工数明細!$B$3:$B$302,$A405,工数明細!$I$3:$I$302,X$212))</f>
        <v/>
      </c>
      <c r="Y405" s="51" t="str">
        <f aca="false">IF($A405="","",SUMIFS(工数明細!$G$3:$G$302,工数明細!$B$3:$B$302,$A405,工数明細!$I$3:$I$302,Y$212))</f>
        <v/>
      </c>
      <c r="Z405" s="51" t="str">
        <f aca="false">IF($A405="","",SUMIFS(工数明細!$G$3:$G$302,工数明細!$B$3:$B$302,$A405,工数明細!$I$3:$I$302,Z$212))</f>
        <v/>
      </c>
      <c r="AA405" s="51" t="str">
        <f aca="false">IF($A405="","",SUMIFS(工数明細!$G$3:$G$302,工数明細!$B$3:$B$302,$A405,工数明細!$I$3:$I$302,AA$212))</f>
        <v/>
      </c>
      <c r="AB405" s="51" t="str">
        <f aca="false">IF($A405="","",SUMIFS(工数明細!$G$3:$G$302,工数明細!$B$3:$B$302,$A405,工数明細!$I$3:$I$302,AB$212))</f>
        <v/>
      </c>
      <c r="AC405" s="51" t="str">
        <f aca="false">IF($A405="","",SUMIFS(工数明細!$G$3:$G$302,工数明細!$B$3:$B$302,$A405,工数明細!$I$3:$I$302,AC$212))</f>
        <v/>
      </c>
      <c r="AD405" s="51" t="str">
        <f aca="false">IF($A405="","",SUMIFS(工数明細!$G$3:$G$302,工数明細!$B$3:$B$302,$A405,工数明細!$I$3:$I$302,AD$212))</f>
        <v/>
      </c>
    </row>
    <row r="406" customFormat="false" ht="15.75" hidden="false" customHeight="true" outlineLevel="0" collapsed="false">
      <c r="A406" s="28" t="str">
        <f aca="false">IF(案件管理!$A$195:$A$195="","",案件管理!$A$195:$A$195)</f>
        <v/>
      </c>
      <c r="B406" s="10" t="str">
        <f aca="false">IF($A406="","",案件管理!$B$195:$B$195)</f>
        <v/>
      </c>
      <c r="C406" s="10" t="str">
        <f aca="false">IF($A406="","",案件管理!$D$195:$D$195)</f>
        <v/>
      </c>
      <c r="D406" s="30" t="str">
        <f aca="false">IF($A406="","",案件管理!$AE$195:$AE$195)</f>
        <v/>
      </c>
      <c r="E406" s="30" t="str">
        <f aca="false">IF($A406="","",SUM($G406:$AD406))</f>
        <v/>
      </c>
      <c r="F406" s="51" t="str">
        <f aca="false">IF($A406="","",N($E200)-N($E406))</f>
        <v/>
      </c>
      <c r="G406" s="51" t="str">
        <f aca="false">IF($A406="","",SUMIFS(工数明細!$G$3:$G$302,工数明細!$B$3:$B$302,$A406,工数明細!$I$3:$I$302,G$212))</f>
        <v/>
      </c>
      <c r="H406" s="51" t="str">
        <f aca="false">IF($A406="","",SUMIFS(工数明細!$G$3:$G$302,工数明細!$B$3:$B$302,$A406,工数明細!$I$3:$I$302,H$212))</f>
        <v/>
      </c>
      <c r="I406" s="51" t="str">
        <f aca="false">IF($A406="","",SUMIFS(工数明細!$G$3:$G$302,工数明細!$B$3:$B$302,$A406,工数明細!$I$3:$I$302,I$212))</f>
        <v/>
      </c>
      <c r="J406" s="51" t="str">
        <f aca="false">IF($A406="","",SUMIFS(工数明細!$G$3:$G$302,工数明細!$B$3:$B$302,$A406,工数明細!$I$3:$I$302,J$212))</f>
        <v/>
      </c>
      <c r="K406" s="51" t="str">
        <f aca="false">IF($A406="","",SUMIFS(工数明細!$G$3:$G$302,工数明細!$B$3:$B$302,$A406,工数明細!$I$3:$I$302,K$212))</f>
        <v/>
      </c>
      <c r="L406" s="51" t="str">
        <f aca="false">IF($A406="","",SUMIFS(工数明細!$G$3:$G$302,工数明細!$B$3:$B$302,$A406,工数明細!$I$3:$I$302,L$212))</f>
        <v/>
      </c>
      <c r="M406" s="51" t="str">
        <f aca="false">IF($A406="","",SUMIFS(工数明細!$G$3:$G$302,工数明細!$B$3:$B$302,$A406,工数明細!$I$3:$I$302,M$212))</f>
        <v/>
      </c>
      <c r="N406" s="51" t="str">
        <f aca="false">IF($A406="","",SUMIFS(工数明細!$G$3:$G$302,工数明細!$B$3:$B$302,$A406,工数明細!$I$3:$I$302,N$212))</f>
        <v/>
      </c>
      <c r="O406" s="51" t="str">
        <f aca="false">IF($A406="","",SUMIFS(工数明細!$G$3:$G$302,工数明細!$B$3:$B$302,$A406,工数明細!$I$3:$I$302,O$212))</f>
        <v/>
      </c>
      <c r="P406" s="51" t="str">
        <f aca="false">IF($A406="","",SUMIFS(工数明細!$G$3:$G$302,工数明細!$B$3:$B$302,$A406,工数明細!$I$3:$I$302,P$212))</f>
        <v/>
      </c>
      <c r="Q406" s="51" t="str">
        <f aca="false">IF($A406="","",SUMIFS(工数明細!$G$3:$G$302,工数明細!$B$3:$B$302,$A406,工数明細!$I$3:$I$302,Q$212))</f>
        <v/>
      </c>
      <c r="R406" s="51" t="str">
        <f aca="false">IF($A406="","",SUMIFS(工数明細!$G$3:$G$302,工数明細!$B$3:$B$302,$A406,工数明細!$I$3:$I$302,R$212))</f>
        <v/>
      </c>
      <c r="S406" s="51" t="str">
        <f aca="false">IF($A406="","",SUMIFS(工数明細!$G$3:$G$302,工数明細!$B$3:$B$302,$A406,工数明細!$I$3:$I$302,S$212))</f>
        <v/>
      </c>
      <c r="T406" s="51" t="str">
        <f aca="false">IF($A406="","",SUMIFS(工数明細!$G$3:$G$302,工数明細!$B$3:$B$302,$A406,工数明細!$I$3:$I$302,T$212))</f>
        <v/>
      </c>
      <c r="U406" s="51" t="str">
        <f aca="false">IF($A406="","",SUMIFS(工数明細!$G$3:$G$302,工数明細!$B$3:$B$302,$A406,工数明細!$I$3:$I$302,U$212))</f>
        <v/>
      </c>
      <c r="V406" s="51" t="str">
        <f aca="false">IF($A406="","",SUMIFS(工数明細!$G$3:$G$302,工数明細!$B$3:$B$302,$A406,工数明細!$I$3:$I$302,V$212))</f>
        <v/>
      </c>
      <c r="W406" s="51" t="str">
        <f aca="false">IF($A406="","",SUMIFS(工数明細!$G$3:$G$302,工数明細!$B$3:$B$302,$A406,工数明細!$I$3:$I$302,W$212))</f>
        <v/>
      </c>
      <c r="X406" s="51" t="str">
        <f aca="false">IF($A406="","",SUMIFS(工数明細!$G$3:$G$302,工数明細!$B$3:$B$302,$A406,工数明細!$I$3:$I$302,X$212))</f>
        <v/>
      </c>
      <c r="Y406" s="51" t="str">
        <f aca="false">IF($A406="","",SUMIFS(工数明細!$G$3:$G$302,工数明細!$B$3:$B$302,$A406,工数明細!$I$3:$I$302,Y$212))</f>
        <v/>
      </c>
      <c r="Z406" s="51" t="str">
        <f aca="false">IF($A406="","",SUMIFS(工数明細!$G$3:$G$302,工数明細!$B$3:$B$302,$A406,工数明細!$I$3:$I$302,Z$212))</f>
        <v/>
      </c>
      <c r="AA406" s="51" t="str">
        <f aca="false">IF($A406="","",SUMIFS(工数明細!$G$3:$G$302,工数明細!$B$3:$B$302,$A406,工数明細!$I$3:$I$302,AA$212))</f>
        <v/>
      </c>
      <c r="AB406" s="51" t="str">
        <f aca="false">IF($A406="","",SUMIFS(工数明細!$G$3:$G$302,工数明細!$B$3:$B$302,$A406,工数明細!$I$3:$I$302,AB$212))</f>
        <v/>
      </c>
      <c r="AC406" s="51" t="str">
        <f aca="false">IF($A406="","",SUMIFS(工数明細!$G$3:$G$302,工数明細!$B$3:$B$302,$A406,工数明細!$I$3:$I$302,AC$212))</f>
        <v/>
      </c>
      <c r="AD406" s="51" t="str">
        <f aca="false">IF($A406="","",SUMIFS(工数明細!$G$3:$G$302,工数明細!$B$3:$B$302,$A406,工数明細!$I$3:$I$302,AD$212))</f>
        <v/>
      </c>
    </row>
    <row r="407" customFormat="false" ht="15.75" hidden="false" customHeight="true" outlineLevel="0" collapsed="false">
      <c r="A407" s="28" t="str">
        <f aca="false">IF(案件管理!$A$196:$A$196="","",案件管理!$A$196:$A$196)</f>
        <v/>
      </c>
      <c r="B407" s="10" t="str">
        <f aca="false">IF($A407="","",案件管理!$B$196:$B$196)</f>
        <v/>
      </c>
      <c r="C407" s="10" t="str">
        <f aca="false">IF($A407="","",案件管理!$D$196:$D$196)</f>
        <v/>
      </c>
      <c r="D407" s="30" t="str">
        <f aca="false">IF($A407="","",案件管理!$AE$196:$AE$196)</f>
        <v/>
      </c>
      <c r="E407" s="30" t="str">
        <f aca="false">IF($A407="","",SUM($G407:$AD407))</f>
        <v/>
      </c>
      <c r="F407" s="51" t="str">
        <f aca="false">IF($A407="","",N($E201)-N($E407))</f>
        <v/>
      </c>
      <c r="G407" s="51" t="str">
        <f aca="false">IF($A407="","",SUMIFS(工数明細!$G$3:$G$302,工数明細!$B$3:$B$302,$A407,工数明細!$I$3:$I$302,G$212))</f>
        <v/>
      </c>
      <c r="H407" s="51" t="str">
        <f aca="false">IF($A407="","",SUMIFS(工数明細!$G$3:$G$302,工数明細!$B$3:$B$302,$A407,工数明細!$I$3:$I$302,H$212))</f>
        <v/>
      </c>
      <c r="I407" s="51" t="str">
        <f aca="false">IF($A407="","",SUMIFS(工数明細!$G$3:$G$302,工数明細!$B$3:$B$302,$A407,工数明細!$I$3:$I$302,I$212))</f>
        <v/>
      </c>
      <c r="J407" s="51" t="str">
        <f aca="false">IF($A407="","",SUMIFS(工数明細!$G$3:$G$302,工数明細!$B$3:$B$302,$A407,工数明細!$I$3:$I$302,J$212))</f>
        <v/>
      </c>
      <c r="K407" s="51" t="str">
        <f aca="false">IF($A407="","",SUMIFS(工数明細!$G$3:$G$302,工数明細!$B$3:$B$302,$A407,工数明細!$I$3:$I$302,K$212))</f>
        <v/>
      </c>
      <c r="L407" s="51" t="str">
        <f aca="false">IF($A407="","",SUMIFS(工数明細!$G$3:$G$302,工数明細!$B$3:$B$302,$A407,工数明細!$I$3:$I$302,L$212))</f>
        <v/>
      </c>
      <c r="M407" s="51" t="str">
        <f aca="false">IF($A407="","",SUMIFS(工数明細!$G$3:$G$302,工数明細!$B$3:$B$302,$A407,工数明細!$I$3:$I$302,M$212))</f>
        <v/>
      </c>
      <c r="N407" s="51" t="str">
        <f aca="false">IF($A407="","",SUMIFS(工数明細!$G$3:$G$302,工数明細!$B$3:$B$302,$A407,工数明細!$I$3:$I$302,N$212))</f>
        <v/>
      </c>
      <c r="O407" s="51" t="str">
        <f aca="false">IF($A407="","",SUMIFS(工数明細!$G$3:$G$302,工数明細!$B$3:$B$302,$A407,工数明細!$I$3:$I$302,O$212))</f>
        <v/>
      </c>
      <c r="P407" s="51" t="str">
        <f aca="false">IF($A407="","",SUMIFS(工数明細!$G$3:$G$302,工数明細!$B$3:$B$302,$A407,工数明細!$I$3:$I$302,P$212))</f>
        <v/>
      </c>
      <c r="Q407" s="51" t="str">
        <f aca="false">IF($A407="","",SUMIFS(工数明細!$G$3:$G$302,工数明細!$B$3:$B$302,$A407,工数明細!$I$3:$I$302,Q$212))</f>
        <v/>
      </c>
      <c r="R407" s="51" t="str">
        <f aca="false">IF($A407="","",SUMIFS(工数明細!$G$3:$G$302,工数明細!$B$3:$B$302,$A407,工数明細!$I$3:$I$302,R$212))</f>
        <v/>
      </c>
      <c r="S407" s="51" t="str">
        <f aca="false">IF($A407="","",SUMIFS(工数明細!$G$3:$G$302,工数明細!$B$3:$B$302,$A407,工数明細!$I$3:$I$302,S$212))</f>
        <v/>
      </c>
      <c r="T407" s="51" t="str">
        <f aca="false">IF($A407="","",SUMIFS(工数明細!$G$3:$G$302,工数明細!$B$3:$B$302,$A407,工数明細!$I$3:$I$302,T$212))</f>
        <v/>
      </c>
      <c r="U407" s="51" t="str">
        <f aca="false">IF($A407="","",SUMIFS(工数明細!$G$3:$G$302,工数明細!$B$3:$B$302,$A407,工数明細!$I$3:$I$302,U$212))</f>
        <v/>
      </c>
      <c r="V407" s="51" t="str">
        <f aca="false">IF($A407="","",SUMIFS(工数明細!$G$3:$G$302,工数明細!$B$3:$B$302,$A407,工数明細!$I$3:$I$302,V$212))</f>
        <v/>
      </c>
      <c r="W407" s="51" t="str">
        <f aca="false">IF($A407="","",SUMIFS(工数明細!$G$3:$G$302,工数明細!$B$3:$B$302,$A407,工数明細!$I$3:$I$302,W$212))</f>
        <v/>
      </c>
      <c r="X407" s="51" t="str">
        <f aca="false">IF($A407="","",SUMIFS(工数明細!$G$3:$G$302,工数明細!$B$3:$B$302,$A407,工数明細!$I$3:$I$302,X$212))</f>
        <v/>
      </c>
      <c r="Y407" s="51" t="str">
        <f aca="false">IF($A407="","",SUMIFS(工数明細!$G$3:$G$302,工数明細!$B$3:$B$302,$A407,工数明細!$I$3:$I$302,Y$212))</f>
        <v/>
      </c>
      <c r="Z407" s="51" t="str">
        <f aca="false">IF($A407="","",SUMIFS(工数明細!$G$3:$G$302,工数明細!$B$3:$B$302,$A407,工数明細!$I$3:$I$302,Z$212))</f>
        <v/>
      </c>
      <c r="AA407" s="51" t="str">
        <f aca="false">IF($A407="","",SUMIFS(工数明細!$G$3:$G$302,工数明細!$B$3:$B$302,$A407,工数明細!$I$3:$I$302,AA$212))</f>
        <v/>
      </c>
      <c r="AB407" s="51" t="str">
        <f aca="false">IF($A407="","",SUMIFS(工数明細!$G$3:$G$302,工数明細!$B$3:$B$302,$A407,工数明細!$I$3:$I$302,AB$212))</f>
        <v/>
      </c>
      <c r="AC407" s="51" t="str">
        <f aca="false">IF($A407="","",SUMIFS(工数明細!$G$3:$G$302,工数明細!$B$3:$B$302,$A407,工数明細!$I$3:$I$302,AC$212))</f>
        <v/>
      </c>
      <c r="AD407" s="51" t="str">
        <f aca="false">IF($A407="","",SUMIFS(工数明細!$G$3:$G$302,工数明細!$B$3:$B$302,$A407,工数明細!$I$3:$I$302,AD$212))</f>
        <v/>
      </c>
    </row>
    <row r="408" customFormat="false" ht="15.75" hidden="false" customHeight="true" outlineLevel="0" collapsed="false">
      <c r="A408" s="28" t="str">
        <f aca="false">IF(案件管理!$A$197:$A$197="","",案件管理!$A$197:$A$197)</f>
        <v/>
      </c>
      <c r="B408" s="10" t="str">
        <f aca="false">IF($A408="","",案件管理!$B$197:$B$197)</f>
        <v/>
      </c>
      <c r="C408" s="10" t="str">
        <f aca="false">IF($A408="","",案件管理!$D$197:$D$197)</f>
        <v/>
      </c>
      <c r="D408" s="30" t="str">
        <f aca="false">IF($A408="","",案件管理!$AE$197:$AE$197)</f>
        <v/>
      </c>
      <c r="E408" s="30" t="str">
        <f aca="false">IF($A408="","",SUM($G408:$AD408))</f>
        <v/>
      </c>
      <c r="F408" s="51" t="str">
        <f aca="false">IF($A408="","",N($E202)-N($E408))</f>
        <v/>
      </c>
      <c r="G408" s="51" t="str">
        <f aca="false">IF($A408="","",SUMIFS(工数明細!$G$3:$G$302,工数明細!$B$3:$B$302,$A408,工数明細!$I$3:$I$302,G$212))</f>
        <v/>
      </c>
      <c r="H408" s="51" t="str">
        <f aca="false">IF($A408="","",SUMIFS(工数明細!$G$3:$G$302,工数明細!$B$3:$B$302,$A408,工数明細!$I$3:$I$302,H$212))</f>
        <v/>
      </c>
      <c r="I408" s="51" t="str">
        <f aca="false">IF($A408="","",SUMIFS(工数明細!$G$3:$G$302,工数明細!$B$3:$B$302,$A408,工数明細!$I$3:$I$302,I$212))</f>
        <v/>
      </c>
      <c r="J408" s="51" t="str">
        <f aca="false">IF($A408="","",SUMIFS(工数明細!$G$3:$G$302,工数明細!$B$3:$B$302,$A408,工数明細!$I$3:$I$302,J$212))</f>
        <v/>
      </c>
      <c r="K408" s="51" t="str">
        <f aca="false">IF($A408="","",SUMIFS(工数明細!$G$3:$G$302,工数明細!$B$3:$B$302,$A408,工数明細!$I$3:$I$302,K$212))</f>
        <v/>
      </c>
      <c r="L408" s="51" t="str">
        <f aca="false">IF($A408="","",SUMIFS(工数明細!$G$3:$G$302,工数明細!$B$3:$B$302,$A408,工数明細!$I$3:$I$302,L$212))</f>
        <v/>
      </c>
      <c r="M408" s="51" t="str">
        <f aca="false">IF($A408="","",SUMIFS(工数明細!$G$3:$G$302,工数明細!$B$3:$B$302,$A408,工数明細!$I$3:$I$302,M$212))</f>
        <v/>
      </c>
      <c r="N408" s="51" t="str">
        <f aca="false">IF($A408="","",SUMIFS(工数明細!$G$3:$G$302,工数明細!$B$3:$B$302,$A408,工数明細!$I$3:$I$302,N$212))</f>
        <v/>
      </c>
      <c r="O408" s="51" t="str">
        <f aca="false">IF($A408="","",SUMIFS(工数明細!$G$3:$G$302,工数明細!$B$3:$B$302,$A408,工数明細!$I$3:$I$302,O$212))</f>
        <v/>
      </c>
      <c r="P408" s="51" t="str">
        <f aca="false">IF($A408="","",SUMIFS(工数明細!$G$3:$G$302,工数明細!$B$3:$B$302,$A408,工数明細!$I$3:$I$302,P$212))</f>
        <v/>
      </c>
      <c r="Q408" s="51" t="str">
        <f aca="false">IF($A408="","",SUMIFS(工数明細!$G$3:$G$302,工数明細!$B$3:$B$302,$A408,工数明細!$I$3:$I$302,Q$212))</f>
        <v/>
      </c>
      <c r="R408" s="51" t="str">
        <f aca="false">IF($A408="","",SUMIFS(工数明細!$G$3:$G$302,工数明細!$B$3:$B$302,$A408,工数明細!$I$3:$I$302,R$212))</f>
        <v/>
      </c>
      <c r="S408" s="51" t="str">
        <f aca="false">IF($A408="","",SUMIFS(工数明細!$G$3:$G$302,工数明細!$B$3:$B$302,$A408,工数明細!$I$3:$I$302,S$212))</f>
        <v/>
      </c>
      <c r="T408" s="51" t="str">
        <f aca="false">IF($A408="","",SUMIFS(工数明細!$G$3:$G$302,工数明細!$B$3:$B$302,$A408,工数明細!$I$3:$I$302,T$212))</f>
        <v/>
      </c>
      <c r="U408" s="51" t="str">
        <f aca="false">IF($A408="","",SUMIFS(工数明細!$G$3:$G$302,工数明細!$B$3:$B$302,$A408,工数明細!$I$3:$I$302,U$212))</f>
        <v/>
      </c>
      <c r="V408" s="51" t="str">
        <f aca="false">IF($A408="","",SUMIFS(工数明細!$G$3:$G$302,工数明細!$B$3:$B$302,$A408,工数明細!$I$3:$I$302,V$212))</f>
        <v/>
      </c>
      <c r="W408" s="51" t="str">
        <f aca="false">IF($A408="","",SUMIFS(工数明細!$G$3:$G$302,工数明細!$B$3:$B$302,$A408,工数明細!$I$3:$I$302,W$212))</f>
        <v/>
      </c>
      <c r="X408" s="51" t="str">
        <f aca="false">IF($A408="","",SUMIFS(工数明細!$G$3:$G$302,工数明細!$B$3:$B$302,$A408,工数明細!$I$3:$I$302,X$212))</f>
        <v/>
      </c>
      <c r="Y408" s="51" t="str">
        <f aca="false">IF($A408="","",SUMIFS(工数明細!$G$3:$G$302,工数明細!$B$3:$B$302,$A408,工数明細!$I$3:$I$302,Y$212))</f>
        <v/>
      </c>
      <c r="Z408" s="51" t="str">
        <f aca="false">IF($A408="","",SUMIFS(工数明細!$G$3:$G$302,工数明細!$B$3:$B$302,$A408,工数明細!$I$3:$I$302,Z$212))</f>
        <v/>
      </c>
      <c r="AA408" s="51" t="str">
        <f aca="false">IF($A408="","",SUMIFS(工数明細!$G$3:$G$302,工数明細!$B$3:$B$302,$A408,工数明細!$I$3:$I$302,AA$212))</f>
        <v/>
      </c>
      <c r="AB408" s="51" t="str">
        <f aca="false">IF($A408="","",SUMIFS(工数明細!$G$3:$G$302,工数明細!$B$3:$B$302,$A408,工数明細!$I$3:$I$302,AB$212))</f>
        <v/>
      </c>
      <c r="AC408" s="51" t="str">
        <f aca="false">IF($A408="","",SUMIFS(工数明細!$G$3:$G$302,工数明細!$B$3:$B$302,$A408,工数明細!$I$3:$I$302,AC$212))</f>
        <v/>
      </c>
      <c r="AD408" s="51" t="str">
        <f aca="false">IF($A408="","",SUMIFS(工数明細!$G$3:$G$302,工数明細!$B$3:$B$302,$A408,工数明細!$I$3:$I$302,AD$212))</f>
        <v/>
      </c>
    </row>
    <row r="409" customFormat="false" ht="15.75" hidden="false" customHeight="true" outlineLevel="0" collapsed="false">
      <c r="A409" s="28" t="str">
        <f aca="false">IF(案件管理!$A$198:$A$198="","",案件管理!$A$198:$A$198)</f>
        <v/>
      </c>
      <c r="B409" s="10" t="str">
        <f aca="false">IF($A409="","",案件管理!$B$198:$B$198)</f>
        <v/>
      </c>
      <c r="C409" s="10" t="str">
        <f aca="false">IF($A409="","",案件管理!$D$198:$D$198)</f>
        <v/>
      </c>
      <c r="D409" s="30" t="str">
        <f aca="false">IF($A409="","",案件管理!$AE$198:$AE$198)</f>
        <v/>
      </c>
      <c r="E409" s="30" t="str">
        <f aca="false">IF($A409="","",SUM($G409:$AD409))</f>
        <v/>
      </c>
      <c r="F409" s="51" t="str">
        <f aca="false">IF($A409="","",N($E203)-N($E409))</f>
        <v/>
      </c>
      <c r="G409" s="51" t="str">
        <f aca="false">IF($A409="","",SUMIFS(工数明細!$G$3:$G$302,工数明細!$B$3:$B$302,$A409,工数明細!$I$3:$I$302,G$212))</f>
        <v/>
      </c>
      <c r="H409" s="51" t="str">
        <f aca="false">IF($A409="","",SUMIFS(工数明細!$G$3:$G$302,工数明細!$B$3:$B$302,$A409,工数明細!$I$3:$I$302,H$212))</f>
        <v/>
      </c>
      <c r="I409" s="51" t="str">
        <f aca="false">IF($A409="","",SUMIFS(工数明細!$G$3:$G$302,工数明細!$B$3:$B$302,$A409,工数明細!$I$3:$I$302,I$212))</f>
        <v/>
      </c>
      <c r="J409" s="51" t="str">
        <f aca="false">IF($A409="","",SUMIFS(工数明細!$G$3:$G$302,工数明細!$B$3:$B$302,$A409,工数明細!$I$3:$I$302,J$212))</f>
        <v/>
      </c>
      <c r="K409" s="51" t="str">
        <f aca="false">IF($A409="","",SUMIFS(工数明細!$G$3:$G$302,工数明細!$B$3:$B$302,$A409,工数明細!$I$3:$I$302,K$212))</f>
        <v/>
      </c>
      <c r="L409" s="51" t="str">
        <f aca="false">IF($A409="","",SUMIFS(工数明細!$G$3:$G$302,工数明細!$B$3:$B$302,$A409,工数明細!$I$3:$I$302,L$212))</f>
        <v/>
      </c>
      <c r="M409" s="51" t="str">
        <f aca="false">IF($A409="","",SUMIFS(工数明細!$G$3:$G$302,工数明細!$B$3:$B$302,$A409,工数明細!$I$3:$I$302,M$212))</f>
        <v/>
      </c>
      <c r="N409" s="51" t="str">
        <f aca="false">IF($A409="","",SUMIFS(工数明細!$G$3:$G$302,工数明細!$B$3:$B$302,$A409,工数明細!$I$3:$I$302,N$212))</f>
        <v/>
      </c>
      <c r="O409" s="51" t="str">
        <f aca="false">IF($A409="","",SUMIFS(工数明細!$G$3:$G$302,工数明細!$B$3:$B$302,$A409,工数明細!$I$3:$I$302,O$212))</f>
        <v/>
      </c>
      <c r="P409" s="51" t="str">
        <f aca="false">IF($A409="","",SUMIFS(工数明細!$G$3:$G$302,工数明細!$B$3:$B$302,$A409,工数明細!$I$3:$I$302,P$212))</f>
        <v/>
      </c>
      <c r="Q409" s="51" t="str">
        <f aca="false">IF($A409="","",SUMIFS(工数明細!$G$3:$G$302,工数明細!$B$3:$B$302,$A409,工数明細!$I$3:$I$302,Q$212))</f>
        <v/>
      </c>
      <c r="R409" s="51" t="str">
        <f aca="false">IF($A409="","",SUMIFS(工数明細!$G$3:$G$302,工数明細!$B$3:$B$302,$A409,工数明細!$I$3:$I$302,R$212))</f>
        <v/>
      </c>
      <c r="S409" s="51" t="str">
        <f aca="false">IF($A409="","",SUMIFS(工数明細!$G$3:$G$302,工数明細!$B$3:$B$302,$A409,工数明細!$I$3:$I$302,S$212))</f>
        <v/>
      </c>
      <c r="T409" s="51" t="str">
        <f aca="false">IF($A409="","",SUMIFS(工数明細!$G$3:$G$302,工数明細!$B$3:$B$302,$A409,工数明細!$I$3:$I$302,T$212))</f>
        <v/>
      </c>
      <c r="U409" s="51" t="str">
        <f aca="false">IF($A409="","",SUMIFS(工数明細!$G$3:$G$302,工数明細!$B$3:$B$302,$A409,工数明細!$I$3:$I$302,U$212))</f>
        <v/>
      </c>
      <c r="V409" s="51" t="str">
        <f aca="false">IF($A409="","",SUMIFS(工数明細!$G$3:$G$302,工数明細!$B$3:$B$302,$A409,工数明細!$I$3:$I$302,V$212))</f>
        <v/>
      </c>
      <c r="W409" s="51" t="str">
        <f aca="false">IF($A409="","",SUMIFS(工数明細!$G$3:$G$302,工数明細!$B$3:$B$302,$A409,工数明細!$I$3:$I$302,W$212))</f>
        <v/>
      </c>
      <c r="X409" s="51" t="str">
        <f aca="false">IF($A409="","",SUMIFS(工数明細!$G$3:$G$302,工数明細!$B$3:$B$302,$A409,工数明細!$I$3:$I$302,X$212))</f>
        <v/>
      </c>
      <c r="Y409" s="51" t="str">
        <f aca="false">IF($A409="","",SUMIFS(工数明細!$G$3:$G$302,工数明細!$B$3:$B$302,$A409,工数明細!$I$3:$I$302,Y$212))</f>
        <v/>
      </c>
      <c r="Z409" s="51" t="str">
        <f aca="false">IF($A409="","",SUMIFS(工数明細!$G$3:$G$302,工数明細!$B$3:$B$302,$A409,工数明細!$I$3:$I$302,Z$212))</f>
        <v/>
      </c>
      <c r="AA409" s="51" t="str">
        <f aca="false">IF($A409="","",SUMIFS(工数明細!$G$3:$G$302,工数明細!$B$3:$B$302,$A409,工数明細!$I$3:$I$302,AA$212))</f>
        <v/>
      </c>
      <c r="AB409" s="51" t="str">
        <f aca="false">IF($A409="","",SUMIFS(工数明細!$G$3:$G$302,工数明細!$B$3:$B$302,$A409,工数明細!$I$3:$I$302,AB$212))</f>
        <v/>
      </c>
      <c r="AC409" s="51" t="str">
        <f aca="false">IF($A409="","",SUMIFS(工数明細!$G$3:$G$302,工数明細!$B$3:$B$302,$A409,工数明細!$I$3:$I$302,AC$212))</f>
        <v/>
      </c>
      <c r="AD409" s="51" t="str">
        <f aca="false">IF($A409="","",SUMIFS(工数明細!$G$3:$G$302,工数明細!$B$3:$B$302,$A409,工数明細!$I$3:$I$302,AD$212))</f>
        <v/>
      </c>
    </row>
    <row r="410" customFormat="false" ht="15.75" hidden="false" customHeight="true" outlineLevel="0" collapsed="false">
      <c r="A410" s="28" t="str">
        <f aca="false">IF(案件管理!$A$199:$A$199="","",案件管理!$A$199:$A$199)</f>
        <v/>
      </c>
      <c r="B410" s="10" t="str">
        <f aca="false">IF($A410="","",案件管理!$B$199:$B$199)</f>
        <v/>
      </c>
      <c r="C410" s="10" t="str">
        <f aca="false">IF($A410="","",案件管理!$D$199:$D$199)</f>
        <v/>
      </c>
      <c r="D410" s="30" t="str">
        <f aca="false">IF($A410="","",案件管理!$AE$199:$AE$199)</f>
        <v/>
      </c>
      <c r="E410" s="30" t="str">
        <f aca="false">IF($A410="","",SUM($G410:$AD410))</f>
        <v/>
      </c>
      <c r="F410" s="51" t="str">
        <f aca="false">IF($A410="","",N($E204)-N($E410))</f>
        <v/>
      </c>
      <c r="G410" s="51" t="str">
        <f aca="false">IF($A410="","",SUMIFS(工数明細!$G$3:$G$302,工数明細!$B$3:$B$302,$A410,工数明細!$I$3:$I$302,G$212))</f>
        <v/>
      </c>
      <c r="H410" s="51" t="str">
        <f aca="false">IF($A410="","",SUMIFS(工数明細!$G$3:$G$302,工数明細!$B$3:$B$302,$A410,工数明細!$I$3:$I$302,H$212))</f>
        <v/>
      </c>
      <c r="I410" s="51" t="str">
        <f aca="false">IF($A410="","",SUMIFS(工数明細!$G$3:$G$302,工数明細!$B$3:$B$302,$A410,工数明細!$I$3:$I$302,I$212))</f>
        <v/>
      </c>
      <c r="J410" s="51" t="str">
        <f aca="false">IF($A410="","",SUMIFS(工数明細!$G$3:$G$302,工数明細!$B$3:$B$302,$A410,工数明細!$I$3:$I$302,J$212))</f>
        <v/>
      </c>
      <c r="K410" s="51" t="str">
        <f aca="false">IF($A410="","",SUMIFS(工数明細!$G$3:$G$302,工数明細!$B$3:$B$302,$A410,工数明細!$I$3:$I$302,K$212))</f>
        <v/>
      </c>
      <c r="L410" s="51" t="str">
        <f aca="false">IF($A410="","",SUMIFS(工数明細!$G$3:$G$302,工数明細!$B$3:$B$302,$A410,工数明細!$I$3:$I$302,L$212))</f>
        <v/>
      </c>
      <c r="M410" s="51" t="str">
        <f aca="false">IF($A410="","",SUMIFS(工数明細!$G$3:$G$302,工数明細!$B$3:$B$302,$A410,工数明細!$I$3:$I$302,M$212))</f>
        <v/>
      </c>
      <c r="N410" s="51" t="str">
        <f aca="false">IF($A410="","",SUMIFS(工数明細!$G$3:$G$302,工数明細!$B$3:$B$302,$A410,工数明細!$I$3:$I$302,N$212))</f>
        <v/>
      </c>
      <c r="O410" s="51" t="str">
        <f aca="false">IF($A410="","",SUMIFS(工数明細!$G$3:$G$302,工数明細!$B$3:$B$302,$A410,工数明細!$I$3:$I$302,O$212))</f>
        <v/>
      </c>
      <c r="P410" s="51" t="str">
        <f aca="false">IF($A410="","",SUMIFS(工数明細!$G$3:$G$302,工数明細!$B$3:$B$302,$A410,工数明細!$I$3:$I$302,P$212))</f>
        <v/>
      </c>
      <c r="Q410" s="51" t="str">
        <f aca="false">IF($A410="","",SUMIFS(工数明細!$G$3:$G$302,工数明細!$B$3:$B$302,$A410,工数明細!$I$3:$I$302,Q$212))</f>
        <v/>
      </c>
      <c r="R410" s="51" t="str">
        <f aca="false">IF($A410="","",SUMIFS(工数明細!$G$3:$G$302,工数明細!$B$3:$B$302,$A410,工数明細!$I$3:$I$302,R$212))</f>
        <v/>
      </c>
      <c r="S410" s="51" t="str">
        <f aca="false">IF($A410="","",SUMIFS(工数明細!$G$3:$G$302,工数明細!$B$3:$B$302,$A410,工数明細!$I$3:$I$302,S$212))</f>
        <v/>
      </c>
      <c r="T410" s="51" t="str">
        <f aca="false">IF($A410="","",SUMIFS(工数明細!$G$3:$G$302,工数明細!$B$3:$B$302,$A410,工数明細!$I$3:$I$302,T$212))</f>
        <v/>
      </c>
      <c r="U410" s="51" t="str">
        <f aca="false">IF($A410="","",SUMIFS(工数明細!$G$3:$G$302,工数明細!$B$3:$B$302,$A410,工数明細!$I$3:$I$302,U$212))</f>
        <v/>
      </c>
      <c r="V410" s="51" t="str">
        <f aca="false">IF($A410="","",SUMIFS(工数明細!$G$3:$G$302,工数明細!$B$3:$B$302,$A410,工数明細!$I$3:$I$302,V$212))</f>
        <v/>
      </c>
      <c r="W410" s="51" t="str">
        <f aca="false">IF($A410="","",SUMIFS(工数明細!$G$3:$G$302,工数明細!$B$3:$B$302,$A410,工数明細!$I$3:$I$302,W$212))</f>
        <v/>
      </c>
      <c r="X410" s="51" t="str">
        <f aca="false">IF($A410="","",SUMIFS(工数明細!$G$3:$G$302,工数明細!$B$3:$B$302,$A410,工数明細!$I$3:$I$302,X$212))</f>
        <v/>
      </c>
      <c r="Y410" s="51" t="str">
        <f aca="false">IF($A410="","",SUMIFS(工数明細!$G$3:$G$302,工数明細!$B$3:$B$302,$A410,工数明細!$I$3:$I$302,Y$212))</f>
        <v/>
      </c>
      <c r="Z410" s="51" t="str">
        <f aca="false">IF($A410="","",SUMIFS(工数明細!$G$3:$G$302,工数明細!$B$3:$B$302,$A410,工数明細!$I$3:$I$302,Z$212))</f>
        <v/>
      </c>
      <c r="AA410" s="51" t="str">
        <f aca="false">IF($A410="","",SUMIFS(工数明細!$G$3:$G$302,工数明細!$B$3:$B$302,$A410,工数明細!$I$3:$I$302,AA$212))</f>
        <v/>
      </c>
      <c r="AB410" s="51" t="str">
        <f aca="false">IF($A410="","",SUMIFS(工数明細!$G$3:$G$302,工数明細!$B$3:$B$302,$A410,工数明細!$I$3:$I$302,AB$212))</f>
        <v/>
      </c>
      <c r="AC410" s="51" t="str">
        <f aca="false">IF($A410="","",SUMIFS(工数明細!$G$3:$G$302,工数明細!$B$3:$B$302,$A410,工数明細!$I$3:$I$302,AC$212))</f>
        <v/>
      </c>
      <c r="AD410" s="51" t="str">
        <f aca="false">IF($A410="","",SUMIFS(工数明細!$G$3:$G$302,工数明細!$B$3:$B$302,$A410,工数明細!$I$3:$I$302,AD$212))</f>
        <v/>
      </c>
    </row>
    <row r="411" customFormat="false" ht="15.75" hidden="false" customHeight="true" outlineLevel="0" collapsed="false">
      <c r="A411" s="28" t="str">
        <f aca="false">IF(案件管理!$A$200:$A$200="","",案件管理!$A$200:$A$200)</f>
        <v/>
      </c>
      <c r="B411" s="10" t="str">
        <f aca="false">IF($A411="","",案件管理!$B$200:$B$200)</f>
        <v/>
      </c>
      <c r="C411" s="10" t="str">
        <f aca="false">IF($A411="","",案件管理!$D$200:$D$200)</f>
        <v/>
      </c>
      <c r="D411" s="30" t="str">
        <f aca="false">IF($A411="","",案件管理!$AE$200:$AE$200)</f>
        <v/>
      </c>
      <c r="E411" s="30" t="str">
        <f aca="false">IF($A411="","",SUM($G411:$AD411))</f>
        <v/>
      </c>
      <c r="F411" s="51" t="str">
        <f aca="false">IF($A411="","",N($E205)-N($E411))</f>
        <v/>
      </c>
      <c r="G411" s="51" t="str">
        <f aca="false">IF($A411="","",SUMIFS(工数明細!$G$3:$G$302,工数明細!$B$3:$B$302,$A411,工数明細!$I$3:$I$302,G$212))</f>
        <v/>
      </c>
      <c r="H411" s="51" t="str">
        <f aca="false">IF($A411="","",SUMIFS(工数明細!$G$3:$G$302,工数明細!$B$3:$B$302,$A411,工数明細!$I$3:$I$302,H$212))</f>
        <v/>
      </c>
      <c r="I411" s="51" t="str">
        <f aca="false">IF($A411="","",SUMIFS(工数明細!$G$3:$G$302,工数明細!$B$3:$B$302,$A411,工数明細!$I$3:$I$302,I$212))</f>
        <v/>
      </c>
      <c r="J411" s="51" t="str">
        <f aca="false">IF($A411="","",SUMIFS(工数明細!$G$3:$G$302,工数明細!$B$3:$B$302,$A411,工数明細!$I$3:$I$302,J$212))</f>
        <v/>
      </c>
      <c r="K411" s="51" t="str">
        <f aca="false">IF($A411="","",SUMIFS(工数明細!$G$3:$G$302,工数明細!$B$3:$B$302,$A411,工数明細!$I$3:$I$302,K$212))</f>
        <v/>
      </c>
      <c r="L411" s="51" t="str">
        <f aca="false">IF($A411="","",SUMIFS(工数明細!$G$3:$G$302,工数明細!$B$3:$B$302,$A411,工数明細!$I$3:$I$302,L$212))</f>
        <v/>
      </c>
      <c r="M411" s="51" t="str">
        <f aca="false">IF($A411="","",SUMIFS(工数明細!$G$3:$G$302,工数明細!$B$3:$B$302,$A411,工数明細!$I$3:$I$302,M$212))</f>
        <v/>
      </c>
      <c r="N411" s="51" t="str">
        <f aca="false">IF($A411="","",SUMIFS(工数明細!$G$3:$G$302,工数明細!$B$3:$B$302,$A411,工数明細!$I$3:$I$302,N$212))</f>
        <v/>
      </c>
      <c r="O411" s="51" t="str">
        <f aca="false">IF($A411="","",SUMIFS(工数明細!$G$3:$G$302,工数明細!$B$3:$B$302,$A411,工数明細!$I$3:$I$302,O$212))</f>
        <v/>
      </c>
      <c r="P411" s="51" t="str">
        <f aca="false">IF($A411="","",SUMIFS(工数明細!$G$3:$G$302,工数明細!$B$3:$B$302,$A411,工数明細!$I$3:$I$302,P$212))</f>
        <v/>
      </c>
      <c r="Q411" s="51" t="str">
        <f aca="false">IF($A411="","",SUMIFS(工数明細!$G$3:$G$302,工数明細!$B$3:$B$302,$A411,工数明細!$I$3:$I$302,Q$212))</f>
        <v/>
      </c>
      <c r="R411" s="51" t="str">
        <f aca="false">IF($A411="","",SUMIFS(工数明細!$G$3:$G$302,工数明細!$B$3:$B$302,$A411,工数明細!$I$3:$I$302,R$212))</f>
        <v/>
      </c>
      <c r="S411" s="51" t="str">
        <f aca="false">IF($A411="","",SUMIFS(工数明細!$G$3:$G$302,工数明細!$B$3:$B$302,$A411,工数明細!$I$3:$I$302,S$212))</f>
        <v/>
      </c>
      <c r="T411" s="51" t="str">
        <f aca="false">IF($A411="","",SUMIFS(工数明細!$G$3:$G$302,工数明細!$B$3:$B$302,$A411,工数明細!$I$3:$I$302,T$212))</f>
        <v/>
      </c>
      <c r="U411" s="51" t="str">
        <f aca="false">IF($A411="","",SUMIFS(工数明細!$G$3:$G$302,工数明細!$B$3:$B$302,$A411,工数明細!$I$3:$I$302,U$212))</f>
        <v/>
      </c>
      <c r="V411" s="51" t="str">
        <f aca="false">IF($A411="","",SUMIFS(工数明細!$G$3:$G$302,工数明細!$B$3:$B$302,$A411,工数明細!$I$3:$I$302,V$212))</f>
        <v/>
      </c>
      <c r="W411" s="51" t="str">
        <f aca="false">IF($A411="","",SUMIFS(工数明細!$G$3:$G$302,工数明細!$B$3:$B$302,$A411,工数明細!$I$3:$I$302,W$212))</f>
        <v/>
      </c>
      <c r="X411" s="51" t="str">
        <f aca="false">IF($A411="","",SUMIFS(工数明細!$G$3:$G$302,工数明細!$B$3:$B$302,$A411,工数明細!$I$3:$I$302,X$212))</f>
        <v/>
      </c>
      <c r="Y411" s="51" t="str">
        <f aca="false">IF($A411="","",SUMIFS(工数明細!$G$3:$G$302,工数明細!$B$3:$B$302,$A411,工数明細!$I$3:$I$302,Y$212))</f>
        <v/>
      </c>
      <c r="Z411" s="51" t="str">
        <f aca="false">IF($A411="","",SUMIFS(工数明細!$G$3:$G$302,工数明細!$B$3:$B$302,$A411,工数明細!$I$3:$I$302,Z$212))</f>
        <v/>
      </c>
      <c r="AA411" s="51" t="str">
        <f aca="false">IF($A411="","",SUMIFS(工数明細!$G$3:$G$302,工数明細!$B$3:$B$302,$A411,工数明細!$I$3:$I$302,AA$212))</f>
        <v/>
      </c>
      <c r="AB411" s="51" t="str">
        <f aca="false">IF($A411="","",SUMIFS(工数明細!$G$3:$G$302,工数明細!$B$3:$B$302,$A411,工数明細!$I$3:$I$302,AB$212))</f>
        <v/>
      </c>
      <c r="AC411" s="51" t="str">
        <f aca="false">IF($A411="","",SUMIFS(工数明細!$G$3:$G$302,工数明細!$B$3:$B$302,$A411,工数明細!$I$3:$I$302,AC$212))</f>
        <v/>
      </c>
      <c r="AD411" s="51" t="str">
        <f aca="false">IF($A411="","",SUMIFS(工数明細!$G$3:$G$302,工数明細!$B$3:$B$302,$A411,工数明細!$I$3:$I$302,AD$212))</f>
        <v/>
      </c>
    </row>
    <row r="412" customFormat="false" ht="15.75" hidden="false" customHeight="true" outlineLevel="0" collapsed="false">
      <c r="A412" s="28" t="str">
        <f aca="false">IF(案件管理!$A$201:$A$201="","",案件管理!$A$201:$A$201)</f>
        <v/>
      </c>
      <c r="B412" s="10" t="str">
        <f aca="false">IF($A412="","",案件管理!$B$201:$B$201)</f>
        <v/>
      </c>
      <c r="C412" s="10" t="str">
        <f aca="false">IF($A412="","",案件管理!$D$201:$D$201)</f>
        <v/>
      </c>
      <c r="D412" s="30" t="str">
        <f aca="false">IF($A412="","",案件管理!$AE$201:$AE$201)</f>
        <v/>
      </c>
      <c r="E412" s="30" t="str">
        <f aca="false">IF($A412="","",SUM($G412:$AD412))</f>
        <v/>
      </c>
      <c r="F412" s="51" t="str">
        <f aca="false">IF($A412="","",N($E206)-N($E412))</f>
        <v/>
      </c>
      <c r="G412" s="51" t="str">
        <f aca="false">IF($A412="","",SUMIFS(工数明細!$G$3:$G$302,工数明細!$B$3:$B$302,$A412,工数明細!$I$3:$I$302,G$212))</f>
        <v/>
      </c>
      <c r="H412" s="51" t="str">
        <f aca="false">IF($A412="","",SUMIFS(工数明細!$G$3:$G$302,工数明細!$B$3:$B$302,$A412,工数明細!$I$3:$I$302,H$212))</f>
        <v/>
      </c>
      <c r="I412" s="51" t="str">
        <f aca="false">IF($A412="","",SUMIFS(工数明細!$G$3:$G$302,工数明細!$B$3:$B$302,$A412,工数明細!$I$3:$I$302,I$212))</f>
        <v/>
      </c>
      <c r="J412" s="51" t="str">
        <f aca="false">IF($A412="","",SUMIFS(工数明細!$G$3:$G$302,工数明細!$B$3:$B$302,$A412,工数明細!$I$3:$I$302,J$212))</f>
        <v/>
      </c>
      <c r="K412" s="51" t="str">
        <f aca="false">IF($A412="","",SUMIFS(工数明細!$G$3:$G$302,工数明細!$B$3:$B$302,$A412,工数明細!$I$3:$I$302,K$212))</f>
        <v/>
      </c>
      <c r="L412" s="51" t="str">
        <f aca="false">IF($A412="","",SUMIFS(工数明細!$G$3:$G$302,工数明細!$B$3:$B$302,$A412,工数明細!$I$3:$I$302,L$212))</f>
        <v/>
      </c>
      <c r="M412" s="51" t="str">
        <f aca="false">IF($A412="","",SUMIFS(工数明細!$G$3:$G$302,工数明細!$B$3:$B$302,$A412,工数明細!$I$3:$I$302,M$212))</f>
        <v/>
      </c>
      <c r="N412" s="51" t="str">
        <f aca="false">IF($A412="","",SUMIFS(工数明細!$G$3:$G$302,工数明細!$B$3:$B$302,$A412,工数明細!$I$3:$I$302,N$212))</f>
        <v/>
      </c>
      <c r="O412" s="51" t="str">
        <f aca="false">IF($A412="","",SUMIFS(工数明細!$G$3:$G$302,工数明細!$B$3:$B$302,$A412,工数明細!$I$3:$I$302,O$212))</f>
        <v/>
      </c>
      <c r="P412" s="51" t="str">
        <f aca="false">IF($A412="","",SUMIFS(工数明細!$G$3:$G$302,工数明細!$B$3:$B$302,$A412,工数明細!$I$3:$I$302,P$212))</f>
        <v/>
      </c>
      <c r="Q412" s="51" t="str">
        <f aca="false">IF($A412="","",SUMIFS(工数明細!$G$3:$G$302,工数明細!$B$3:$B$302,$A412,工数明細!$I$3:$I$302,Q$212))</f>
        <v/>
      </c>
      <c r="R412" s="51" t="str">
        <f aca="false">IF($A412="","",SUMIFS(工数明細!$G$3:$G$302,工数明細!$B$3:$B$302,$A412,工数明細!$I$3:$I$302,R$212))</f>
        <v/>
      </c>
      <c r="S412" s="51" t="str">
        <f aca="false">IF($A412="","",SUMIFS(工数明細!$G$3:$G$302,工数明細!$B$3:$B$302,$A412,工数明細!$I$3:$I$302,S$212))</f>
        <v/>
      </c>
      <c r="T412" s="51" t="str">
        <f aca="false">IF($A412="","",SUMIFS(工数明細!$G$3:$G$302,工数明細!$B$3:$B$302,$A412,工数明細!$I$3:$I$302,T$212))</f>
        <v/>
      </c>
      <c r="U412" s="51" t="str">
        <f aca="false">IF($A412="","",SUMIFS(工数明細!$G$3:$G$302,工数明細!$B$3:$B$302,$A412,工数明細!$I$3:$I$302,U$212))</f>
        <v/>
      </c>
      <c r="V412" s="51" t="str">
        <f aca="false">IF($A412="","",SUMIFS(工数明細!$G$3:$G$302,工数明細!$B$3:$B$302,$A412,工数明細!$I$3:$I$302,V$212))</f>
        <v/>
      </c>
      <c r="W412" s="51" t="str">
        <f aca="false">IF($A412="","",SUMIFS(工数明細!$G$3:$G$302,工数明細!$B$3:$B$302,$A412,工数明細!$I$3:$I$302,W$212))</f>
        <v/>
      </c>
      <c r="X412" s="51" t="str">
        <f aca="false">IF($A412="","",SUMIFS(工数明細!$G$3:$G$302,工数明細!$B$3:$B$302,$A412,工数明細!$I$3:$I$302,X$212))</f>
        <v/>
      </c>
      <c r="Y412" s="51" t="str">
        <f aca="false">IF($A412="","",SUMIFS(工数明細!$G$3:$G$302,工数明細!$B$3:$B$302,$A412,工数明細!$I$3:$I$302,Y$212))</f>
        <v/>
      </c>
      <c r="Z412" s="51" t="str">
        <f aca="false">IF($A412="","",SUMIFS(工数明細!$G$3:$G$302,工数明細!$B$3:$B$302,$A412,工数明細!$I$3:$I$302,Z$212))</f>
        <v/>
      </c>
      <c r="AA412" s="51" t="str">
        <f aca="false">IF($A412="","",SUMIFS(工数明細!$G$3:$G$302,工数明細!$B$3:$B$302,$A412,工数明細!$I$3:$I$302,AA$212))</f>
        <v/>
      </c>
      <c r="AB412" s="51" t="str">
        <f aca="false">IF($A412="","",SUMIFS(工数明細!$G$3:$G$302,工数明細!$B$3:$B$302,$A412,工数明細!$I$3:$I$302,AB$212))</f>
        <v/>
      </c>
      <c r="AC412" s="51" t="str">
        <f aca="false">IF($A412="","",SUMIFS(工数明細!$G$3:$G$302,工数明細!$B$3:$B$302,$A412,工数明細!$I$3:$I$302,AC$212))</f>
        <v/>
      </c>
      <c r="AD412" s="51" t="str">
        <f aca="false">IF($A412="","",SUMIFS(工数明細!$G$3:$G$302,工数明細!$B$3:$B$302,$A412,工数明細!$I$3:$I$302,AD$212))</f>
        <v/>
      </c>
    </row>
    <row r="413" customFormat="false" ht="15.75" hidden="false" customHeight="true" outlineLevel="0" collapsed="false">
      <c r="A413" s="28" t="str">
        <f aca="false">IF(案件管理!$A$202:$A$202="","",案件管理!$A$202:$A$202)</f>
        <v/>
      </c>
      <c r="B413" s="10" t="str">
        <f aca="false">IF($A413="","",案件管理!$B$202:$B$202)</f>
        <v/>
      </c>
      <c r="C413" s="10" t="str">
        <f aca="false">IF($A413="","",案件管理!$D$202:$D$202)</f>
        <v/>
      </c>
      <c r="D413" s="30" t="str">
        <f aca="false">IF($A413="","",案件管理!$AE$202:$AE$202)</f>
        <v/>
      </c>
      <c r="E413" s="30" t="str">
        <f aca="false">IF($A413="","",SUM($G413:$AD413))</f>
        <v/>
      </c>
      <c r="F413" s="51" t="str">
        <f aca="false">IF($A413="","",N($E207)-N($E413))</f>
        <v/>
      </c>
      <c r="G413" s="51" t="str">
        <f aca="false">IF($A413="","",SUMIFS(工数明細!$G$3:$G$302,工数明細!$B$3:$B$302,$A413,工数明細!$I$3:$I$302,G$212))</f>
        <v/>
      </c>
      <c r="H413" s="51" t="str">
        <f aca="false">IF($A413="","",SUMIFS(工数明細!$G$3:$G$302,工数明細!$B$3:$B$302,$A413,工数明細!$I$3:$I$302,H$212))</f>
        <v/>
      </c>
      <c r="I413" s="51" t="str">
        <f aca="false">IF($A413="","",SUMIFS(工数明細!$G$3:$G$302,工数明細!$B$3:$B$302,$A413,工数明細!$I$3:$I$302,I$212))</f>
        <v/>
      </c>
      <c r="J413" s="51" t="str">
        <f aca="false">IF($A413="","",SUMIFS(工数明細!$G$3:$G$302,工数明細!$B$3:$B$302,$A413,工数明細!$I$3:$I$302,J$212))</f>
        <v/>
      </c>
      <c r="K413" s="51" t="str">
        <f aca="false">IF($A413="","",SUMIFS(工数明細!$G$3:$G$302,工数明細!$B$3:$B$302,$A413,工数明細!$I$3:$I$302,K$212))</f>
        <v/>
      </c>
      <c r="L413" s="51" t="str">
        <f aca="false">IF($A413="","",SUMIFS(工数明細!$G$3:$G$302,工数明細!$B$3:$B$302,$A413,工数明細!$I$3:$I$302,L$212))</f>
        <v/>
      </c>
      <c r="M413" s="51" t="str">
        <f aca="false">IF($A413="","",SUMIFS(工数明細!$G$3:$G$302,工数明細!$B$3:$B$302,$A413,工数明細!$I$3:$I$302,M$212))</f>
        <v/>
      </c>
      <c r="N413" s="51" t="str">
        <f aca="false">IF($A413="","",SUMIFS(工数明細!$G$3:$G$302,工数明細!$B$3:$B$302,$A413,工数明細!$I$3:$I$302,N$212))</f>
        <v/>
      </c>
      <c r="O413" s="51" t="str">
        <f aca="false">IF($A413="","",SUMIFS(工数明細!$G$3:$G$302,工数明細!$B$3:$B$302,$A413,工数明細!$I$3:$I$302,O$212))</f>
        <v/>
      </c>
      <c r="P413" s="51" t="str">
        <f aca="false">IF($A413="","",SUMIFS(工数明細!$G$3:$G$302,工数明細!$B$3:$B$302,$A413,工数明細!$I$3:$I$302,P$212))</f>
        <v/>
      </c>
      <c r="Q413" s="51" t="str">
        <f aca="false">IF($A413="","",SUMIFS(工数明細!$G$3:$G$302,工数明細!$B$3:$B$302,$A413,工数明細!$I$3:$I$302,Q$212))</f>
        <v/>
      </c>
      <c r="R413" s="51" t="str">
        <f aca="false">IF($A413="","",SUMIFS(工数明細!$G$3:$G$302,工数明細!$B$3:$B$302,$A413,工数明細!$I$3:$I$302,R$212))</f>
        <v/>
      </c>
      <c r="S413" s="51" t="str">
        <f aca="false">IF($A413="","",SUMIFS(工数明細!$G$3:$G$302,工数明細!$B$3:$B$302,$A413,工数明細!$I$3:$I$302,S$212))</f>
        <v/>
      </c>
      <c r="T413" s="51" t="str">
        <f aca="false">IF($A413="","",SUMIFS(工数明細!$G$3:$G$302,工数明細!$B$3:$B$302,$A413,工数明細!$I$3:$I$302,T$212))</f>
        <v/>
      </c>
      <c r="U413" s="51" t="str">
        <f aca="false">IF($A413="","",SUMIFS(工数明細!$G$3:$G$302,工数明細!$B$3:$B$302,$A413,工数明細!$I$3:$I$302,U$212))</f>
        <v/>
      </c>
      <c r="V413" s="51" t="str">
        <f aca="false">IF($A413="","",SUMIFS(工数明細!$G$3:$G$302,工数明細!$B$3:$B$302,$A413,工数明細!$I$3:$I$302,V$212))</f>
        <v/>
      </c>
      <c r="W413" s="51" t="str">
        <f aca="false">IF($A413="","",SUMIFS(工数明細!$G$3:$G$302,工数明細!$B$3:$B$302,$A413,工数明細!$I$3:$I$302,W$212))</f>
        <v/>
      </c>
      <c r="X413" s="51" t="str">
        <f aca="false">IF($A413="","",SUMIFS(工数明細!$G$3:$G$302,工数明細!$B$3:$B$302,$A413,工数明細!$I$3:$I$302,X$212))</f>
        <v/>
      </c>
      <c r="Y413" s="51" t="str">
        <f aca="false">IF($A413="","",SUMIFS(工数明細!$G$3:$G$302,工数明細!$B$3:$B$302,$A413,工数明細!$I$3:$I$302,Y$212))</f>
        <v/>
      </c>
      <c r="Z413" s="51" t="str">
        <f aca="false">IF($A413="","",SUMIFS(工数明細!$G$3:$G$302,工数明細!$B$3:$B$302,$A413,工数明細!$I$3:$I$302,Z$212))</f>
        <v/>
      </c>
      <c r="AA413" s="51" t="str">
        <f aca="false">IF($A413="","",SUMIFS(工数明細!$G$3:$G$302,工数明細!$B$3:$B$302,$A413,工数明細!$I$3:$I$302,AA$212))</f>
        <v/>
      </c>
      <c r="AB413" s="51" t="str">
        <f aca="false">IF($A413="","",SUMIFS(工数明細!$G$3:$G$302,工数明細!$B$3:$B$302,$A413,工数明細!$I$3:$I$302,AB$212))</f>
        <v/>
      </c>
      <c r="AC413" s="51" t="str">
        <f aca="false">IF($A413="","",SUMIFS(工数明細!$G$3:$G$302,工数明細!$B$3:$B$302,$A413,工数明細!$I$3:$I$302,AC$212))</f>
        <v/>
      </c>
      <c r="AD413" s="51" t="str">
        <f aca="false">IF($A413="","",SUMIFS(工数明細!$G$3:$G$302,工数明細!$B$3:$B$302,$A413,工数明細!$I$3:$I$302,AD$212))</f>
        <v/>
      </c>
    </row>
    <row r="414" customFormat="false" ht="15" hidden="false" customHeight="false" outlineLevel="0" collapsed="false">
      <c r="A414" s="54" t="s">
        <v>171</v>
      </c>
      <c r="B414" s="55"/>
      <c r="C414" s="55"/>
      <c r="D414" s="56" t="n">
        <f aca="false">SUM(D214:D413)</f>
        <v>87</v>
      </c>
      <c r="E414" s="56" t="n">
        <f aca="false">SUM(E214:E413)</f>
        <v>2.75</v>
      </c>
      <c r="F414" s="57" t="n">
        <f aca="false">SUM(F214:F413)</f>
        <v>84.25</v>
      </c>
      <c r="G414" s="57" t="n">
        <f aca="false">SUM(G214:G413)</f>
        <v>0</v>
      </c>
      <c r="H414" s="57" t="n">
        <f aca="false">SUM(H214:H413)</f>
        <v>0</v>
      </c>
      <c r="I414" s="57" t="n">
        <f aca="false">SUM(I214:I413)</f>
        <v>2.25</v>
      </c>
      <c r="J414" s="57" t="n">
        <f aca="false">SUM(J214:J413)</f>
        <v>0.5</v>
      </c>
      <c r="K414" s="57" t="n">
        <f aca="false">SUM(K214:K413)</f>
        <v>0</v>
      </c>
      <c r="L414" s="57" t="n">
        <f aca="false">SUM(L214:L413)</f>
        <v>0</v>
      </c>
      <c r="M414" s="57" t="n">
        <f aca="false">SUM(M214:M413)</f>
        <v>0</v>
      </c>
      <c r="N414" s="57" t="n">
        <f aca="false">SUM(N214:N413)</f>
        <v>0</v>
      </c>
      <c r="O414" s="57" t="n">
        <f aca="false">SUM(O214:O413)</f>
        <v>0</v>
      </c>
      <c r="P414" s="57" t="n">
        <f aca="false">SUM(P214:P413)</f>
        <v>0</v>
      </c>
      <c r="Q414" s="57" t="n">
        <f aca="false">SUM(Q214:Q413)</f>
        <v>0</v>
      </c>
      <c r="R414" s="57" t="n">
        <f aca="false">SUM(R214:R413)</f>
        <v>0</v>
      </c>
      <c r="S414" s="57" t="n">
        <f aca="false">SUM(S214:S413)</f>
        <v>0</v>
      </c>
      <c r="T414" s="57" t="n">
        <f aca="false">SUM(T214:T413)</f>
        <v>0</v>
      </c>
      <c r="U414" s="57" t="n">
        <f aca="false">SUM(U214:U413)</f>
        <v>0</v>
      </c>
      <c r="V414" s="57" t="n">
        <f aca="false">SUM(V214:V413)</f>
        <v>0</v>
      </c>
      <c r="W414" s="57" t="n">
        <f aca="false">SUM(W214:W413)</f>
        <v>0</v>
      </c>
      <c r="X414" s="57" t="n">
        <f aca="false">SUM(X214:X413)</f>
        <v>0</v>
      </c>
      <c r="Y414" s="57" t="n">
        <f aca="false">SUM(Y214:Y413)</f>
        <v>0</v>
      </c>
      <c r="Z414" s="57" t="n">
        <f aca="false">SUM(Z214:Z413)</f>
        <v>0</v>
      </c>
      <c r="AA414" s="57" t="n">
        <f aca="false">SUM(AA214:AA413)</f>
        <v>0</v>
      </c>
      <c r="AB414" s="57" t="n">
        <f aca="false">SUM(AB214:AB413)</f>
        <v>0</v>
      </c>
      <c r="AC414" s="57" t="n">
        <f aca="false">SUM(AC214:AC413)</f>
        <v>0</v>
      </c>
      <c r="AD414" s="57" t="n">
        <f aca="false">SUM(AD214:AD413)</f>
        <v>0</v>
      </c>
    </row>
    <row r="416" customFormat="false" ht="15" hidden="false" customHeight="false" outlineLevel="0" collapsed="false">
      <c r="A416" s="42" t="s">
        <v>175</v>
      </c>
    </row>
  </sheetData>
  <mergeCells count="1">
    <mergeCell ref="A1:AD1"/>
  </mergeCells>
  <conditionalFormatting sqref="F8:F207">
    <cfRule type="cellIs" priority="2" operator="notEqual" aboveAverage="0" equalAverage="0" bottom="0" percent="0" rank="0" text="" dxfId="19">
      <formula>0</formula>
    </cfRule>
  </conditionalFormatting>
  <conditionalFormatting sqref="G8:AD207">
    <cfRule type="dataBar" priority="3">
      <dataBar showValue="1" minLength="10" maxLength="90">
        <cfvo type="min" val="0"/>
        <cfvo type="max" val="0"/>
        <color rgb="FF9BC2E6"/>
      </dataBar>
      <extLst>
        <ext xmlns:x14="http://schemas.microsoft.com/office/spreadsheetml/2009/9/main" uri="{B025F937-C7B1-47D3-B67F-A62EFF666E3E}">
          <x14:id>{851D83B9-F020-4349-81A0-8B3510FDFF43}</x14:id>
        </ext>
      </extLst>
    </cfRule>
  </conditionalFormatting>
  <conditionalFormatting sqref="G214:AD413">
    <cfRule type="dataBar" priority="4">
      <dataBar showValue="1" minLength="10" maxLength="90">
        <cfvo type="min" val="0"/>
        <cfvo type="max" val="0"/>
        <color rgb="FFA9D08E"/>
      </dataBar>
      <extLst>
        <ext xmlns:x14="http://schemas.microsoft.com/office/spreadsheetml/2009/9/main" uri="{B025F937-C7B1-47D3-B67F-A62EFF666E3E}">
          <x14:id>{00D88019-F280-4549-A939-39AD35F35013}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1D83B9-F020-4349-81A0-8B3510FDFF43}">
            <x14:dataBar minLength="10" maxLength="90" axisPosition="none" gradient="true">
              <x14:cfvo type="min"/>
              <x14:cfvo type="max"/>
              <x14:negativeFillColor rgb="FF9BC2E6"/>
              <x14:axisColor rgb="FF000000"/>
            </x14:dataBar>
          </x14:cfRule>
          <xm:sqref>G8:AD207</xm:sqref>
        </x14:conditionalFormatting>
        <x14:conditionalFormatting xmlns:xm="http://schemas.microsoft.com/office/excel/2006/main">
          <x14:cfRule type="dataBar" id="{00D88019-F280-4549-A939-39AD35F35013}">
            <x14:dataBar minLength="10" maxLength="90" axisPosition="none" gradient="true">
              <x14:cfvo type="min"/>
              <x14:cfvo type="max"/>
              <x14:negativeFillColor rgb="FFA9D08E"/>
              <x14:axisColor rgb="FF000000"/>
            </x14:dataBar>
          </x14:cfRule>
          <xm:sqref>G214:AD413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4" min="10" style="0" width="12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28"/>
  </cols>
  <sheetData>
    <row r="1" customFormat="false" ht="25.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1.5" hidden="false" customHeight="true" outlineLevel="0" collapsed="false">
      <c r="A2" s="13" t="s">
        <v>177</v>
      </c>
      <c r="B2" s="13" t="s">
        <v>87</v>
      </c>
      <c r="C2" s="14" t="s">
        <v>88</v>
      </c>
      <c r="D2" s="13" t="s">
        <v>178</v>
      </c>
      <c r="E2" s="13" t="s">
        <v>179</v>
      </c>
      <c r="F2" s="13" t="s">
        <v>180</v>
      </c>
      <c r="G2" s="13" t="s">
        <v>181</v>
      </c>
      <c r="H2" s="14" t="s">
        <v>74</v>
      </c>
      <c r="I2" s="13" t="s">
        <v>182</v>
      </c>
      <c r="J2" s="13" t="s">
        <v>183</v>
      </c>
      <c r="K2" s="13" t="s">
        <v>184</v>
      </c>
      <c r="L2" s="13" t="s">
        <v>185</v>
      </c>
      <c r="M2" s="13" t="s">
        <v>186</v>
      </c>
      <c r="N2" s="13" t="s">
        <v>187</v>
      </c>
      <c r="O2" s="14" t="s">
        <v>113</v>
      </c>
      <c r="P2" s="14" t="s">
        <v>188</v>
      </c>
      <c r="Q2" s="13" t="s">
        <v>123</v>
      </c>
    </row>
    <row r="3" customFormat="false" ht="18" hidden="false" customHeight="true" outlineLevel="0" collapsed="false">
      <c r="A3" s="15" t="s">
        <v>189</v>
      </c>
      <c r="B3" s="15" t="s">
        <v>124</v>
      </c>
      <c r="C3" s="10" t="str">
        <f aca="false">IF($B3="","",IFERROR(INDEX(案件管理!$B$3:$B$202,MATCH($B3,案件管理!$A$3:$A$202,0)),"←IDが未登録です"))</f>
        <v>本社ネットワーク更改</v>
      </c>
      <c r="D3" s="32" t="s">
        <v>190</v>
      </c>
      <c r="E3" s="12" t="s">
        <v>191</v>
      </c>
      <c r="F3" s="58" t="n">
        <v>4</v>
      </c>
      <c r="G3" s="22" t="n">
        <v>320000</v>
      </c>
      <c r="H3" s="23" t="n">
        <f aca="false">IF(N($F3)*N($G3)=0,"",$F3*$G3)</f>
        <v>1280000</v>
      </c>
      <c r="I3" s="32" t="s">
        <v>192</v>
      </c>
      <c r="J3" s="18" t="n">
        <v>46167</v>
      </c>
      <c r="K3" s="18" t="n">
        <v>46188</v>
      </c>
      <c r="L3" s="18" t="n">
        <v>46191</v>
      </c>
      <c r="M3" s="18" t="n">
        <v>46191</v>
      </c>
      <c r="N3" s="18" t="n">
        <v>46192</v>
      </c>
      <c r="O3" s="20" t="str">
        <f aca="false">IF($B3="","",IF($N3&lt;&gt;"","受入済",IF($M3&lt;&gt;"","入荷済（受入待ち）",IF($J3&lt;&gt;"","発注済","未発注"))))</f>
        <v>受入済</v>
      </c>
      <c r="P3" s="21" t="n">
        <f aca="true">IF($L3="","",IF($M3&lt;&gt;"",$M3-$L3,IF(TODAY()&gt;$L3,TODAY()-$L3,0)))</f>
        <v>0</v>
      </c>
      <c r="Q3" s="12" t="s">
        <v>137</v>
      </c>
    </row>
    <row r="4" customFormat="false" ht="18" hidden="false" customHeight="true" outlineLevel="0" collapsed="false">
      <c r="A4" s="15" t="s">
        <v>193</v>
      </c>
      <c r="B4" s="15" t="s">
        <v>124</v>
      </c>
      <c r="C4" s="10" t="str">
        <f aca="false">IF($B4="","",IFERROR(INDEX(案件管理!$B$3:$B$202,MATCH($B4,案件管理!$A$3:$A$202,0)),"←IDが未登録です"))</f>
        <v>本社ネットワーク更改</v>
      </c>
      <c r="D4" s="12" t="s">
        <v>194</v>
      </c>
      <c r="E4" s="12" t="s">
        <v>191</v>
      </c>
      <c r="F4" s="58" t="n">
        <v>8</v>
      </c>
      <c r="G4" s="22" t="n">
        <v>45000</v>
      </c>
      <c r="H4" s="23" t="n">
        <f aca="false">IF(N($F4)*N($G4)=0,"",$F4*$G4)</f>
        <v>360000</v>
      </c>
      <c r="I4" s="32" t="s">
        <v>192</v>
      </c>
      <c r="J4" s="18" t="n">
        <v>46167</v>
      </c>
      <c r="K4" s="18" t="n">
        <v>46188</v>
      </c>
      <c r="L4" s="18" t="n">
        <v>46213</v>
      </c>
      <c r="M4" s="18"/>
      <c r="N4" s="18"/>
      <c r="O4" s="20" t="str">
        <f aca="false">IF($B4="","",IF($N4&lt;&gt;"","受入済",IF($M4&lt;&gt;"","入荷済（受入待ち）",IF($J4&lt;&gt;"","発注済","未発注"))))</f>
        <v>発注済</v>
      </c>
      <c r="P4" s="21" t="n">
        <f aca="true">IF($L4="","",IF($M4&lt;&gt;"",$M4-$L4,IF(TODAY()&gt;$L4,TODAY()-$L4,0)))</f>
        <v>67</v>
      </c>
      <c r="Q4" s="12" t="s">
        <v>195</v>
      </c>
    </row>
    <row r="5" customFormat="false" ht="18" hidden="false" customHeight="true" outlineLevel="0" collapsed="false">
      <c r="A5" s="15" t="s">
        <v>196</v>
      </c>
      <c r="B5" s="15" t="s">
        <v>124</v>
      </c>
      <c r="C5" s="10" t="str">
        <f aca="false">IF($B5="","",IFERROR(INDEX(案件管理!$B$3:$B$202,MATCH($B5,案件管理!$A$3:$A$202,0)),"←IDが未登録です"))</f>
        <v>本社ネットワーク更改</v>
      </c>
      <c r="D5" s="32" t="s">
        <v>197</v>
      </c>
      <c r="E5" s="32" t="s">
        <v>198</v>
      </c>
      <c r="F5" s="58" t="n">
        <v>1</v>
      </c>
      <c r="G5" s="22" t="n">
        <v>180000</v>
      </c>
      <c r="H5" s="23" t="n">
        <f aca="false">IF(N($F5)*N($G5)=0,"",$F5*$G5)</f>
        <v>180000</v>
      </c>
      <c r="I5" s="32" t="s">
        <v>198</v>
      </c>
      <c r="J5" s="18" t="n">
        <v>46170</v>
      </c>
      <c r="K5" s="18" t="n">
        <v>46193</v>
      </c>
      <c r="L5" s="18" t="n">
        <v>46193</v>
      </c>
      <c r="M5" s="18" t="n">
        <v>46192</v>
      </c>
      <c r="N5" s="18"/>
      <c r="O5" s="20" t="str">
        <f aca="false">IF($B5="","",IF($N5&lt;&gt;"","受入済",IF($M5&lt;&gt;"","入荷済（受入待ち）",IF($J5&lt;&gt;"","発注済","未発注"))))</f>
        <v>入荷済（受入待ち）</v>
      </c>
      <c r="P5" s="21" t="n">
        <f aca="true">IF($L5="","",IF($M5&lt;&gt;"",$M5-$L5,IF(TODAY()&gt;$L5,TODAY()-$L5,0)))</f>
        <v>-1</v>
      </c>
      <c r="Q5" s="12" t="s">
        <v>199</v>
      </c>
    </row>
    <row r="6" customFormat="false" ht="18" hidden="false" customHeight="true" outlineLevel="0" collapsed="false">
      <c r="A6" s="33"/>
      <c r="B6" s="33"/>
      <c r="C6" s="10" t="str">
        <f aca="false">IF($B6="","",IFERROR(INDEX(案件管理!$B$3:$B$202,MATCH($B6,案件管理!$A$3:$A$202,0)),"←IDが未登録です"))</f>
        <v/>
      </c>
      <c r="D6" s="8"/>
      <c r="E6" s="8"/>
      <c r="F6" s="59"/>
      <c r="G6" s="38"/>
      <c r="H6" s="23" t="str">
        <f aca="false">IF(N($F6)*N($G6)=0,"",$F6*$G6)</f>
        <v/>
      </c>
      <c r="I6" s="34"/>
      <c r="J6" s="37"/>
      <c r="K6" s="37"/>
      <c r="L6" s="37"/>
      <c r="M6" s="37"/>
      <c r="N6" s="37"/>
      <c r="O6" s="20" t="str">
        <f aca="false">IF($B6="","",IF($N6&lt;&gt;"","受入済",IF($M6&lt;&gt;"","入荷済（受入待ち）",IF($J6&lt;&gt;"","発注済","未発注"))))</f>
        <v/>
      </c>
      <c r="P6" s="21" t="str">
        <f aca="true">IF($L6="","",IF($M6&lt;&gt;"",$M6-$L6,IF(TODAY()&gt;$L6,TODAY()-$L6,0)))</f>
        <v/>
      </c>
      <c r="Q6" s="8"/>
    </row>
    <row r="7" customFormat="false" ht="18" hidden="false" customHeight="true" outlineLevel="0" collapsed="false">
      <c r="A7" s="33"/>
      <c r="B7" s="33"/>
      <c r="C7" s="10" t="str">
        <f aca="false">IF($B7="","",IFERROR(INDEX(案件管理!$B$3:$B$202,MATCH($B7,案件管理!$A$3:$A$202,0)),"←IDが未登録です"))</f>
        <v/>
      </c>
      <c r="D7" s="8"/>
      <c r="E7" s="8"/>
      <c r="F7" s="59"/>
      <c r="G7" s="38"/>
      <c r="H7" s="23" t="str">
        <f aca="false">IF(N($F7)*N($G7)=0,"",$F7*$G7)</f>
        <v/>
      </c>
      <c r="I7" s="34"/>
      <c r="J7" s="37"/>
      <c r="K7" s="37"/>
      <c r="L7" s="37"/>
      <c r="M7" s="37"/>
      <c r="N7" s="37"/>
      <c r="O7" s="20" t="str">
        <f aca="false">IF($B7="","",IF($N7&lt;&gt;"","受入済",IF($M7&lt;&gt;"","入荷済（受入待ち）",IF($J7&lt;&gt;"","発注済","未発注"))))</f>
        <v/>
      </c>
      <c r="P7" s="21" t="str">
        <f aca="true">IF($L7="","",IF($M7&lt;&gt;"",$M7-$L7,IF(TODAY()&gt;$L7,TODAY()-$L7,0)))</f>
        <v/>
      </c>
      <c r="Q7" s="8"/>
    </row>
    <row r="8" customFormat="false" ht="18" hidden="false" customHeight="true" outlineLevel="0" collapsed="false">
      <c r="A8" s="33"/>
      <c r="B8" s="33"/>
      <c r="C8" s="10" t="str">
        <f aca="false">IF($B8="","",IFERROR(INDEX(案件管理!$B$3:$B$202,MATCH($B8,案件管理!$A$3:$A$202,0)),"←IDが未登録です"))</f>
        <v/>
      </c>
      <c r="D8" s="8"/>
      <c r="E8" s="8"/>
      <c r="F8" s="59"/>
      <c r="G8" s="38"/>
      <c r="H8" s="23" t="str">
        <f aca="false">IF(N($F8)*N($G8)=0,"",$F8*$G8)</f>
        <v/>
      </c>
      <c r="I8" s="34"/>
      <c r="J8" s="37"/>
      <c r="K8" s="37"/>
      <c r="L8" s="37"/>
      <c r="M8" s="37"/>
      <c r="N8" s="37"/>
      <c r="O8" s="20" t="str">
        <f aca="false">IF($B8="","",IF($N8&lt;&gt;"","受入済",IF($M8&lt;&gt;"","入荷済（受入待ち）",IF($J8&lt;&gt;"","発注済","未発注"))))</f>
        <v/>
      </c>
      <c r="P8" s="21" t="str">
        <f aca="true">IF($L8="","",IF($M8&lt;&gt;"",$M8-$L8,IF(TODAY()&gt;$L8,TODAY()-$L8,0)))</f>
        <v/>
      </c>
      <c r="Q8" s="8"/>
    </row>
    <row r="9" customFormat="false" ht="18" hidden="false" customHeight="true" outlineLevel="0" collapsed="false">
      <c r="A9" s="33"/>
      <c r="B9" s="33"/>
      <c r="C9" s="10" t="str">
        <f aca="false">IF($B9="","",IFERROR(INDEX(案件管理!$B$3:$B$202,MATCH($B9,案件管理!$A$3:$A$202,0)),"←IDが未登録です"))</f>
        <v/>
      </c>
      <c r="D9" s="8"/>
      <c r="E9" s="8"/>
      <c r="F9" s="59"/>
      <c r="G9" s="38"/>
      <c r="H9" s="23" t="str">
        <f aca="false">IF(N($F9)*N($G9)=0,"",$F9*$G9)</f>
        <v/>
      </c>
      <c r="I9" s="34"/>
      <c r="J9" s="37"/>
      <c r="K9" s="37"/>
      <c r="L9" s="37"/>
      <c r="M9" s="37"/>
      <c r="N9" s="37"/>
      <c r="O9" s="20" t="str">
        <f aca="false">IF($B9="","",IF($N9&lt;&gt;"","受入済",IF($M9&lt;&gt;"","入荷済（受入待ち）",IF($J9&lt;&gt;"","発注済","未発注"))))</f>
        <v/>
      </c>
      <c r="P9" s="21" t="str">
        <f aca="true">IF($L9="","",IF($M9&lt;&gt;"",$M9-$L9,IF(TODAY()&gt;$L9,TODAY()-$L9,0)))</f>
        <v/>
      </c>
      <c r="Q9" s="8"/>
    </row>
    <row r="10" customFormat="false" ht="18" hidden="false" customHeight="true" outlineLevel="0" collapsed="false">
      <c r="A10" s="33"/>
      <c r="B10" s="33"/>
      <c r="C10" s="10" t="str">
        <f aca="false">IF($B10="","",IFERROR(INDEX(案件管理!$B$3:$B$202,MATCH($B10,案件管理!$A$3:$A$202,0)),"←IDが未登録です"))</f>
        <v/>
      </c>
      <c r="D10" s="8"/>
      <c r="E10" s="8"/>
      <c r="F10" s="59"/>
      <c r="G10" s="38"/>
      <c r="H10" s="23" t="str">
        <f aca="false">IF(N($F10)*N($G10)=0,"",$F10*$G10)</f>
        <v/>
      </c>
      <c r="I10" s="34"/>
      <c r="J10" s="37"/>
      <c r="K10" s="37"/>
      <c r="L10" s="37"/>
      <c r="M10" s="37"/>
      <c r="N10" s="37"/>
      <c r="O10" s="20" t="str">
        <f aca="false">IF($B10="","",IF($N10&lt;&gt;"","受入済",IF($M10&lt;&gt;"","入荷済（受入待ち）",IF($J10&lt;&gt;"","発注済","未発注"))))</f>
        <v/>
      </c>
      <c r="P10" s="21" t="str">
        <f aca="true">IF($L10="","",IF($M10&lt;&gt;"",$M10-$L10,IF(TODAY()&gt;$L10,TODAY()-$L10,0)))</f>
        <v/>
      </c>
      <c r="Q10" s="8"/>
    </row>
    <row r="11" customFormat="false" ht="18" hidden="false" customHeight="true" outlineLevel="0" collapsed="false">
      <c r="A11" s="33"/>
      <c r="B11" s="33"/>
      <c r="C11" s="10" t="str">
        <f aca="false">IF($B11="","",IFERROR(INDEX(案件管理!$B$3:$B$202,MATCH($B11,案件管理!$A$3:$A$202,0)),"←IDが未登録です"))</f>
        <v/>
      </c>
      <c r="D11" s="8"/>
      <c r="E11" s="8"/>
      <c r="F11" s="59"/>
      <c r="G11" s="38"/>
      <c r="H11" s="23" t="str">
        <f aca="false">IF(N($F11)*N($G11)=0,"",$F11*$G11)</f>
        <v/>
      </c>
      <c r="I11" s="34"/>
      <c r="J11" s="37"/>
      <c r="K11" s="37"/>
      <c r="L11" s="37"/>
      <c r="M11" s="37"/>
      <c r="N11" s="37"/>
      <c r="O11" s="20" t="str">
        <f aca="false">IF($B11="","",IF($N11&lt;&gt;"","受入済",IF($M11&lt;&gt;"","入荷済（受入待ち）",IF($J11&lt;&gt;"","発注済","未発注"))))</f>
        <v/>
      </c>
      <c r="P11" s="21" t="str">
        <f aca="true">IF($L11="","",IF($M11&lt;&gt;"",$M11-$L11,IF(TODAY()&gt;$L11,TODAY()-$L11,0)))</f>
        <v/>
      </c>
      <c r="Q11" s="8"/>
    </row>
    <row r="12" customFormat="false" ht="18" hidden="false" customHeight="true" outlineLevel="0" collapsed="false">
      <c r="A12" s="33"/>
      <c r="B12" s="33"/>
      <c r="C12" s="10" t="str">
        <f aca="false">IF($B12="","",IFERROR(INDEX(案件管理!$B$3:$B$202,MATCH($B12,案件管理!$A$3:$A$202,0)),"←IDが未登録です"))</f>
        <v/>
      </c>
      <c r="D12" s="8"/>
      <c r="E12" s="8"/>
      <c r="F12" s="59"/>
      <c r="G12" s="38"/>
      <c r="H12" s="23" t="str">
        <f aca="false">IF(N($F12)*N($G12)=0,"",$F12*$G12)</f>
        <v/>
      </c>
      <c r="I12" s="34"/>
      <c r="J12" s="37"/>
      <c r="K12" s="37"/>
      <c r="L12" s="37"/>
      <c r="M12" s="37"/>
      <c r="N12" s="37"/>
      <c r="O12" s="20" t="str">
        <f aca="false">IF($B12="","",IF($N12&lt;&gt;"","受入済",IF($M12&lt;&gt;"","入荷済（受入待ち）",IF($J12&lt;&gt;"","発注済","未発注"))))</f>
        <v/>
      </c>
      <c r="P12" s="21" t="str">
        <f aca="true">IF($L12="","",IF($M12&lt;&gt;"",$M12-$L12,IF(TODAY()&gt;$L12,TODAY()-$L12,0)))</f>
        <v/>
      </c>
      <c r="Q12" s="8"/>
    </row>
    <row r="13" customFormat="false" ht="18" hidden="false" customHeight="true" outlineLevel="0" collapsed="false">
      <c r="A13" s="33"/>
      <c r="B13" s="33"/>
      <c r="C13" s="10" t="str">
        <f aca="false">IF($B13="","",IFERROR(INDEX(案件管理!$B$3:$B$202,MATCH($B13,案件管理!$A$3:$A$202,0)),"←IDが未登録です"))</f>
        <v/>
      </c>
      <c r="D13" s="8"/>
      <c r="E13" s="8"/>
      <c r="F13" s="59"/>
      <c r="G13" s="38"/>
      <c r="H13" s="23" t="str">
        <f aca="false">IF(N($F13)*N($G13)=0,"",$F13*$G13)</f>
        <v/>
      </c>
      <c r="I13" s="34"/>
      <c r="J13" s="37"/>
      <c r="K13" s="37"/>
      <c r="L13" s="37"/>
      <c r="M13" s="37"/>
      <c r="N13" s="37"/>
      <c r="O13" s="20" t="str">
        <f aca="false">IF($B13="","",IF($N13&lt;&gt;"","受入済",IF($M13&lt;&gt;"","入荷済（受入待ち）",IF($J13&lt;&gt;"","発注済","未発注"))))</f>
        <v/>
      </c>
      <c r="P13" s="21" t="str">
        <f aca="true">IF($L13="","",IF($M13&lt;&gt;"",$M13-$L13,IF(TODAY()&gt;$L13,TODAY()-$L13,0)))</f>
        <v/>
      </c>
      <c r="Q13" s="8"/>
    </row>
    <row r="14" customFormat="false" ht="18" hidden="false" customHeight="true" outlineLevel="0" collapsed="false">
      <c r="A14" s="33"/>
      <c r="B14" s="33"/>
      <c r="C14" s="10" t="str">
        <f aca="false">IF($B14="","",IFERROR(INDEX(案件管理!$B$3:$B$202,MATCH($B14,案件管理!$A$3:$A$202,0)),"←IDが未登録です"))</f>
        <v/>
      </c>
      <c r="D14" s="8"/>
      <c r="E14" s="8"/>
      <c r="F14" s="59"/>
      <c r="G14" s="38"/>
      <c r="H14" s="23" t="str">
        <f aca="false">IF(N($F14)*N($G14)=0,"",$F14*$G14)</f>
        <v/>
      </c>
      <c r="I14" s="34"/>
      <c r="J14" s="37"/>
      <c r="K14" s="37"/>
      <c r="L14" s="37"/>
      <c r="M14" s="37"/>
      <c r="N14" s="37"/>
      <c r="O14" s="20" t="str">
        <f aca="false">IF($B14="","",IF($N14&lt;&gt;"","受入済",IF($M14&lt;&gt;"","入荷済（受入待ち）",IF($J14&lt;&gt;"","発注済","未発注"))))</f>
        <v/>
      </c>
      <c r="P14" s="21" t="str">
        <f aca="true">IF($L14="","",IF($M14&lt;&gt;"",$M14-$L14,IF(TODAY()&gt;$L14,TODAY()-$L14,0)))</f>
        <v/>
      </c>
      <c r="Q14" s="8"/>
    </row>
    <row r="15" customFormat="false" ht="18" hidden="false" customHeight="true" outlineLevel="0" collapsed="false">
      <c r="A15" s="33"/>
      <c r="B15" s="33"/>
      <c r="C15" s="10" t="str">
        <f aca="false">IF($B15="","",IFERROR(INDEX(案件管理!$B$3:$B$202,MATCH($B15,案件管理!$A$3:$A$202,0)),"←IDが未登録です"))</f>
        <v/>
      </c>
      <c r="D15" s="8"/>
      <c r="E15" s="8"/>
      <c r="F15" s="59"/>
      <c r="G15" s="38"/>
      <c r="H15" s="23" t="str">
        <f aca="false">IF(N($F15)*N($G15)=0,"",$F15*$G15)</f>
        <v/>
      </c>
      <c r="I15" s="34"/>
      <c r="J15" s="37"/>
      <c r="K15" s="37"/>
      <c r="L15" s="37"/>
      <c r="M15" s="37"/>
      <c r="N15" s="37"/>
      <c r="O15" s="20" t="str">
        <f aca="false">IF($B15="","",IF($N15&lt;&gt;"","受入済",IF($M15&lt;&gt;"","入荷済（受入待ち）",IF($J15&lt;&gt;"","発注済","未発注"))))</f>
        <v/>
      </c>
      <c r="P15" s="21" t="str">
        <f aca="true">IF($L15="","",IF($M15&lt;&gt;"",$M15-$L15,IF(TODAY()&gt;$L15,TODAY()-$L15,0)))</f>
        <v/>
      </c>
      <c r="Q15" s="8"/>
    </row>
    <row r="16" customFormat="false" ht="18" hidden="false" customHeight="true" outlineLevel="0" collapsed="false">
      <c r="A16" s="33"/>
      <c r="B16" s="33"/>
      <c r="C16" s="10" t="str">
        <f aca="false">IF($B16="","",IFERROR(INDEX(案件管理!$B$3:$B$202,MATCH($B16,案件管理!$A$3:$A$202,0)),"←IDが未登録です"))</f>
        <v/>
      </c>
      <c r="D16" s="8"/>
      <c r="E16" s="8"/>
      <c r="F16" s="59"/>
      <c r="G16" s="38"/>
      <c r="H16" s="23" t="str">
        <f aca="false">IF(N($F16)*N($G16)=0,"",$F16*$G16)</f>
        <v/>
      </c>
      <c r="I16" s="34"/>
      <c r="J16" s="37"/>
      <c r="K16" s="37"/>
      <c r="L16" s="37"/>
      <c r="M16" s="37"/>
      <c r="N16" s="37"/>
      <c r="O16" s="20" t="str">
        <f aca="false">IF($B16="","",IF($N16&lt;&gt;"","受入済",IF($M16&lt;&gt;"","入荷済（受入待ち）",IF($J16&lt;&gt;"","発注済","未発注"))))</f>
        <v/>
      </c>
      <c r="P16" s="21" t="str">
        <f aca="true">IF($L16="","",IF($M16&lt;&gt;"",$M16-$L16,IF(TODAY()&gt;$L16,TODAY()-$L16,0)))</f>
        <v/>
      </c>
      <c r="Q16" s="8"/>
    </row>
    <row r="17" customFormat="false" ht="18" hidden="false" customHeight="true" outlineLevel="0" collapsed="false">
      <c r="A17" s="33"/>
      <c r="B17" s="33"/>
      <c r="C17" s="10" t="str">
        <f aca="false">IF($B17="","",IFERROR(INDEX(案件管理!$B$3:$B$202,MATCH($B17,案件管理!$A$3:$A$202,0)),"←IDが未登録です"))</f>
        <v/>
      </c>
      <c r="D17" s="8"/>
      <c r="E17" s="8"/>
      <c r="F17" s="59"/>
      <c r="G17" s="38"/>
      <c r="H17" s="23" t="str">
        <f aca="false">IF(N($F17)*N($G17)=0,"",$F17*$G17)</f>
        <v/>
      </c>
      <c r="I17" s="34"/>
      <c r="J17" s="37"/>
      <c r="K17" s="37"/>
      <c r="L17" s="37"/>
      <c r="M17" s="37"/>
      <c r="N17" s="37"/>
      <c r="O17" s="20" t="str">
        <f aca="false">IF($B17="","",IF($N17&lt;&gt;"","受入済",IF($M17&lt;&gt;"","入荷済（受入待ち）",IF($J17&lt;&gt;"","発注済","未発注"))))</f>
        <v/>
      </c>
      <c r="P17" s="21" t="str">
        <f aca="true">IF($L17="","",IF($M17&lt;&gt;"",$M17-$L17,IF(TODAY()&gt;$L17,TODAY()-$L17,0)))</f>
        <v/>
      </c>
      <c r="Q17" s="8"/>
    </row>
    <row r="18" customFormat="false" ht="18" hidden="false" customHeight="true" outlineLevel="0" collapsed="false">
      <c r="A18" s="33"/>
      <c r="B18" s="33"/>
      <c r="C18" s="10" t="str">
        <f aca="false">IF($B18="","",IFERROR(INDEX(案件管理!$B$3:$B$202,MATCH($B18,案件管理!$A$3:$A$202,0)),"←IDが未登録です"))</f>
        <v/>
      </c>
      <c r="D18" s="8"/>
      <c r="E18" s="8"/>
      <c r="F18" s="59"/>
      <c r="G18" s="38"/>
      <c r="H18" s="23" t="str">
        <f aca="false">IF(N($F18)*N($G18)=0,"",$F18*$G18)</f>
        <v/>
      </c>
      <c r="I18" s="34"/>
      <c r="J18" s="37"/>
      <c r="K18" s="37"/>
      <c r="L18" s="37"/>
      <c r="M18" s="37"/>
      <c r="N18" s="37"/>
      <c r="O18" s="20" t="str">
        <f aca="false">IF($B18="","",IF($N18&lt;&gt;"","受入済",IF($M18&lt;&gt;"","入荷済（受入待ち）",IF($J18&lt;&gt;"","発注済","未発注"))))</f>
        <v/>
      </c>
      <c r="P18" s="21" t="str">
        <f aca="true">IF($L18="","",IF($M18&lt;&gt;"",$M18-$L18,IF(TODAY()&gt;$L18,TODAY()-$L18,0)))</f>
        <v/>
      </c>
      <c r="Q18" s="8"/>
    </row>
    <row r="19" customFormat="false" ht="18" hidden="false" customHeight="true" outlineLevel="0" collapsed="false">
      <c r="A19" s="33"/>
      <c r="B19" s="33"/>
      <c r="C19" s="10" t="str">
        <f aca="false">IF($B19="","",IFERROR(INDEX(案件管理!$B$3:$B$202,MATCH($B19,案件管理!$A$3:$A$202,0)),"←IDが未登録です"))</f>
        <v/>
      </c>
      <c r="D19" s="8"/>
      <c r="E19" s="8"/>
      <c r="F19" s="59"/>
      <c r="G19" s="38"/>
      <c r="H19" s="23" t="str">
        <f aca="false">IF(N($F19)*N($G19)=0,"",$F19*$G19)</f>
        <v/>
      </c>
      <c r="I19" s="34"/>
      <c r="J19" s="37"/>
      <c r="K19" s="37"/>
      <c r="L19" s="37"/>
      <c r="M19" s="37"/>
      <c r="N19" s="37"/>
      <c r="O19" s="20" t="str">
        <f aca="false">IF($B19="","",IF($N19&lt;&gt;"","受入済",IF($M19&lt;&gt;"","入荷済（受入待ち）",IF($J19&lt;&gt;"","発注済","未発注"))))</f>
        <v/>
      </c>
      <c r="P19" s="21" t="str">
        <f aca="true">IF($L19="","",IF($M19&lt;&gt;"",$M19-$L19,IF(TODAY()&gt;$L19,TODAY()-$L19,0)))</f>
        <v/>
      </c>
      <c r="Q19" s="8"/>
    </row>
    <row r="20" customFormat="false" ht="18" hidden="false" customHeight="true" outlineLevel="0" collapsed="false">
      <c r="A20" s="33"/>
      <c r="B20" s="33"/>
      <c r="C20" s="10" t="str">
        <f aca="false">IF($B20="","",IFERROR(INDEX(案件管理!$B$3:$B$202,MATCH($B20,案件管理!$A$3:$A$202,0)),"←IDが未登録です"))</f>
        <v/>
      </c>
      <c r="D20" s="8"/>
      <c r="E20" s="8"/>
      <c r="F20" s="59"/>
      <c r="G20" s="38"/>
      <c r="H20" s="23" t="str">
        <f aca="false">IF(N($F20)*N($G20)=0,"",$F20*$G20)</f>
        <v/>
      </c>
      <c r="I20" s="34"/>
      <c r="J20" s="37"/>
      <c r="K20" s="37"/>
      <c r="L20" s="37"/>
      <c r="M20" s="37"/>
      <c r="N20" s="37"/>
      <c r="O20" s="20" t="str">
        <f aca="false">IF($B20="","",IF($N20&lt;&gt;"","受入済",IF($M20&lt;&gt;"","入荷済（受入待ち）",IF($J20&lt;&gt;"","発注済","未発注"))))</f>
        <v/>
      </c>
      <c r="P20" s="21" t="str">
        <f aca="true">IF($L20="","",IF($M20&lt;&gt;"",$M20-$L20,IF(TODAY()&gt;$L20,TODAY()-$L20,0)))</f>
        <v/>
      </c>
      <c r="Q20" s="8"/>
    </row>
    <row r="21" customFormat="false" ht="18" hidden="false" customHeight="true" outlineLevel="0" collapsed="false">
      <c r="A21" s="33"/>
      <c r="B21" s="33"/>
      <c r="C21" s="10" t="str">
        <f aca="false">IF($B21="","",IFERROR(INDEX(案件管理!$B$3:$B$202,MATCH($B21,案件管理!$A$3:$A$202,0)),"←IDが未登録です"))</f>
        <v/>
      </c>
      <c r="D21" s="8"/>
      <c r="E21" s="8"/>
      <c r="F21" s="59"/>
      <c r="G21" s="38"/>
      <c r="H21" s="23" t="str">
        <f aca="false">IF(N($F21)*N($G21)=0,"",$F21*$G21)</f>
        <v/>
      </c>
      <c r="I21" s="34"/>
      <c r="J21" s="37"/>
      <c r="K21" s="37"/>
      <c r="L21" s="37"/>
      <c r="M21" s="37"/>
      <c r="N21" s="37"/>
      <c r="O21" s="20" t="str">
        <f aca="false">IF($B21="","",IF($N21&lt;&gt;"","受入済",IF($M21&lt;&gt;"","入荷済（受入待ち）",IF($J21&lt;&gt;"","発注済","未発注"))))</f>
        <v/>
      </c>
      <c r="P21" s="21" t="str">
        <f aca="true">IF($L21="","",IF($M21&lt;&gt;"",$M21-$L21,IF(TODAY()&gt;$L21,TODAY()-$L21,0)))</f>
        <v/>
      </c>
      <c r="Q21" s="8"/>
    </row>
    <row r="22" customFormat="false" ht="18" hidden="false" customHeight="true" outlineLevel="0" collapsed="false">
      <c r="A22" s="33"/>
      <c r="B22" s="33"/>
      <c r="C22" s="10" t="str">
        <f aca="false">IF($B22="","",IFERROR(INDEX(案件管理!$B$3:$B$202,MATCH($B22,案件管理!$A$3:$A$202,0)),"←IDが未登録です"))</f>
        <v/>
      </c>
      <c r="D22" s="8"/>
      <c r="E22" s="8"/>
      <c r="F22" s="59"/>
      <c r="G22" s="38"/>
      <c r="H22" s="23" t="str">
        <f aca="false">IF(N($F22)*N($G22)=0,"",$F22*$G22)</f>
        <v/>
      </c>
      <c r="I22" s="34"/>
      <c r="J22" s="37"/>
      <c r="K22" s="37"/>
      <c r="L22" s="37"/>
      <c r="M22" s="37"/>
      <c r="N22" s="37"/>
      <c r="O22" s="20" t="str">
        <f aca="false">IF($B22="","",IF($N22&lt;&gt;"","受入済",IF($M22&lt;&gt;"","入荷済（受入待ち）",IF($J22&lt;&gt;"","発注済","未発注"))))</f>
        <v/>
      </c>
      <c r="P22" s="21" t="str">
        <f aca="true">IF($L22="","",IF($M22&lt;&gt;"",$M22-$L22,IF(TODAY()&gt;$L22,TODAY()-$L22,0)))</f>
        <v/>
      </c>
      <c r="Q22" s="8"/>
    </row>
    <row r="23" customFormat="false" ht="18" hidden="false" customHeight="true" outlineLevel="0" collapsed="false">
      <c r="A23" s="33"/>
      <c r="B23" s="33"/>
      <c r="C23" s="10" t="str">
        <f aca="false">IF($B23="","",IFERROR(INDEX(案件管理!$B$3:$B$202,MATCH($B23,案件管理!$A$3:$A$202,0)),"←IDが未登録です"))</f>
        <v/>
      </c>
      <c r="D23" s="8"/>
      <c r="E23" s="8"/>
      <c r="F23" s="59"/>
      <c r="G23" s="38"/>
      <c r="H23" s="23" t="str">
        <f aca="false">IF(N($F23)*N($G23)=0,"",$F23*$G23)</f>
        <v/>
      </c>
      <c r="I23" s="34"/>
      <c r="J23" s="37"/>
      <c r="K23" s="37"/>
      <c r="L23" s="37"/>
      <c r="M23" s="37"/>
      <c r="N23" s="37"/>
      <c r="O23" s="20" t="str">
        <f aca="false">IF($B23="","",IF($N23&lt;&gt;"","受入済",IF($M23&lt;&gt;"","入荷済（受入待ち）",IF($J23&lt;&gt;"","発注済","未発注"))))</f>
        <v/>
      </c>
      <c r="P23" s="21" t="str">
        <f aca="true">IF($L23="","",IF($M23&lt;&gt;"",$M23-$L23,IF(TODAY()&gt;$L23,TODAY()-$L23,0)))</f>
        <v/>
      </c>
      <c r="Q23" s="8"/>
    </row>
    <row r="24" customFormat="false" ht="18" hidden="false" customHeight="true" outlineLevel="0" collapsed="false">
      <c r="A24" s="33"/>
      <c r="B24" s="33"/>
      <c r="C24" s="10" t="str">
        <f aca="false">IF($B24="","",IFERROR(INDEX(案件管理!$B$3:$B$202,MATCH($B24,案件管理!$A$3:$A$202,0)),"←IDが未登録です"))</f>
        <v/>
      </c>
      <c r="D24" s="8"/>
      <c r="E24" s="8"/>
      <c r="F24" s="59"/>
      <c r="G24" s="38"/>
      <c r="H24" s="23" t="str">
        <f aca="false">IF(N($F24)*N($G24)=0,"",$F24*$G24)</f>
        <v/>
      </c>
      <c r="I24" s="34"/>
      <c r="J24" s="37"/>
      <c r="K24" s="37"/>
      <c r="L24" s="37"/>
      <c r="M24" s="37"/>
      <c r="N24" s="37"/>
      <c r="O24" s="20" t="str">
        <f aca="false">IF($B24="","",IF($N24&lt;&gt;"","受入済",IF($M24&lt;&gt;"","入荷済（受入待ち）",IF($J24&lt;&gt;"","発注済","未発注"))))</f>
        <v/>
      </c>
      <c r="P24" s="21" t="str">
        <f aca="true">IF($L24="","",IF($M24&lt;&gt;"",$M24-$L24,IF(TODAY()&gt;$L24,TODAY()-$L24,0)))</f>
        <v/>
      </c>
      <c r="Q24" s="8"/>
    </row>
    <row r="25" customFormat="false" ht="18" hidden="false" customHeight="true" outlineLevel="0" collapsed="false">
      <c r="A25" s="33"/>
      <c r="B25" s="33"/>
      <c r="C25" s="10" t="str">
        <f aca="false">IF($B25="","",IFERROR(INDEX(案件管理!$B$3:$B$202,MATCH($B25,案件管理!$A$3:$A$202,0)),"←IDが未登録です"))</f>
        <v/>
      </c>
      <c r="D25" s="8"/>
      <c r="E25" s="8"/>
      <c r="F25" s="59"/>
      <c r="G25" s="38"/>
      <c r="H25" s="23" t="str">
        <f aca="false">IF(N($F25)*N($G25)=0,"",$F25*$G25)</f>
        <v/>
      </c>
      <c r="I25" s="34"/>
      <c r="J25" s="37"/>
      <c r="K25" s="37"/>
      <c r="L25" s="37"/>
      <c r="M25" s="37"/>
      <c r="N25" s="37"/>
      <c r="O25" s="20" t="str">
        <f aca="false">IF($B25="","",IF($N25&lt;&gt;"","受入済",IF($M25&lt;&gt;"","入荷済（受入待ち）",IF($J25&lt;&gt;"","発注済","未発注"))))</f>
        <v/>
      </c>
      <c r="P25" s="21" t="str">
        <f aca="true">IF($L25="","",IF($M25&lt;&gt;"",$M25-$L25,IF(TODAY()&gt;$L25,TODAY()-$L25,0)))</f>
        <v/>
      </c>
      <c r="Q25" s="8"/>
    </row>
    <row r="26" customFormat="false" ht="18" hidden="false" customHeight="true" outlineLevel="0" collapsed="false">
      <c r="A26" s="33"/>
      <c r="B26" s="33"/>
      <c r="C26" s="10" t="str">
        <f aca="false">IF($B26="","",IFERROR(INDEX(案件管理!$B$3:$B$202,MATCH($B26,案件管理!$A$3:$A$202,0)),"←IDが未登録です"))</f>
        <v/>
      </c>
      <c r="D26" s="8"/>
      <c r="E26" s="8"/>
      <c r="F26" s="59"/>
      <c r="G26" s="38"/>
      <c r="H26" s="23" t="str">
        <f aca="false">IF(N($F26)*N($G26)=0,"",$F26*$G26)</f>
        <v/>
      </c>
      <c r="I26" s="34"/>
      <c r="J26" s="37"/>
      <c r="K26" s="37"/>
      <c r="L26" s="37"/>
      <c r="M26" s="37"/>
      <c r="N26" s="37"/>
      <c r="O26" s="20" t="str">
        <f aca="false">IF($B26="","",IF($N26&lt;&gt;"","受入済",IF($M26&lt;&gt;"","入荷済（受入待ち）",IF($J26&lt;&gt;"","発注済","未発注"))))</f>
        <v/>
      </c>
      <c r="P26" s="21" t="str">
        <f aca="true">IF($L26="","",IF($M26&lt;&gt;"",$M26-$L26,IF(TODAY()&gt;$L26,TODAY()-$L26,0)))</f>
        <v/>
      </c>
      <c r="Q26" s="8"/>
    </row>
    <row r="27" customFormat="false" ht="18" hidden="false" customHeight="true" outlineLevel="0" collapsed="false">
      <c r="A27" s="33"/>
      <c r="B27" s="33"/>
      <c r="C27" s="10" t="str">
        <f aca="false">IF($B27="","",IFERROR(INDEX(案件管理!$B$3:$B$202,MATCH($B27,案件管理!$A$3:$A$202,0)),"←IDが未登録です"))</f>
        <v/>
      </c>
      <c r="D27" s="8"/>
      <c r="E27" s="8"/>
      <c r="F27" s="59"/>
      <c r="G27" s="38"/>
      <c r="H27" s="23" t="str">
        <f aca="false">IF(N($F27)*N($G27)=0,"",$F27*$G27)</f>
        <v/>
      </c>
      <c r="I27" s="34"/>
      <c r="J27" s="37"/>
      <c r="K27" s="37"/>
      <c r="L27" s="37"/>
      <c r="M27" s="37"/>
      <c r="N27" s="37"/>
      <c r="O27" s="20" t="str">
        <f aca="false">IF($B27="","",IF($N27&lt;&gt;"","受入済",IF($M27&lt;&gt;"","入荷済（受入待ち）",IF($J27&lt;&gt;"","発注済","未発注"))))</f>
        <v/>
      </c>
      <c r="P27" s="21" t="str">
        <f aca="true">IF($L27="","",IF($M27&lt;&gt;"",$M27-$L27,IF(TODAY()&gt;$L27,TODAY()-$L27,0)))</f>
        <v/>
      </c>
      <c r="Q27" s="8"/>
    </row>
    <row r="28" customFormat="false" ht="18" hidden="false" customHeight="true" outlineLevel="0" collapsed="false">
      <c r="A28" s="33"/>
      <c r="B28" s="33"/>
      <c r="C28" s="10" t="str">
        <f aca="false">IF($B28="","",IFERROR(INDEX(案件管理!$B$3:$B$202,MATCH($B28,案件管理!$A$3:$A$202,0)),"←IDが未登録です"))</f>
        <v/>
      </c>
      <c r="D28" s="8"/>
      <c r="E28" s="8"/>
      <c r="F28" s="59"/>
      <c r="G28" s="38"/>
      <c r="H28" s="23" t="str">
        <f aca="false">IF(N($F28)*N($G28)=0,"",$F28*$G28)</f>
        <v/>
      </c>
      <c r="I28" s="34"/>
      <c r="J28" s="37"/>
      <c r="K28" s="37"/>
      <c r="L28" s="37"/>
      <c r="M28" s="37"/>
      <c r="N28" s="37"/>
      <c r="O28" s="20" t="str">
        <f aca="false">IF($B28="","",IF($N28&lt;&gt;"","受入済",IF($M28&lt;&gt;"","入荷済（受入待ち）",IF($J28&lt;&gt;"","発注済","未発注"))))</f>
        <v/>
      </c>
      <c r="P28" s="21" t="str">
        <f aca="true">IF($L28="","",IF($M28&lt;&gt;"",$M28-$L28,IF(TODAY()&gt;$L28,TODAY()-$L28,0)))</f>
        <v/>
      </c>
      <c r="Q28" s="8"/>
    </row>
    <row r="29" customFormat="false" ht="18" hidden="false" customHeight="true" outlineLevel="0" collapsed="false">
      <c r="A29" s="33"/>
      <c r="B29" s="33"/>
      <c r="C29" s="10" t="str">
        <f aca="false">IF($B29="","",IFERROR(INDEX(案件管理!$B$3:$B$202,MATCH($B29,案件管理!$A$3:$A$202,0)),"←IDが未登録です"))</f>
        <v/>
      </c>
      <c r="D29" s="8"/>
      <c r="E29" s="8"/>
      <c r="F29" s="59"/>
      <c r="G29" s="38"/>
      <c r="H29" s="23" t="str">
        <f aca="false">IF(N($F29)*N($G29)=0,"",$F29*$G29)</f>
        <v/>
      </c>
      <c r="I29" s="34"/>
      <c r="J29" s="37"/>
      <c r="K29" s="37"/>
      <c r="L29" s="37"/>
      <c r="M29" s="37"/>
      <c r="N29" s="37"/>
      <c r="O29" s="20" t="str">
        <f aca="false">IF($B29="","",IF($N29&lt;&gt;"","受入済",IF($M29&lt;&gt;"","入荷済（受入待ち）",IF($J29&lt;&gt;"","発注済","未発注"))))</f>
        <v/>
      </c>
      <c r="P29" s="21" t="str">
        <f aca="true">IF($L29="","",IF($M29&lt;&gt;"",$M29-$L29,IF(TODAY()&gt;$L29,TODAY()-$L29,0)))</f>
        <v/>
      </c>
      <c r="Q29" s="8"/>
    </row>
    <row r="30" customFormat="false" ht="18" hidden="false" customHeight="true" outlineLevel="0" collapsed="false">
      <c r="A30" s="33"/>
      <c r="B30" s="33"/>
      <c r="C30" s="10" t="str">
        <f aca="false">IF($B30="","",IFERROR(INDEX(案件管理!$B$3:$B$202,MATCH($B30,案件管理!$A$3:$A$202,0)),"←IDが未登録です"))</f>
        <v/>
      </c>
      <c r="D30" s="8"/>
      <c r="E30" s="8"/>
      <c r="F30" s="59"/>
      <c r="G30" s="38"/>
      <c r="H30" s="23" t="str">
        <f aca="false">IF(N($F30)*N($G30)=0,"",$F30*$G30)</f>
        <v/>
      </c>
      <c r="I30" s="34"/>
      <c r="J30" s="37"/>
      <c r="K30" s="37"/>
      <c r="L30" s="37"/>
      <c r="M30" s="37"/>
      <c r="N30" s="37"/>
      <c r="O30" s="20" t="str">
        <f aca="false">IF($B30="","",IF($N30&lt;&gt;"","受入済",IF($M30&lt;&gt;"","入荷済（受入待ち）",IF($J30&lt;&gt;"","発注済","未発注"))))</f>
        <v/>
      </c>
      <c r="P30" s="21" t="str">
        <f aca="true">IF($L30="","",IF($M30&lt;&gt;"",$M30-$L30,IF(TODAY()&gt;$L30,TODAY()-$L30,0)))</f>
        <v/>
      </c>
      <c r="Q30" s="8"/>
    </row>
    <row r="31" customFormat="false" ht="18" hidden="false" customHeight="true" outlineLevel="0" collapsed="false">
      <c r="A31" s="33"/>
      <c r="B31" s="33"/>
      <c r="C31" s="10" t="str">
        <f aca="false">IF($B31="","",IFERROR(INDEX(案件管理!$B$3:$B$202,MATCH($B31,案件管理!$A$3:$A$202,0)),"←IDが未登録です"))</f>
        <v/>
      </c>
      <c r="D31" s="8"/>
      <c r="E31" s="8"/>
      <c r="F31" s="59"/>
      <c r="G31" s="38"/>
      <c r="H31" s="23" t="str">
        <f aca="false">IF(N($F31)*N($G31)=0,"",$F31*$G31)</f>
        <v/>
      </c>
      <c r="I31" s="34"/>
      <c r="J31" s="37"/>
      <c r="K31" s="37"/>
      <c r="L31" s="37"/>
      <c r="M31" s="37"/>
      <c r="N31" s="37"/>
      <c r="O31" s="20" t="str">
        <f aca="false">IF($B31="","",IF($N31&lt;&gt;"","受入済",IF($M31&lt;&gt;"","入荷済（受入待ち）",IF($J31&lt;&gt;"","発注済","未発注"))))</f>
        <v/>
      </c>
      <c r="P31" s="21" t="str">
        <f aca="true">IF($L31="","",IF($M31&lt;&gt;"",$M31-$L31,IF(TODAY()&gt;$L31,TODAY()-$L31,0)))</f>
        <v/>
      </c>
      <c r="Q31" s="8"/>
    </row>
    <row r="32" customFormat="false" ht="18" hidden="false" customHeight="true" outlineLevel="0" collapsed="false">
      <c r="A32" s="33"/>
      <c r="B32" s="33"/>
      <c r="C32" s="10" t="str">
        <f aca="false">IF($B32="","",IFERROR(INDEX(案件管理!$B$3:$B$202,MATCH($B32,案件管理!$A$3:$A$202,0)),"←IDが未登録です"))</f>
        <v/>
      </c>
      <c r="D32" s="8"/>
      <c r="E32" s="8"/>
      <c r="F32" s="59"/>
      <c r="G32" s="38"/>
      <c r="H32" s="23" t="str">
        <f aca="false">IF(N($F32)*N($G32)=0,"",$F32*$G32)</f>
        <v/>
      </c>
      <c r="I32" s="34"/>
      <c r="J32" s="37"/>
      <c r="K32" s="37"/>
      <c r="L32" s="37"/>
      <c r="M32" s="37"/>
      <c r="N32" s="37"/>
      <c r="O32" s="20" t="str">
        <f aca="false">IF($B32="","",IF($N32&lt;&gt;"","受入済",IF($M32&lt;&gt;"","入荷済（受入待ち）",IF($J32&lt;&gt;"","発注済","未発注"))))</f>
        <v/>
      </c>
      <c r="P32" s="21" t="str">
        <f aca="true">IF($L32="","",IF($M32&lt;&gt;"",$M32-$L32,IF(TODAY()&gt;$L32,TODAY()-$L32,0)))</f>
        <v/>
      </c>
      <c r="Q32" s="8"/>
    </row>
    <row r="33" customFormat="false" ht="18" hidden="false" customHeight="true" outlineLevel="0" collapsed="false">
      <c r="A33" s="33"/>
      <c r="B33" s="33"/>
      <c r="C33" s="10" t="str">
        <f aca="false">IF($B33="","",IFERROR(INDEX(案件管理!$B$3:$B$202,MATCH($B33,案件管理!$A$3:$A$202,0)),"←IDが未登録です"))</f>
        <v/>
      </c>
      <c r="D33" s="8"/>
      <c r="E33" s="8"/>
      <c r="F33" s="59"/>
      <c r="G33" s="38"/>
      <c r="H33" s="23" t="str">
        <f aca="false">IF(N($F33)*N($G33)=0,"",$F33*$G33)</f>
        <v/>
      </c>
      <c r="I33" s="34"/>
      <c r="J33" s="37"/>
      <c r="K33" s="37"/>
      <c r="L33" s="37"/>
      <c r="M33" s="37"/>
      <c r="N33" s="37"/>
      <c r="O33" s="20" t="str">
        <f aca="false">IF($B33="","",IF($N33&lt;&gt;"","受入済",IF($M33&lt;&gt;"","入荷済（受入待ち）",IF($J33&lt;&gt;"","発注済","未発注"))))</f>
        <v/>
      </c>
      <c r="P33" s="21" t="str">
        <f aca="true">IF($L33="","",IF($M33&lt;&gt;"",$M33-$L33,IF(TODAY()&gt;$L33,TODAY()-$L33,0)))</f>
        <v/>
      </c>
      <c r="Q33" s="8"/>
    </row>
    <row r="34" customFormat="false" ht="18" hidden="false" customHeight="true" outlineLevel="0" collapsed="false">
      <c r="A34" s="33"/>
      <c r="B34" s="33"/>
      <c r="C34" s="10" t="str">
        <f aca="false">IF($B34="","",IFERROR(INDEX(案件管理!$B$3:$B$202,MATCH($B34,案件管理!$A$3:$A$202,0)),"←IDが未登録です"))</f>
        <v/>
      </c>
      <c r="D34" s="8"/>
      <c r="E34" s="8"/>
      <c r="F34" s="59"/>
      <c r="G34" s="38"/>
      <c r="H34" s="23" t="str">
        <f aca="false">IF(N($F34)*N($G34)=0,"",$F34*$G34)</f>
        <v/>
      </c>
      <c r="I34" s="34"/>
      <c r="J34" s="37"/>
      <c r="K34" s="37"/>
      <c r="L34" s="37"/>
      <c r="M34" s="37"/>
      <c r="N34" s="37"/>
      <c r="O34" s="20" t="str">
        <f aca="false">IF($B34="","",IF($N34&lt;&gt;"","受入済",IF($M34&lt;&gt;"","入荷済（受入待ち）",IF($J34&lt;&gt;"","発注済","未発注"))))</f>
        <v/>
      </c>
      <c r="P34" s="21" t="str">
        <f aca="true">IF($L34="","",IF($M34&lt;&gt;"",$M34-$L34,IF(TODAY()&gt;$L34,TODAY()-$L34,0)))</f>
        <v/>
      </c>
      <c r="Q34" s="8"/>
    </row>
    <row r="35" customFormat="false" ht="18" hidden="false" customHeight="true" outlineLevel="0" collapsed="false">
      <c r="A35" s="33"/>
      <c r="B35" s="33"/>
      <c r="C35" s="10" t="str">
        <f aca="false">IF($B35="","",IFERROR(INDEX(案件管理!$B$3:$B$202,MATCH($B35,案件管理!$A$3:$A$202,0)),"←IDが未登録です"))</f>
        <v/>
      </c>
      <c r="D35" s="8"/>
      <c r="E35" s="8"/>
      <c r="F35" s="59"/>
      <c r="G35" s="38"/>
      <c r="H35" s="23" t="str">
        <f aca="false">IF(N($F35)*N($G35)=0,"",$F35*$G35)</f>
        <v/>
      </c>
      <c r="I35" s="34"/>
      <c r="J35" s="37"/>
      <c r="K35" s="37"/>
      <c r="L35" s="37"/>
      <c r="M35" s="37"/>
      <c r="N35" s="37"/>
      <c r="O35" s="20" t="str">
        <f aca="false">IF($B35="","",IF($N35&lt;&gt;"","受入済",IF($M35&lt;&gt;"","入荷済（受入待ち）",IF($J35&lt;&gt;"","発注済","未発注"))))</f>
        <v/>
      </c>
      <c r="P35" s="21" t="str">
        <f aca="true">IF($L35="","",IF($M35&lt;&gt;"",$M35-$L35,IF(TODAY()&gt;$L35,TODAY()-$L35,0)))</f>
        <v/>
      </c>
      <c r="Q35" s="8"/>
    </row>
    <row r="36" customFormat="false" ht="18" hidden="false" customHeight="true" outlineLevel="0" collapsed="false">
      <c r="A36" s="33"/>
      <c r="B36" s="33"/>
      <c r="C36" s="10" t="str">
        <f aca="false">IF($B36="","",IFERROR(INDEX(案件管理!$B$3:$B$202,MATCH($B36,案件管理!$A$3:$A$202,0)),"←IDが未登録です"))</f>
        <v/>
      </c>
      <c r="D36" s="8"/>
      <c r="E36" s="8"/>
      <c r="F36" s="59"/>
      <c r="G36" s="38"/>
      <c r="H36" s="23" t="str">
        <f aca="false">IF(N($F36)*N($G36)=0,"",$F36*$G36)</f>
        <v/>
      </c>
      <c r="I36" s="34"/>
      <c r="J36" s="37"/>
      <c r="K36" s="37"/>
      <c r="L36" s="37"/>
      <c r="M36" s="37"/>
      <c r="N36" s="37"/>
      <c r="O36" s="20" t="str">
        <f aca="false">IF($B36="","",IF($N36&lt;&gt;"","受入済",IF($M36&lt;&gt;"","入荷済（受入待ち）",IF($J36&lt;&gt;"","発注済","未発注"))))</f>
        <v/>
      </c>
      <c r="P36" s="21" t="str">
        <f aca="true">IF($L36="","",IF($M36&lt;&gt;"",$M36-$L36,IF(TODAY()&gt;$L36,TODAY()-$L36,0)))</f>
        <v/>
      </c>
      <c r="Q36" s="8"/>
    </row>
    <row r="37" customFormat="false" ht="18" hidden="false" customHeight="true" outlineLevel="0" collapsed="false">
      <c r="A37" s="33"/>
      <c r="B37" s="33"/>
      <c r="C37" s="10" t="str">
        <f aca="false">IF($B37="","",IFERROR(INDEX(案件管理!$B$3:$B$202,MATCH($B37,案件管理!$A$3:$A$202,0)),"←IDが未登録です"))</f>
        <v/>
      </c>
      <c r="D37" s="8"/>
      <c r="E37" s="8"/>
      <c r="F37" s="59"/>
      <c r="G37" s="38"/>
      <c r="H37" s="23" t="str">
        <f aca="false">IF(N($F37)*N($G37)=0,"",$F37*$G37)</f>
        <v/>
      </c>
      <c r="I37" s="34"/>
      <c r="J37" s="37"/>
      <c r="K37" s="37"/>
      <c r="L37" s="37"/>
      <c r="M37" s="37"/>
      <c r="N37" s="37"/>
      <c r="O37" s="20" t="str">
        <f aca="false">IF($B37="","",IF($N37&lt;&gt;"","受入済",IF($M37&lt;&gt;"","入荷済（受入待ち）",IF($J37&lt;&gt;"","発注済","未発注"))))</f>
        <v/>
      </c>
      <c r="P37" s="21" t="str">
        <f aca="true">IF($L37="","",IF($M37&lt;&gt;"",$M37-$L37,IF(TODAY()&gt;$L37,TODAY()-$L37,0)))</f>
        <v/>
      </c>
      <c r="Q37" s="8"/>
    </row>
    <row r="38" customFormat="false" ht="18" hidden="false" customHeight="true" outlineLevel="0" collapsed="false">
      <c r="A38" s="33"/>
      <c r="B38" s="33"/>
      <c r="C38" s="10" t="str">
        <f aca="false">IF($B38="","",IFERROR(INDEX(案件管理!$B$3:$B$202,MATCH($B38,案件管理!$A$3:$A$202,0)),"←IDが未登録です"))</f>
        <v/>
      </c>
      <c r="D38" s="8"/>
      <c r="E38" s="8"/>
      <c r="F38" s="59"/>
      <c r="G38" s="38"/>
      <c r="H38" s="23" t="str">
        <f aca="false">IF(N($F38)*N($G38)=0,"",$F38*$G38)</f>
        <v/>
      </c>
      <c r="I38" s="34"/>
      <c r="J38" s="37"/>
      <c r="K38" s="37"/>
      <c r="L38" s="37"/>
      <c r="M38" s="37"/>
      <c r="N38" s="37"/>
      <c r="O38" s="20" t="str">
        <f aca="false">IF($B38="","",IF($N38&lt;&gt;"","受入済",IF($M38&lt;&gt;"","入荷済（受入待ち）",IF($J38&lt;&gt;"","発注済","未発注"))))</f>
        <v/>
      </c>
      <c r="P38" s="21" t="str">
        <f aca="true">IF($L38="","",IF($M38&lt;&gt;"",$M38-$L38,IF(TODAY()&gt;$L38,TODAY()-$L38,0)))</f>
        <v/>
      </c>
      <c r="Q38" s="8"/>
    </row>
    <row r="39" customFormat="false" ht="18" hidden="false" customHeight="true" outlineLevel="0" collapsed="false">
      <c r="A39" s="33"/>
      <c r="B39" s="33"/>
      <c r="C39" s="10" t="str">
        <f aca="false">IF($B39="","",IFERROR(INDEX(案件管理!$B$3:$B$202,MATCH($B39,案件管理!$A$3:$A$202,0)),"←IDが未登録です"))</f>
        <v/>
      </c>
      <c r="D39" s="8"/>
      <c r="E39" s="8"/>
      <c r="F39" s="59"/>
      <c r="G39" s="38"/>
      <c r="H39" s="23" t="str">
        <f aca="false">IF(N($F39)*N($G39)=0,"",$F39*$G39)</f>
        <v/>
      </c>
      <c r="I39" s="34"/>
      <c r="J39" s="37"/>
      <c r="K39" s="37"/>
      <c r="L39" s="37"/>
      <c r="M39" s="37"/>
      <c r="N39" s="37"/>
      <c r="O39" s="20" t="str">
        <f aca="false">IF($B39="","",IF($N39&lt;&gt;"","受入済",IF($M39&lt;&gt;"","入荷済（受入待ち）",IF($J39&lt;&gt;"","発注済","未発注"))))</f>
        <v/>
      </c>
      <c r="P39" s="21" t="str">
        <f aca="true">IF($L39="","",IF($M39&lt;&gt;"",$M39-$L39,IF(TODAY()&gt;$L39,TODAY()-$L39,0)))</f>
        <v/>
      </c>
      <c r="Q39" s="8"/>
    </row>
    <row r="40" customFormat="false" ht="18" hidden="false" customHeight="true" outlineLevel="0" collapsed="false">
      <c r="A40" s="33"/>
      <c r="B40" s="33"/>
      <c r="C40" s="10" t="str">
        <f aca="false">IF($B40="","",IFERROR(INDEX(案件管理!$B$3:$B$202,MATCH($B40,案件管理!$A$3:$A$202,0)),"←IDが未登録です"))</f>
        <v/>
      </c>
      <c r="D40" s="8"/>
      <c r="E40" s="8"/>
      <c r="F40" s="59"/>
      <c r="G40" s="38"/>
      <c r="H40" s="23" t="str">
        <f aca="false">IF(N($F40)*N($G40)=0,"",$F40*$G40)</f>
        <v/>
      </c>
      <c r="I40" s="34"/>
      <c r="J40" s="37"/>
      <c r="K40" s="37"/>
      <c r="L40" s="37"/>
      <c r="M40" s="37"/>
      <c r="N40" s="37"/>
      <c r="O40" s="20" t="str">
        <f aca="false">IF($B40="","",IF($N40&lt;&gt;"","受入済",IF($M40&lt;&gt;"","入荷済（受入待ち）",IF($J40&lt;&gt;"","発注済","未発注"))))</f>
        <v/>
      </c>
      <c r="P40" s="21" t="str">
        <f aca="true">IF($L40="","",IF($M40&lt;&gt;"",$M40-$L40,IF(TODAY()&gt;$L40,TODAY()-$L40,0)))</f>
        <v/>
      </c>
      <c r="Q40" s="8"/>
    </row>
    <row r="41" customFormat="false" ht="18" hidden="false" customHeight="true" outlineLevel="0" collapsed="false">
      <c r="A41" s="33"/>
      <c r="B41" s="33"/>
      <c r="C41" s="10" t="str">
        <f aca="false">IF($B41="","",IFERROR(INDEX(案件管理!$B$3:$B$202,MATCH($B41,案件管理!$A$3:$A$202,0)),"←IDが未登録です"))</f>
        <v/>
      </c>
      <c r="D41" s="8"/>
      <c r="E41" s="8"/>
      <c r="F41" s="59"/>
      <c r="G41" s="38"/>
      <c r="H41" s="23" t="str">
        <f aca="false">IF(N($F41)*N($G41)=0,"",$F41*$G41)</f>
        <v/>
      </c>
      <c r="I41" s="34"/>
      <c r="J41" s="37"/>
      <c r="K41" s="37"/>
      <c r="L41" s="37"/>
      <c r="M41" s="37"/>
      <c r="N41" s="37"/>
      <c r="O41" s="20" t="str">
        <f aca="false">IF($B41="","",IF($N41&lt;&gt;"","受入済",IF($M41&lt;&gt;"","入荷済（受入待ち）",IF($J41&lt;&gt;"","発注済","未発注"))))</f>
        <v/>
      </c>
      <c r="P41" s="21" t="str">
        <f aca="true">IF($L41="","",IF($M41&lt;&gt;"",$M41-$L41,IF(TODAY()&gt;$L41,TODAY()-$L41,0)))</f>
        <v/>
      </c>
      <c r="Q41" s="8"/>
    </row>
    <row r="42" customFormat="false" ht="18" hidden="false" customHeight="true" outlineLevel="0" collapsed="false">
      <c r="A42" s="33"/>
      <c r="B42" s="33"/>
      <c r="C42" s="10" t="str">
        <f aca="false">IF($B42="","",IFERROR(INDEX(案件管理!$B$3:$B$202,MATCH($B42,案件管理!$A$3:$A$202,0)),"←IDが未登録です"))</f>
        <v/>
      </c>
      <c r="D42" s="8"/>
      <c r="E42" s="8"/>
      <c r="F42" s="59"/>
      <c r="G42" s="38"/>
      <c r="H42" s="23" t="str">
        <f aca="false">IF(N($F42)*N($G42)=0,"",$F42*$G42)</f>
        <v/>
      </c>
      <c r="I42" s="34"/>
      <c r="J42" s="37"/>
      <c r="K42" s="37"/>
      <c r="L42" s="37"/>
      <c r="M42" s="37"/>
      <c r="N42" s="37"/>
      <c r="O42" s="20" t="str">
        <f aca="false">IF($B42="","",IF($N42&lt;&gt;"","受入済",IF($M42&lt;&gt;"","入荷済（受入待ち）",IF($J42&lt;&gt;"","発注済","未発注"))))</f>
        <v/>
      </c>
      <c r="P42" s="21" t="str">
        <f aca="true">IF($L42="","",IF($M42&lt;&gt;"",$M42-$L42,IF(TODAY()&gt;$L42,TODAY()-$L42,0)))</f>
        <v/>
      </c>
      <c r="Q42" s="8"/>
    </row>
    <row r="43" customFormat="false" ht="18" hidden="false" customHeight="true" outlineLevel="0" collapsed="false">
      <c r="A43" s="33"/>
      <c r="B43" s="33"/>
      <c r="C43" s="10" t="str">
        <f aca="false">IF($B43="","",IFERROR(INDEX(案件管理!$B$3:$B$202,MATCH($B43,案件管理!$A$3:$A$202,0)),"←IDが未登録です"))</f>
        <v/>
      </c>
      <c r="D43" s="8"/>
      <c r="E43" s="8"/>
      <c r="F43" s="59"/>
      <c r="G43" s="38"/>
      <c r="H43" s="23" t="str">
        <f aca="false">IF(N($F43)*N($G43)=0,"",$F43*$G43)</f>
        <v/>
      </c>
      <c r="I43" s="34"/>
      <c r="J43" s="37"/>
      <c r="K43" s="37"/>
      <c r="L43" s="37"/>
      <c r="M43" s="37"/>
      <c r="N43" s="37"/>
      <c r="O43" s="20" t="str">
        <f aca="false">IF($B43="","",IF($N43&lt;&gt;"","受入済",IF($M43&lt;&gt;"","入荷済（受入待ち）",IF($J43&lt;&gt;"","発注済","未発注"))))</f>
        <v/>
      </c>
      <c r="P43" s="21" t="str">
        <f aca="true">IF($L43="","",IF($M43&lt;&gt;"",$M43-$L43,IF(TODAY()&gt;$L43,TODAY()-$L43,0)))</f>
        <v/>
      </c>
      <c r="Q43" s="8"/>
    </row>
    <row r="44" customFormat="false" ht="18" hidden="false" customHeight="true" outlineLevel="0" collapsed="false">
      <c r="A44" s="33"/>
      <c r="B44" s="33"/>
      <c r="C44" s="10" t="str">
        <f aca="false">IF($B44="","",IFERROR(INDEX(案件管理!$B$3:$B$202,MATCH($B44,案件管理!$A$3:$A$202,0)),"←IDが未登録です"))</f>
        <v/>
      </c>
      <c r="D44" s="8"/>
      <c r="E44" s="8"/>
      <c r="F44" s="59"/>
      <c r="G44" s="38"/>
      <c r="H44" s="23" t="str">
        <f aca="false">IF(N($F44)*N($G44)=0,"",$F44*$G44)</f>
        <v/>
      </c>
      <c r="I44" s="34"/>
      <c r="J44" s="37"/>
      <c r="K44" s="37"/>
      <c r="L44" s="37"/>
      <c r="M44" s="37"/>
      <c r="N44" s="37"/>
      <c r="O44" s="20" t="str">
        <f aca="false">IF($B44="","",IF($N44&lt;&gt;"","受入済",IF($M44&lt;&gt;"","入荷済（受入待ち）",IF($J44&lt;&gt;"","発注済","未発注"))))</f>
        <v/>
      </c>
      <c r="P44" s="21" t="str">
        <f aca="true">IF($L44="","",IF($M44&lt;&gt;"",$M44-$L44,IF(TODAY()&gt;$L44,TODAY()-$L44,0)))</f>
        <v/>
      </c>
      <c r="Q44" s="8"/>
    </row>
    <row r="45" customFormat="false" ht="18" hidden="false" customHeight="true" outlineLevel="0" collapsed="false">
      <c r="A45" s="33"/>
      <c r="B45" s="33"/>
      <c r="C45" s="10" t="str">
        <f aca="false">IF($B45="","",IFERROR(INDEX(案件管理!$B$3:$B$202,MATCH($B45,案件管理!$A$3:$A$202,0)),"←IDが未登録です"))</f>
        <v/>
      </c>
      <c r="D45" s="8"/>
      <c r="E45" s="8"/>
      <c r="F45" s="59"/>
      <c r="G45" s="38"/>
      <c r="H45" s="23" t="str">
        <f aca="false">IF(N($F45)*N($G45)=0,"",$F45*$G45)</f>
        <v/>
      </c>
      <c r="I45" s="34"/>
      <c r="J45" s="37"/>
      <c r="K45" s="37"/>
      <c r="L45" s="37"/>
      <c r="M45" s="37"/>
      <c r="N45" s="37"/>
      <c r="O45" s="20" t="str">
        <f aca="false">IF($B45="","",IF($N45&lt;&gt;"","受入済",IF($M45&lt;&gt;"","入荷済（受入待ち）",IF($J45&lt;&gt;"","発注済","未発注"))))</f>
        <v/>
      </c>
      <c r="P45" s="21" t="str">
        <f aca="true">IF($L45="","",IF($M45&lt;&gt;"",$M45-$L45,IF(TODAY()&gt;$L45,TODAY()-$L45,0)))</f>
        <v/>
      </c>
      <c r="Q45" s="8"/>
    </row>
    <row r="46" customFormat="false" ht="18" hidden="false" customHeight="true" outlineLevel="0" collapsed="false">
      <c r="A46" s="33"/>
      <c r="B46" s="33"/>
      <c r="C46" s="10" t="str">
        <f aca="false">IF($B46="","",IFERROR(INDEX(案件管理!$B$3:$B$202,MATCH($B46,案件管理!$A$3:$A$202,0)),"←IDが未登録です"))</f>
        <v/>
      </c>
      <c r="D46" s="8"/>
      <c r="E46" s="8"/>
      <c r="F46" s="59"/>
      <c r="G46" s="38"/>
      <c r="H46" s="23" t="str">
        <f aca="false">IF(N($F46)*N($G46)=0,"",$F46*$G46)</f>
        <v/>
      </c>
      <c r="I46" s="34"/>
      <c r="J46" s="37"/>
      <c r="K46" s="37"/>
      <c r="L46" s="37"/>
      <c r="M46" s="37"/>
      <c r="N46" s="37"/>
      <c r="O46" s="20" t="str">
        <f aca="false">IF($B46="","",IF($N46&lt;&gt;"","受入済",IF($M46&lt;&gt;"","入荷済（受入待ち）",IF($J46&lt;&gt;"","発注済","未発注"))))</f>
        <v/>
      </c>
      <c r="P46" s="21" t="str">
        <f aca="true">IF($L46="","",IF($M46&lt;&gt;"",$M46-$L46,IF(TODAY()&gt;$L46,TODAY()-$L46,0)))</f>
        <v/>
      </c>
      <c r="Q46" s="8"/>
    </row>
    <row r="47" customFormat="false" ht="18" hidden="false" customHeight="true" outlineLevel="0" collapsed="false">
      <c r="A47" s="33"/>
      <c r="B47" s="33"/>
      <c r="C47" s="10" t="str">
        <f aca="false">IF($B47="","",IFERROR(INDEX(案件管理!$B$3:$B$202,MATCH($B47,案件管理!$A$3:$A$202,0)),"←IDが未登録です"))</f>
        <v/>
      </c>
      <c r="D47" s="8"/>
      <c r="E47" s="8"/>
      <c r="F47" s="59"/>
      <c r="G47" s="38"/>
      <c r="H47" s="23" t="str">
        <f aca="false">IF(N($F47)*N($G47)=0,"",$F47*$G47)</f>
        <v/>
      </c>
      <c r="I47" s="34"/>
      <c r="J47" s="37"/>
      <c r="K47" s="37"/>
      <c r="L47" s="37"/>
      <c r="M47" s="37"/>
      <c r="N47" s="37"/>
      <c r="O47" s="20" t="str">
        <f aca="false">IF($B47="","",IF($N47&lt;&gt;"","受入済",IF($M47&lt;&gt;"","入荷済（受入待ち）",IF($J47&lt;&gt;"","発注済","未発注"))))</f>
        <v/>
      </c>
      <c r="P47" s="21" t="str">
        <f aca="true">IF($L47="","",IF($M47&lt;&gt;"",$M47-$L47,IF(TODAY()&gt;$L47,TODAY()-$L47,0)))</f>
        <v/>
      </c>
      <c r="Q47" s="8"/>
    </row>
    <row r="48" customFormat="false" ht="18" hidden="false" customHeight="true" outlineLevel="0" collapsed="false">
      <c r="A48" s="33"/>
      <c r="B48" s="33"/>
      <c r="C48" s="10" t="str">
        <f aca="false">IF($B48="","",IFERROR(INDEX(案件管理!$B$3:$B$202,MATCH($B48,案件管理!$A$3:$A$202,0)),"←IDが未登録です"))</f>
        <v/>
      </c>
      <c r="D48" s="8"/>
      <c r="E48" s="8"/>
      <c r="F48" s="59"/>
      <c r="G48" s="38"/>
      <c r="H48" s="23" t="str">
        <f aca="false">IF(N($F48)*N($G48)=0,"",$F48*$G48)</f>
        <v/>
      </c>
      <c r="I48" s="34"/>
      <c r="J48" s="37"/>
      <c r="K48" s="37"/>
      <c r="L48" s="37"/>
      <c r="M48" s="37"/>
      <c r="N48" s="37"/>
      <c r="O48" s="20" t="str">
        <f aca="false">IF($B48="","",IF($N48&lt;&gt;"","受入済",IF($M48&lt;&gt;"","入荷済（受入待ち）",IF($J48&lt;&gt;"","発注済","未発注"))))</f>
        <v/>
      </c>
      <c r="P48" s="21" t="str">
        <f aca="true">IF($L48="","",IF($M48&lt;&gt;"",$M48-$L48,IF(TODAY()&gt;$L48,TODAY()-$L48,0)))</f>
        <v/>
      </c>
      <c r="Q48" s="8"/>
    </row>
    <row r="49" customFormat="false" ht="18" hidden="false" customHeight="true" outlineLevel="0" collapsed="false">
      <c r="A49" s="33"/>
      <c r="B49" s="33"/>
      <c r="C49" s="10" t="str">
        <f aca="false">IF($B49="","",IFERROR(INDEX(案件管理!$B$3:$B$202,MATCH($B49,案件管理!$A$3:$A$202,0)),"←IDが未登録です"))</f>
        <v/>
      </c>
      <c r="D49" s="8"/>
      <c r="E49" s="8"/>
      <c r="F49" s="59"/>
      <c r="G49" s="38"/>
      <c r="H49" s="23" t="str">
        <f aca="false">IF(N($F49)*N($G49)=0,"",$F49*$G49)</f>
        <v/>
      </c>
      <c r="I49" s="34"/>
      <c r="J49" s="37"/>
      <c r="K49" s="37"/>
      <c r="L49" s="37"/>
      <c r="M49" s="37"/>
      <c r="N49" s="37"/>
      <c r="O49" s="20" t="str">
        <f aca="false">IF($B49="","",IF($N49&lt;&gt;"","受入済",IF($M49&lt;&gt;"","入荷済（受入待ち）",IF($J49&lt;&gt;"","発注済","未発注"))))</f>
        <v/>
      </c>
      <c r="P49" s="21" t="str">
        <f aca="true">IF($L49="","",IF($M49&lt;&gt;"",$M49-$L49,IF(TODAY()&gt;$L49,TODAY()-$L49,0)))</f>
        <v/>
      </c>
      <c r="Q49" s="8"/>
    </row>
    <row r="50" customFormat="false" ht="18" hidden="false" customHeight="true" outlineLevel="0" collapsed="false">
      <c r="A50" s="33"/>
      <c r="B50" s="33"/>
      <c r="C50" s="10" t="str">
        <f aca="false">IF($B50="","",IFERROR(INDEX(案件管理!$B$3:$B$202,MATCH($B50,案件管理!$A$3:$A$202,0)),"←IDが未登録です"))</f>
        <v/>
      </c>
      <c r="D50" s="8"/>
      <c r="E50" s="8"/>
      <c r="F50" s="59"/>
      <c r="G50" s="38"/>
      <c r="H50" s="23" t="str">
        <f aca="false">IF(N($F50)*N($G50)=0,"",$F50*$G50)</f>
        <v/>
      </c>
      <c r="I50" s="34"/>
      <c r="J50" s="37"/>
      <c r="K50" s="37"/>
      <c r="L50" s="37"/>
      <c r="M50" s="37"/>
      <c r="N50" s="37"/>
      <c r="O50" s="20" t="str">
        <f aca="false">IF($B50="","",IF($N50&lt;&gt;"","受入済",IF($M50&lt;&gt;"","入荷済（受入待ち）",IF($J50&lt;&gt;"","発注済","未発注"))))</f>
        <v/>
      </c>
      <c r="P50" s="21" t="str">
        <f aca="true">IF($L50="","",IF($M50&lt;&gt;"",$M50-$L50,IF(TODAY()&gt;$L50,TODAY()-$L50,0)))</f>
        <v/>
      </c>
      <c r="Q50" s="8"/>
    </row>
    <row r="51" customFormat="false" ht="18" hidden="false" customHeight="true" outlineLevel="0" collapsed="false">
      <c r="A51" s="33"/>
      <c r="B51" s="33"/>
      <c r="C51" s="10" t="str">
        <f aca="false">IF($B51="","",IFERROR(INDEX(案件管理!$B$3:$B$202,MATCH($B51,案件管理!$A$3:$A$202,0)),"←IDが未登録です"))</f>
        <v/>
      </c>
      <c r="D51" s="8"/>
      <c r="E51" s="8"/>
      <c r="F51" s="59"/>
      <c r="G51" s="38"/>
      <c r="H51" s="23" t="str">
        <f aca="false">IF(N($F51)*N($G51)=0,"",$F51*$G51)</f>
        <v/>
      </c>
      <c r="I51" s="34"/>
      <c r="J51" s="37"/>
      <c r="K51" s="37"/>
      <c r="L51" s="37"/>
      <c r="M51" s="37"/>
      <c r="N51" s="37"/>
      <c r="O51" s="20" t="str">
        <f aca="false">IF($B51="","",IF($N51&lt;&gt;"","受入済",IF($M51&lt;&gt;"","入荷済（受入待ち）",IF($J51&lt;&gt;"","発注済","未発注"))))</f>
        <v/>
      </c>
      <c r="P51" s="21" t="str">
        <f aca="true">IF($L51="","",IF($M51&lt;&gt;"",$M51-$L51,IF(TODAY()&gt;$L51,TODAY()-$L51,0)))</f>
        <v/>
      </c>
      <c r="Q51" s="8"/>
    </row>
    <row r="52" customFormat="false" ht="18" hidden="false" customHeight="true" outlineLevel="0" collapsed="false">
      <c r="A52" s="33"/>
      <c r="B52" s="33"/>
      <c r="C52" s="10" t="str">
        <f aca="false">IF($B52="","",IFERROR(INDEX(案件管理!$B$3:$B$202,MATCH($B52,案件管理!$A$3:$A$202,0)),"←IDが未登録です"))</f>
        <v/>
      </c>
      <c r="D52" s="8"/>
      <c r="E52" s="8"/>
      <c r="F52" s="59"/>
      <c r="G52" s="38"/>
      <c r="H52" s="23" t="str">
        <f aca="false">IF(N($F52)*N($G52)=0,"",$F52*$G52)</f>
        <v/>
      </c>
      <c r="I52" s="34"/>
      <c r="J52" s="37"/>
      <c r="K52" s="37"/>
      <c r="L52" s="37"/>
      <c r="M52" s="37"/>
      <c r="N52" s="37"/>
      <c r="O52" s="20" t="str">
        <f aca="false">IF($B52="","",IF($N52&lt;&gt;"","受入済",IF($M52&lt;&gt;"","入荷済（受入待ち）",IF($J52&lt;&gt;"","発注済","未発注"))))</f>
        <v/>
      </c>
      <c r="P52" s="21" t="str">
        <f aca="true">IF($L52="","",IF($M52&lt;&gt;"",$M52-$L52,IF(TODAY()&gt;$L52,TODAY()-$L52,0)))</f>
        <v/>
      </c>
      <c r="Q52" s="8"/>
    </row>
    <row r="53" customFormat="false" ht="18" hidden="false" customHeight="true" outlineLevel="0" collapsed="false">
      <c r="A53" s="33"/>
      <c r="B53" s="33"/>
      <c r="C53" s="10" t="str">
        <f aca="false">IF($B53="","",IFERROR(INDEX(案件管理!$B$3:$B$202,MATCH($B53,案件管理!$A$3:$A$202,0)),"←IDが未登録です"))</f>
        <v/>
      </c>
      <c r="D53" s="8"/>
      <c r="E53" s="8"/>
      <c r="F53" s="59"/>
      <c r="G53" s="38"/>
      <c r="H53" s="23" t="str">
        <f aca="false">IF(N($F53)*N($G53)=0,"",$F53*$G53)</f>
        <v/>
      </c>
      <c r="I53" s="34"/>
      <c r="J53" s="37"/>
      <c r="K53" s="37"/>
      <c r="L53" s="37"/>
      <c r="M53" s="37"/>
      <c r="N53" s="37"/>
      <c r="O53" s="20" t="str">
        <f aca="false">IF($B53="","",IF($N53&lt;&gt;"","受入済",IF($M53&lt;&gt;"","入荷済（受入待ち）",IF($J53&lt;&gt;"","発注済","未発注"))))</f>
        <v/>
      </c>
      <c r="P53" s="21" t="str">
        <f aca="true">IF($L53="","",IF($M53&lt;&gt;"",$M53-$L53,IF(TODAY()&gt;$L53,TODAY()-$L53,0)))</f>
        <v/>
      </c>
      <c r="Q53" s="8"/>
    </row>
    <row r="54" customFormat="false" ht="18" hidden="false" customHeight="true" outlineLevel="0" collapsed="false">
      <c r="A54" s="33"/>
      <c r="B54" s="33"/>
      <c r="C54" s="10" t="str">
        <f aca="false">IF($B54="","",IFERROR(INDEX(案件管理!$B$3:$B$202,MATCH($B54,案件管理!$A$3:$A$202,0)),"←IDが未登録です"))</f>
        <v/>
      </c>
      <c r="D54" s="8"/>
      <c r="E54" s="8"/>
      <c r="F54" s="59"/>
      <c r="G54" s="38"/>
      <c r="H54" s="23" t="str">
        <f aca="false">IF(N($F54)*N($G54)=0,"",$F54*$G54)</f>
        <v/>
      </c>
      <c r="I54" s="34"/>
      <c r="J54" s="37"/>
      <c r="K54" s="37"/>
      <c r="L54" s="37"/>
      <c r="M54" s="37"/>
      <c r="N54" s="37"/>
      <c r="O54" s="20" t="str">
        <f aca="false">IF($B54="","",IF($N54&lt;&gt;"","受入済",IF($M54&lt;&gt;"","入荷済（受入待ち）",IF($J54&lt;&gt;"","発注済","未発注"))))</f>
        <v/>
      </c>
      <c r="P54" s="21" t="str">
        <f aca="true">IF($L54="","",IF($M54&lt;&gt;"",$M54-$L54,IF(TODAY()&gt;$L54,TODAY()-$L54,0)))</f>
        <v/>
      </c>
      <c r="Q54" s="8"/>
    </row>
    <row r="55" customFormat="false" ht="18" hidden="false" customHeight="true" outlineLevel="0" collapsed="false">
      <c r="A55" s="33"/>
      <c r="B55" s="33"/>
      <c r="C55" s="10" t="str">
        <f aca="false">IF($B55="","",IFERROR(INDEX(案件管理!$B$3:$B$202,MATCH($B55,案件管理!$A$3:$A$202,0)),"←IDが未登録です"))</f>
        <v/>
      </c>
      <c r="D55" s="8"/>
      <c r="E55" s="8"/>
      <c r="F55" s="59"/>
      <c r="G55" s="38"/>
      <c r="H55" s="23" t="str">
        <f aca="false">IF(N($F55)*N($G55)=0,"",$F55*$G55)</f>
        <v/>
      </c>
      <c r="I55" s="34"/>
      <c r="J55" s="37"/>
      <c r="K55" s="37"/>
      <c r="L55" s="37"/>
      <c r="M55" s="37"/>
      <c r="N55" s="37"/>
      <c r="O55" s="20" t="str">
        <f aca="false">IF($B55="","",IF($N55&lt;&gt;"","受入済",IF($M55&lt;&gt;"","入荷済（受入待ち）",IF($J55&lt;&gt;"","発注済","未発注"))))</f>
        <v/>
      </c>
      <c r="P55" s="21" t="str">
        <f aca="true">IF($L55="","",IF($M55&lt;&gt;"",$M55-$L55,IF(TODAY()&gt;$L55,TODAY()-$L55,0)))</f>
        <v/>
      </c>
      <c r="Q55" s="8"/>
    </row>
    <row r="56" customFormat="false" ht="18" hidden="false" customHeight="true" outlineLevel="0" collapsed="false">
      <c r="A56" s="33"/>
      <c r="B56" s="33"/>
      <c r="C56" s="10" t="str">
        <f aca="false">IF($B56="","",IFERROR(INDEX(案件管理!$B$3:$B$202,MATCH($B56,案件管理!$A$3:$A$202,0)),"←IDが未登録です"))</f>
        <v/>
      </c>
      <c r="D56" s="8"/>
      <c r="E56" s="8"/>
      <c r="F56" s="59"/>
      <c r="G56" s="38"/>
      <c r="H56" s="23" t="str">
        <f aca="false">IF(N($F56)*N($G56)=0,"",$F56*$G56)</f>
        <v/>
      </c>
      <c r="I56" s="34"/>
      <c r="J56" s="37"/>
      <c r="K56" s="37"/>
      <c r="L56" s="37"/>
      <c r="M56" s="37"/>
      <c r="N56" s="37"/>
      <c r="O56" s="20" t="str">
        <f aca="false">IF($B56="","",IF($N56&lt;&gt;"","受入済",IF($M56&lt;&gt;"","入荷済（受入待ち）",IF($J56&lt;&gt;"","発注済","未発注"))))</f>
        <v/>
      </c>
      <c r="P56" s="21" t="str">
        <f aca="true">IF($L56="","",IF($M56&lt;&gt;"",$M56-$L56,IF(TODAY()&gt;$L56,TODAY()-$L56,0)))</f>
        <v/>
      </c>
      <c r="Q56" s="8"/>
    </row>
    <row r="57" customFormat="false" ht="18" hidden="false" customHeight="true" outlineLevel="0" collapsed="false">
      <c r="A57" s="33"/>
      <c r="B57" s="33"/>
      <c r="C57" s="10" t="str">
        <f aca="false">IF($B57="","",IFERROR(INDEX(案件管理!$B$3:$B$202,MATCH($B57,案件管理!$A$3:$A$202,0)),"←IDが未登録です"))</f>
        <v/>
      </c>
      <c r="D57" s="8"/>
      <c r="E57" s="8"/>
      <c r="F57" s="59"/>
      <c r="G57" s="38"/>
      <c r="H57" s="23" t="str">
        <f aca="false">IF(N($F57)*N($G57)=0,"",$F57*$G57)</f>
        <v/>
      </c>
      <c r="I57" s="34"/>
      <c r="J57" s="37"/>
      <c r="K57" s="37"/>
      <c r="L57" s="37"/>
      <c r="M57" s="37"/>
      <c r="N57" s="37"/>
      <c r="O57" s="20" t="str">
        <f aca="false">IF($B57="","",IF($N57&lt;&gt;"","受入済",IF($M57&lt;&gt;"","入荷済（受入待ち）",IF($J57&lt;&gt;"","発注済","未発注"))))</f>
        <v/>
      </c>
      <c r="P57" s="21" t="str">
        <f aca="true">IF($L57="","",IF($M57&lt;&gt;"",$M57-$L57,IF(TODAY()&gt;$L57,TODAY()-$L57,0)))</f>
        <v/>
      </c>
      <c r="Q57" s="8"/>
    </row>
    <row r="58" customFormat="false" ht="18" hidden="false" customHeight="true" outlineLevel="0" collapsed="false">
      <c r="A58" s="33"/>
      <c r="B58" s="33"/>
      <c r="C58" s="10" t="str">
        <f aca="false">IF($B58="","",IFERROR(INDEX(案件管理!$B$3:$B$202,MATCH($B58,案件管理!$A$3:$A$202,0)),"←IDが未登録です"))</f>
        <v/>
      </c>
      <c r="D58" s="8"/>
      <c r="E58" s="8"/>
      <c r="F58" s="59"/>
      <c r="G58" s="38"/>
      <c r="H58" s="23" t="str">
        <f aca="false">IF(N($F58)*N($G58)=0,"",$F58*$G58)</f>
        <v/>
      </c>
      <c r="I58" s="34"/>
      <c r="J58" s="37"/>
      <c r="K58" s="37"/>
      <c r="L58" s="37"/>
      <c r="M58" s="37"/>
      <c r="N58" s="37"/>
      <c r="O58" s="20" t="str">
        <f aca="false">IF($B58="","",IF($N58&lt;&gt;"","受入済",IF($M58&lt;&gt;"","入荷済（受入待ち）",IF($J58&lt;&gt;"","発注済","未発注"))))</f>
        <v/>
      </c>
      <c r="P58" s="21" t="str">
        <f aca="true">IF($L58="","",IF($M58&lt;&gt;"",$M58-$L58,IF(TODAY()&gt;$L58,TODAY()-$L58,0)))</f>
        <v/>
      </c>
      <c r="Q58" s="8"/>
    </row>
    <row r="59" customFormat="false" ht="18" hidden="false" customHeight="true" outlineLevel="0" collapsed="false">
      <c r="A59" s="33"/>
      <c r="B59" s="33"/>
      <c r="C59" s="10" t="str">
        <f aca="false">IF($B59="","",IFERROR(INDEX(案件管理!$B$3:$B$202,MATCH($B59,案件管理!$A$3:$A$202,0)),"←IDが未登録です"))</f>
        <v/>
      </c>
      <c r="D59" s="8"/>
      <c r="E59" s="8"/>
      <c r="F59" s="59"/>
      <c r="G59" s="38"/>
      <c r="H59" s="23" t="str">
        <f aca="false">IF(N($F59)*N($G59)=0,"",$F59*$G59)</f>
        <v/>
      </c>
      <c r="I59" s="34"/>
      <c r="J59" s="37"/>
      <c r="K59" s="37"/>
      <c r="L59" s="37"/>
      <c r="M59" s="37"/>
      <c r="N59" s="37"/>
      <c r="O59" s="20" t="str">
        <f aca="false">IF($B59="","",IF($N59&lt;&gt;"","受入済",IF($M59&lt;&gt;"","入荷済（受入待ち）",IF($J59&lt;&gt;"","発注済","未発注"))))</f>
        <v/>
      </c>
      <c r="P59" s="21" t="str">
        <f aca="true">IF($L59="","",IF($M59&lt;&gt;"",$M59-$L59,IF(TODAY()&gt;$L59,TODAY()-$L59,0)))</f>
        <v/>
      </c>
      <c r="Q59" s="8"/>
    </row>
    <row r="60" customFormat="false" ht="18" hidden="false" customHeight="true" outlineLevel="0" collapsed="false">
      <c r="A60" s="33"/>
      <c r="B60" s="33"/>
      <c r="C60" s="10" t="str">
        <f aca="false">IF($B60="","",IFERROR(INDEX(案件管理!$B$3:$B$202,MATCH($B60,案件管理!$A$3:$A$202,0)),"←IDが未登録です"))</f>
        <v/>
      </c>
      <c r="D60" s="8"/>
      <c r="E60" s="8"/>
      <c r="F60" s="59"/>
      <c r="G60" s="38"/>
      <c r="H60" s="23" t="str">
        <f aca="false">IF(N($F60)*N($G60)=0,"",$F60*$G60)</f>
        <v/>
      </c>
      <c r="I60" s="34"/>
      <c r="J60" s="37"/>
      <c r="K60" s="37"/>
      <c r="L60" s="37"/>
      <c r="M60" s="37"/>
      <c r="N60" s="37"/>
      <c r="O60" s="20" t="str">
        <f aca="false">IF($B60="","",IF($N60&lt;&gt;"","受入済",IF($M60&lt;&gt;"","入荷済（受入待ち）",IF($J60&lt;&gt;"","発注済","未発注"))))</f>
        <v/>
      </c>
      <c r="P60" s="21" t="str">
        <f aca="true">IF($L60="","",IF($M60&lt;&gt;"",$M60-$L60,IF(TODAY()&gt;$L60,TODAY()-$L60,0)))</f>
        <v/>
      </c>
      <c r="Q60" s="8"/>
    </row>
    <row r="61" customFormat="false" ht="18" hidden="false" customHeight="true" outlineLevel="0" collapsed="false">
      <c r="A61" s="33"/>
      <c r="B61" s="33"/>
      <c r="C61" s="10" t="str">
        <f aca="false">IF($B61="","",IFERROR(INDEX(案件管理!$B$3:$B$202,MATCH($B61,案件管理!$A$3:$A$202,0)),"←IDが未登録です"))</f>
        <v/>
      </c>
      <c r="D61" s="8"/>
      <c r="E61" s="8"/>
      <c r="F61" s="59"/>
      <c r="G61" s="38"/>
      <c r="H61" s="23" t="str">
        <f aca="false">IF(N($F61)*N($G61)=0,"",$F61*$G61)</f>
        <v/>
      </c>
      <c r="I61" s="34"/>
      <c r="J61" s="37"/>
      <c r="K61" s="37"/>
      <c r="L61" s="37"/>
      <c r="M61" s="37"/>
      <c r="N61" s="37"/>
      <c r="O61" s="20" t="str">
        <f aca="false">IF($B61="","",IF($N61&lt;&gt;"","受入済",IF($M61&lt;&gt;"","入荷済（受入待ち）",IF($J61&lt;&gt;"","発注済","未発注"))))</f>
        <v/>
      </c>
      <c r="P61" s="21" t="str">
        <f aca="true">IF($L61="","",IF($M61&lt;&gt;"",$M61-$L61,IF(TODAY()&gt;$L61,TODAY()-$L61,0)))</f>
        <v/>
      </c>
      <c r="Q61" s="8"/>
    </row>
    <row r="62" customFormat="false" ht="18" hidden="false" customHeight="true" outlineLevel="0" collapsed="false">
      <c r="A62" s="33"/>
      <c r="B62" s="33"/>
      <c r="C62" s="10" t="str">
        <f aca="false">IF($B62="","",IFERROR(INDEX(案件管理!$B$3:$B$202,MATCH($B62,案件管理!$A$3:$A$202,0)),"←IDが未登録です"))</f>
        <v/>
      </c>
      <c r="D62" s="8"/>
      <c r="E62" s="8"/>
      <c r="F62" s="59"/>
      <c r="G62" s="38"/>
      <c r="H62" s="23" t="str">
        <f aca="false">IF(N($F62)*N($G62)=0,"",$F62*$G62)</f>
        <v/>
      </c>
      <c r="I62" s="34"/>
      <c r="J62" s="37"/>
      <c r="K62" s="37"/>
      <c r="L62" s="37"/>
      <c r="M62" s="37"/>
      <c r="N62" s="37"/>
      <c r="O62" s="20" t="str">
        <f aca="false">IF($B62="","",IF($N62&lt;&gt;"","受入済",IF($M62&lt;&gt;"","入荷済（受入待ち）",IF($J62&lt;&gt;"","発注済","未発注"))))</f>
        <v/>
      </c>
      <c r="P62" s="21" t="str">
        <f aca="true">IF($L62="","",IF($M62&lt;&gt;"",$M62-$L62,IF(TODAY()&gt;$L62,TODAY()-$L62,0)))</f>
        <v/>
      </c>
      <c r="Q62" s="8"/>
    </row>
    <row r="63" customFormat="false" ht="18" hidden="false" customHeight="true" outlineLevel="0" collapsed="false">
      <c r="A63" s="33"/>
      <c r="B63" s="33"/>
      <c r="C63" s="10" t="str">
        <f aca="false">IF($B63="","",IFERROR(INDEX(案件管理!$B$3:$B$202,MATCH($B63,案件管理!$A$3:$A$202,0)),"←IDが未登録です"))</f>
        <v/>
      </c>
      <c r="D63" s="8"/>
      <c r="E63" s="8"/>
      <c r="F63" s="59"/>
      <c r="G63" s="38"/>
      <c r="H63" s="23" t="str">
        <f aca="false">IF(N($F63)*N($G63)=0,"",$F63*$G63)</f>
        <v/>
      </c>
      <c r="I63" s="34"/>
      <c r="J63" s="37"/>
      <c r="K63" s="37"/>
      <c r="L63" s="37"/>
      <c r="M63" s="37"/>
      <c r="N63" s="37"/>
      <c r="O63" s="20" t="str">
        <f aca="false">IF($B63="","",IF($N63&lt;&gt;"","受入済",IF($M63&lt;&gt;"","入荷済（受入待ち）",IF($J63&lt;&gt;"","発注済","未発注"))))</f>
        <v/>
      </c>
      <c r="P63" s="21" t="str">
        <f aca="true">IF($L63="","",IF($M63&lt;&gt;"",$M63-$L63,IF(TODAY()&gt;$L63,TODAY()-$L63,0)))</f>
        <v/>
      </c>
      <c r="Q63" s="8"/>
    </row>
    <row r="64" customFormat="false" ht="18" hidden="false" customHeight="true" outlineLevel="0" collapsed="false">
      <c r="A64" s="33"/>
      <c r="B64" s="33"/>
      <c r="C64" s="10" t="str">
        <f aca="false">IF($B64="","",IFERROR(INDEX(案件管理!$B$3:$B$202,MATCH($B64,案件管理!$A$3:$A$202,0)),"←IDが未登録です"))</f>
        <v/>
      </c>
      <c r="D64" s="8"/>
      <c r="E64" s="8"/>
      <c r="F64" s="59"/>
      <c r="G64" s="38"/>
      <c r="H64" s="23" t="str">
        <f aca="false">IF(N($F64)*N($G64)=0,"",$F64*$G64)</f>
        <v/>
      </c>
      <c r="I64" s="34"/>
      <c r="J64" s="37"/>
      <c r="K64" s="37"/>
      <c r="L64" s="37"/>
      <c r="M64" s="37"/>
      <c r="N64" s="37"/>
      <c r="O64" s="20" t="str">
        <f aca="false">IF($B64="","",IF($N64&lt;&gt;"","受入済",IF($M64&lt;&gt;"","入荷済（受入待ち）",IF($J64&lt;&gt;"","発注済","未発注"))))</f>
        <v/>
      </c>
      <c r="P64" s="21" t="str">
        <f aca="true">IF($L64="","",IF($M64&lt;&gt;"",$M64-$L64,IF(TODAY()&gt;$L64,TODAY()-$L64,0)))</f>
        <v/>
      </c>
      <c r="Q64" s="8"/>
    </row>
    <row r="65" customFormat="false" ht="18" hidden="false" customHeight="true" outlineLevel="0" collapsed="false">
      <c r="A65" s="33"/>
      <c r="B65" s="33"/>
      <c r="C65" s="10" t="str">
        <f aca="false">IF($B65="","",IFERROR(INDEX(案件管理!$B$3:$B$202,MATCH($B65,案件管理!$A$3:$A$202,0)),"←IDが未登録です"))</f>
        <v/>
      </c>
      <c r="D65" s="8"/>
      <c r="E65" s="8"/>
      <c r="F65" s="59"/>
      <c r="G65" s="38"/>
      <c r="H65" s="23" t="str">
        <f aca="false">IF(N($F65)*N($G65)=0,"",$F65*$G65)</f>
        <v/>
      </c>
      <c r="I65" s="34"/>
      <c r="J65" s="37"/>
      <c r="K65" s="37"/>
      <c r="L65" s="37"/>
      <c r="M65" s="37"/>
      <c r="N65" s="37"/>
      <c r="O65" s="20" t="str">
        <f aca="false">IF($B65="","",IF($N65&lt;&gt;"","受入済",IF($M65&lt;&gt;"","入荷済（受入待ち）",IF($J65&lt;&gt;"","発注済","未発注"))))</f>
        <v/>
      </c>
      <c r="P65" s="21" t="str">
        <f aca="true">IF($L65="","",IF($M65&lt;&gt;"",$M65-$L65,IF(TODAY()&gt;$L65,TODAY()-$L65,0)))</f>
        <v/>
      </c>
      <c r="Q65" s="8"/>
    </row>
    <row r="66" customFormat="false" ht="18" hidden="false" customHeight="true" outlineLevel="0" collapsed="false">
      <c r="A66" s="33"/>
      <c r="B66" s="33"/>
      <c r="C66" s="10" t="str">
        <f aca="false">IF($B66="","",IFERROR(INDEX(案件管理!$B$3:$B$202,MATCH($B66,案件管理!$A$3:$A$202,0)),"←IDが未登録です"))</f>
        <v/>
      </c>
      <c r="D66" s="8"/>
      <c r="E66" s="8"/>
      <c r="F66" s="59"/>
      <c r="G66" s="38"/>
      <c r="H66" s="23" t="str">
        <f aca="false">IF(N($F66)*N($G66)=0,"",$F66*$G66)</f>
        <v/>
      </c>
      <c r="I66" s="34"/>
      <c r="J66" s="37"/>
      <c r="K66" s="37"/>
      <c r="L66" s="37"/>
      <c r="M66" s="37"/>
      <c r="N66" s="37"/>
      <c r="O66" s="20" t="str">
        <f aca="false">IF($B66="","",IF($N66&lt;&gt;"","受入済",IF($M66&lt;&gt;"","入荷済（受入待ち）",IF($J66&lt;&gt;"","発注済","未発注"))))</f>
        <v/>
      </c>
      <c r="P66" s="21" t="str">
        <f aca="true">IF($L66="","",IF($M66&lt;&gt;"",$M66-$L66,IF(TODAY()&gt;$L66,TODAY()-$L66,0)))</f>
        <v/>
      </c>
      <c r="Q66" s="8"/>
    </row>
    <row r="67" customFormat="false" ht="18" hidden="false" customHeight="true" outlineLevel="0" collapsed="false">
      <c r="A67" s="33"/>
      <c r="B67" s="33"/>
      <c r="C67" s="10" t="str">
        <f aca="false">IF($B67="","",IFERROR(INDEX(案件管理!$B$3:$B$202,MATCH($B67,案件管理!$A$3:$A$202,0)),"←IDが未登録です"))</f>
        <v/>
      </c>
      <c r="D67" s="8"/>
      <c r="E67" s="8"/>
      <c r="F67" s="59"/>
      <c r="G67" s="38"/>
      <c r="H67" s="23" t="str">
        <f aca="false">IF(N($F67)*N($G67)=0,"",$F67*$G67)</f>
        <v/>
      </c>
      <c r="I67" s="34"/>
      <c r="J67" s="37"/>
      <c r="K67" s="37"/>
      <c r="L67" s="37"/>
      <c r="M67" s="37"/>
      <c r="N67" s="37"/>
      <c r="O67" s="20" t="str">
        <f aca="false">IF($B67="","",IF($N67&lt;&gt;"","受入済",IF($M67&lt;&gt;"","入荷済（受入待ち）",IF($J67&lt;&gt;"","発注済","未発注"))))</f>
        <v/>
      </c>
      <c r="P67" s="21" t="str">
        <f aca="true">IF($L67="","",IF($M67&lt;&gt;"",$M67-$L67,IF(TODAY()&gt;$L67,TODAY()-$L67,0)))</f>
        <v/>
      </c>
      <c r="Q67" s="8"/>
    </row>
    <row r="68" customFormat="false" ht="18" hidden="false" customHeight="true" outlineLevel="0" collapsed="false">
      <c r="A68" s="33"/>
      <c r="B68" s="33"/>
      <c r="C68" s="10" t="str">
        <f aca="false">IF($B68="","",IFERROR(INDEX(案件管理!$B$3:$B$202,MATCH($B68,案件管理!$A$3:$A$202,0)),"←IDが未登録です"))</f>
        <v/>
      </c>
      <c r="D68" s="8"/>
      <c r="E68" s="8"/>
      <c r="F68" s="59"/>
      <c r="G68" s="38"/>
      <c r="H68" s="23" t="str">
        <f aca="false">IF(N($F68)*N($G68)=0,"",$F68*$G68)</f>
        <v/>
      </c>
      <c r="I68" s="34"/>
      <c r="J68" s="37"/>
      <c r="K68" s="37"/>
      <c r="L68" s="37"/>
      <c r="M68" s="37"/>
      <c r="N68" s="37"/>
      <c r="O68" s="20" t="str">
        <f aca="false">IF($B68="","",IF($N68&lt;&gt;"","受入済",IF($M68&lt;&gt;"","入荷済（受入待ち）",IF($J68&lt;&gt;"","発注済","未発注"))))</f>
        <v/>
      </c>
      <c r="P68" s="21" t="str">
        <f aca="true">IF($L68="","",IF($M68&lt;&gt;"",$M68-$L68,IF(TODAY()&gt;$L68,TODAY()-$L68,0)))</f>
        <v/>
      </c>
      <c r="Q68" s="8"/>
    </row>
    <row r="69" customFormat="false" ht="18" hidden="false" customHeight="true" outlineLevel="0" collapsed="false">
      <c r="A69" s="33"/>
      <c r="B69" s="33"/>
      <c r="C69" s="10" t="str">
        <f aca="false">IF($B69="","",IFERROR(INDEX(案件管理!$B$3:$B$202,MATCH($B69,案件管理!$A$3:$A$202,0)),"←IDが未登録です"))</f>
        <v/>
      </c>
      <c r="D69" s="8"/>
      <c r="E69" s="8"/>
      <c r="F69" s="59"/>
      <c r="G69" s="38"/>
      <c r="H69" s="23" t="str">
        <f aca="false">IF(N($F69)*N($G69)=0,"",$F69*$G69)</f>
        <v/>
      </c>
      <c r="I69" s="34"/>
      <c r="J69" s="37"/>
      <c r="K69" s="37"/>
      <c r="L69" s="37"/>
      <c r="M69" s="37"/>
      <c r="N69" s="37"/>
      <c r="O69" s="20" t="str">
        <f aca="false">IF($B69="","",IF($N69&lt;&gt;"","受入済",IF($M69&lt;&gt;"","入荷済（受入待ち）",IF($J69&lt;&gt;"","発注済","未発注"))))</f>
        <v/>
      </c>
      <c r="P69" s="21" t="str">
        <f aca="true">IF($L69="","",IF($M69&lt;&gt;"",$M69-$L69,IF(TODAY()&gt;$L69,TODAY()-$L69,0)))</f>
        <v/>
      </c>
      <c r="Q69" s="8"/>
    </row>
    <row r="70" customFormat="false" ht="18" hidden="false" customHeight="true" outlineLevel="0" collapsed="false">
      <c r="A70" s="33"/>
      <c r="B70" s="33"/>
      <c r="C70" s="10" t="str">
        <f aca="false">IF($B70="","",IFERROR(INDEX(案件管理!$B$3:$B$202,MATCH($B70,案件管理!$A$3:$A$202,0)),"←IDが未登録です"))</f>
        <v/>
      </c>
      <c r="D70" s="8"/>
      <c r="E70" s="8"/>
      <c r="F70" s="59"/>
      <c r="G70" s="38"/>
      <c r="H70" s="23" t="str">
        <f aca="false">IF(N($F70)*N($G70)=0,"",$F70*$G70)</f>
        <v/>
      </c>
      <c r="I70" s="34"/>
      <c r="J70" s="37"/>
      <c r="K70" s="37"/>
      <c r="L70" s="37"/>
      <c r="M70" s="37"/>
      <c r="N70" s="37"/>
      <c r="O70" s="20" t="str">
        <f aca="false">IF($B70="","",IF($N70&lt;&gt;"","受入済",IF($M70&lt;&gt;"","入荷済（受入待ち）",IF($J70&lt;&gt;"","発注済","未発注"))))</f>
        <v/>
      </c>
      <c r="P70" s="21" t="str">
        <f aca="true">IF($L70="","",IF($M70&lt;&gt;"",$M70-$L70,IF(TODAY()&gt;$L70,TODAY()-$L70,0)))</f>
        <v/>
      </c>
      <c r="Q70" s="8"/>
    </row>
    <row r="71" customFormat="false" ht="18" hidden="false" customHeight="true" outlineLevel="0" collapsed="false">
      <c r="A71" s="33"/>
      <c r="B71" s="33"/>
      <c r="C71" s="10" t="str">
        <f aca="false">IF($B71="","",IFERROR(INDEX(案件管理!$B$3:$B$202,MATCH($B71,案件管理!$A$3:$A$202,0)),"←IDが未登録です"))</f>
        <v/>
      </c>
      <c r="D71" s="8"/>
      <c r="E71" s="8"/>
      <c r="F71" s="59"/>
      <c r="G71" s="38"/>
      <c r="H71" s="23" t="str">
        <f aca="false">IF(N($F71)*N($G71)=0,"",$F71*$G71)</f>
        <v/>
      </c>
      <c r="I71" s="34"/>
      <c r="J71" s="37"/>
      <c r="K71" s="37"/>
      <c r="L71" s="37"/>
      <c r="M71" s="37"/>
      <c r="N71" s="37"/>
      <c r="O71" s="20" t="str">
        <f aca="false">IF($B71="","",IF($N71&lt;&gt;"","受入済",IF($M71&lt;&gt;"","入荷済（受入待ち）",IF($J71&lt;&gt;"","発注済","未発注"))))</f>
        <v/>
      </c>
      <c r="P71" s="21" t="str">
        <f aca="true">IF($L71="","",IF($M71&lt;&gt;"",$M71-$L71,IF(TODAY()&gt;$L71,TODAY()-$L71,0)))</f>
        <v/>
      </c>
      <c r="Q71" s="8"/>
    </row>
    <row r="72" customFormat="false" ht="18" hidden="false" customHeight="true" outlineLevel="0" collapsed="false">
      <c r="A72" s="33"/>
      <c r="B72" s="33"/>
      <c r="C72" s="10" t="str">
        <f aca="false">IF($B72="","",IFERROR(INDEX(案件管理!$B$3:$B$202,MATCH($B72,案件管理!$A$3:$A$202,0)),"←IDが未登録です"))</f>
        <v/>
      </c>
      <c r="D72" s="8"/>
      <c r="E72" s="8"/>
      <c r="F72" s="59"/>
      <c r="G72" s="38"/>
      <c r="H72" s="23" t="str">
        <f aca="false">IF(N($F72)*N($G72)=0,"",$F72*$G72)</f>
        <v/>
      </c>
      <c r="I72" s="34"/>
      <c r="J72" s="37"/>
      <c r="K72" s="37"/>
      <c r="L72" s="37"/>
      <c r="M72" s="37"/>
      <c r="N72" s="37"/>
      <c r="O72" s="20" t="str">
        <f aca="false">IF($B72="","",IF($N72&lt;&gt;"","受入済",IF($M72&lt;&gt;"","入荷済（受入待ち）",IF($J72&lt;&gt;"","発注済","未発注"))))</f>
        <v/>
      </c>
      <c r="P72" s="21" t="str">
        <f aca="true">IF($L72="","",IF($M72&lt;&gt;"",$M72-$L72,IF(TODAY()&gt;$L72,TODAY()-$L72,0)))</f>
        <v/>
      </c>
      <c r="Q72" s="8"/>
    </row>
    <row r="73" customFormat="false" ht="18" hidden="false" customHeight="true" outlineLevel="0" collapsed="false">
      <c r="A73" s="33"/>
      <c r="B73" s="33"/>
      <c r="C73" s="10" t="str">
        <f aca="false">IF($B73="","",IFERROR(INDEX(案件管理!$B$3:$B$202,MATCH($B73,案件管理!$A$3:$A$202,0)),"←IDが未登録です"))</f>
        <v/>
      </c>
      <c r="D73" s="8"/>
      <c r="E73" s="8"/>
      <c r="F73" s="59"/>
      <c r="G73" s="38"/>
      <c r="H73" s="23" t="str">
        <f aca="false">IF(N($F73)*N($G73)=0,"",$F73*$G73)</f>
        <v/>
      </c>
      <c r="I73" s="34"/>
      <c r="J73" s="37"/>
      <c r="K73" s="37"/>
      <c r="L73" s="37"/>
      <c r="M73" s="37"/>
      <c r="N73" s="37"/>
      <c r="O73" s="20" t="str">
        <f aca="false">IF($B73="","",IF($N73&lt;&gt;"","受入済",IF($M73&lt;&gt;"","入荷済（受入待ち）",IF($J73&lt;&gt;"","発注済","未発注"))))</f>
        <v/>
      </c>
      <c r="P73" s="21" t="str">
        <f aca="true">IF($L73="","",IF($M73&lt;&gt;"",$M73-$L73,IF(TODAY()&gt;$L73,TODAY()-$L73,0)))</f>
        <v/>
      </c>
      <c r="Q73" s="8"/>
    </row>
    <row r="74" customFormat="false" ht="18" hidden="false" customHeight="true" outlineLevel="0" collapsed="false">
      <c r="A74" s="33"/>
      <c r="B74" s="33"/>
      <c r="C74" s="10" t="str">
        <f aca="false">IF($B74="","",IFERROR(INDEX(案件管理!$B$3:$B$202,MATCH($B74,案件管理!$A$3:$A$202,0)),"←IDが未登録です"))</f>
        <v/>
      </c>
      <c r="D74" s="8"/>
      <c r="E74" s="8"/>
      <c r="F74" s="59"/>
      <c r="G74" s="38"/>
      <c r="H74" s="23" t="str">
        <f aca="false">IF(N($F74)*N($G74)=0,"",$F74*$G74)</f>
        <v/>
      </c>
      <c r="I74" s="34"/>
      <c r="J74" s="37"/>
      <c r="K74" s="37"/>
      <c r="L74" s="37"/>
      <c r="M74" s="37"/>
      <c r="N74" s="37"/>
      <c r="O74" s="20" t="str">
        <f aca="false">IF($B74="","",IF($N74&lt;&gt;"","受入済",IF($M74&lt;&gt;"","入荷済（受入待ち）",IF($J74&lt;&gt;"","発注済","未発注"))))</f>
        <v/>
      </c>
      <c r="P74" s="21" t="str">
        <f aca="true">IF($L74="","",IF($M74&lt;&gt;"",$M74-$L74,IF(TODAY()&gt;$L74,TODAY()-$L74,0)))</f>
        <v/>
      </c>
      <c r="Q74" s="8"/>
    </row>
    <row r="75" customFormat="false" ht="18" hidden="false" customHeight="true" outlineLevel="0" collapsed="false">
      <c r="A75" s="33"/>
      <c r="B75" s="33"/>
      <c r="C75" s="10" t="str">
        <f aca="false">IF($B75="","",IFERROR(INDEX(案件管理!$B$3:$B$202,MATCH($B75,案件管理!$A$3:$A$202,0)),"←IDが未登録です"))</f>
        <v/>
      </c>
      <c r="D75" s="8"/>
      <c r="E75" s="8"/>
      <c r="F75" s="59"/>
      <c r="G75" s="38"/>
      <c r="H75" s="23" t="str">
        <f aca="false">IF(N($F75)*N($G75)=0,"",$F75*$G75)</f>
        <v/>
      </c>
      <c r="I75" s="34"/>
      <c r="J75" s="37"/>
      <c r="K75" s="37"/>
      <c r="L75" s="37"/>
      <c r="M75" s="37"/>
      <c r="N75" s="37"/>
      <c r="O75" s="20" t="str">
        <f aca="false">IF($B75="","",IF($N75&lt;&gt;"","受入済",IF($M75&lt;&gt;"","入荷済（受入待ち）",IF($J75&lt;&gt;"","発注済","未発注"))))</f>
        <v/>
      </c>
      <c r="P75" s="21" t="str">
        <f aca="true">IF($L75="","",IF($M75&lt;&gt;"",$M75-$L75,IF(TODAY()&gt;$L75,TODAY()-$L75,0)))</f>
        <v/>
      </c>
      <c r="Q75" s="8"/>
    </row>
    <row r="76" customFormat="false" ht="18" hidden="false" customHeight="true" outlineLevel="0" collapsed="false">
      <c r="A76" s="33"/>
      <c r="B76" s="33"/>
      <c r="C76" s="10" t="str">
        <f aca="false">IF($B76="","",IFERROR(INDEX(案件管理!$B$3:$B$202,MATCH($B76,案件管理!$A$3:$A$202,0)),"←IDが未登録です"))</f>
        <v/>
      </c>
      <c r="D76" s="8"/>
      <c r="E76" s="8"/>
      <c r="F76" s="59"/>
      <c r="G76" s="38"/>
      <c r="H76" s="23" t="str">
        <f aca="false">IF(N($F76)*N($G76)=0,"",$F76*$G76)</f>
        <v/>
      </c>
      <c r="I76" s="34"/>
      <c r="J76" s="37"/>
      <c r="K76" s="37"/>
      <c r="L76" s="37"/>
      <c r="M76" s="37"/>
      <c r="N76" s="37"/>
      <c r="O76" s="20" t="str">
        <f aca="false">IF($B76="","",IF($N76&lt;&gt;"","受入済",IF($M76&lt;&gt;"","入荷済（受入待ち）",IF($J76&lt;&gt;"","発注済","未発注"))))</f>
        <v/>
      </c>
      <c r="P76" s="21" t="str">
        <f aca="true">IF($L76="","",IF($M76&lt;&gt;"",$M76-$L76,IF(TODAY()&gt;$L76,TODAY()-$L76,0)))</f>
        <v/>
      </c>
      <c r="Q76" s="8"/>
    </row>
    <row r="77" customFormat="false" ht="18" hidden="false" customHeight="true" outlineLevel="0" collapsed="false">
      <c r="A77" s="33"/>
      <c r="B77" s="33"/>
      <c r="C77" s="10" t="str">
        <f aca="false">IF($B77="","",IFERROR(INDEX(案件管理!$B$3:$B$202,MATCH($B77,案件管理!$A$3:$A$202,0)),"←IDが未登録です"))</f>
        <v/>
      </c>
      <c r="D77" s="8"/>
      <c r="E77" s="8"/>
      <c r="F77" s="59"/>
      <c r="G77" s="38"/>
      <c r="H77" s="23" t="str">
        <f aca="false">IF(N($F77)*N($G77)=0,"",$F77*$G77)</f>
        <v/>
      </c>
      <c r="I77" s="34"/>
      <c r="J77" s="37"/>
      <c r="K77" s="37"/>
      <c r="L77" s="37"/>
      <c r="M77" s="37"/>
      <c r="N77" s="37"/>
      <c r="O77" s="20" t="str">
        <f aca="false">IF($B77="","",IF($N77&lt;&gt;"","受入済",IF($M77&lt;&gt;"","入荷済（受入待ち）",IF($J77&lt;&gt;"","発注済","未発注"))))</f>
        <v/>
      </c>
      <c r="P77" s="21" t="str">
        <f aca="true">IF($L77="","",IF($M77&lt;&gt;"",$M77-$L77,IF(TODAY()&gt;$L77,TODAY()-$L77,0)))</f>
        <v/>
      </c>
      <c r="Q77" s="8"/>
    </row>
    <row r="78" customFormat="false" ht="18" hidden="false" customHeight="true" outlineLevel="0" collapsed="false">
      <c r="A78" s="33"/>
      <c r="B78" s="33"/>
      <c r="C78" s="10" t="str">
        <f aca="false">IF($B78="","",IFERROR(INDEX(案件管理!$B$3:$B$202,MATCH($B78,案件管理!$A$3:$A$202,0)),"←IDが未登録です"))</f>
        <v/>
      </c>
      <c r="D78" s="8"/>
      <c r="E78" s="8"/>
      <c r="F78" s="59"/>
      <c r="G78" s="38"/>
      <c r="H78" s="23" t="str">
        <f aca="false">IF(N($F78)*N($G78)=0,"",$F78*$G78)</f>
        <v/>
      </c>
      <c r="I78" s="34"/>
      <c r="J78" s="37"/>
      <c r="K78" s="37"/>
      <c r="L78" s="37"/>
      <c r="M78" s="37"/>
      <c r="N78" s="37"/>
      <c r="O78" s="20" t="str">
        <f aca="false">IF($B78="","",IF($N78&lt;&gt;"","受入済",IF($M78&lt;&gt;"","入荷済（受入待ち）",IF($J78&lt;&gt;"","発注済","未発注"))))</f>
        <v/>
      </c>
      <c r="P78" s="21" t="str">
        <f aca="true">IF($L78="","",IF($M78&lt;&gt;"",$M78-$L78,IF(TODAY()&gt;$L78,TODAY()-$L78,0)))</f>
        <v/>
      </c>
      <c r="Q78" s="8"/>
    </row>
    <row r="79" customFormat="false" ht="18" hidden="false" customHeight="true" outlineLevel="0" collapsed="false">
      <c r="A79" s="33"/>
      <c r="B79" s="33"/>
      <c r="C79" s="10" t="str">
        <f aca="false">IF($B79="","",IFERROR(INDEX(案件管理!$B$3:$B$202,MATCH($B79,案件管理!$A$3:$A$202,0)),"←IDが未登録です"))</f>
        <v/>
      </c>
      <c r="D79" s="8"/>
      <c r="E79" s="8"/>
      <c r="F79" s="59"/>
      <c r="G79" s="38"/>
      <c r="H79" s="23" t="str">
        <f aca="false">IF(N($F79)*N($G79)=0,"",$F79*$G79)</f>
        <v/>
      </c>
      <c r="I79" s="34"/>
      <c r="J79" s="37"/>
      <c r="K79" s="37"/>
      <c r="L79" s="37"/>
      <c r="M79" s="37"/>
      <c r="N79" s="37"/>
      <c r="O79" s="20" t="str">
        <f aca="false">IF($B79="","",IF($N79&lt;&gt;"","受入済",IF($M79&lt;&gt;"","入荷済（受入待ち）",IF($J79&lt;&gt;"","発注済","未発注"))))</f>
        <v/>
      </c>
      <c r="P79" s="21" t="str">
        <f aca="true">IF($L79="","",IF($M79&lt;&gt;"",$M79-$L79,IF(TODAY()&gt;$L79,TODAY()-$L79,0)))</f>
        <v/>
      </c>
      <c r="Q79" s="8"/>
    </row>
    <row r="80" customFormat="false" ht="18" hidden="false" customHeight="true" outlineLevel="0" collapsed="false">
      <c r="A80" s="33"/>
      <c r="B80" s="33"/>
      <c r="C80" s="10" t="str">
        <f aca="false">IF($B80="","",IFERROR(INDEX(案件管理!$B$3:$B$202,MATCH($B80,案件管理!$A$3:$A$202,0)),"←IDが未登録です"))</f>
        <v/>
      </c>
      <c r="D80" s="8"/>
      <c r="E80" s="8"/>
      <c r="F80" s="59"/>
      <c r="G80" s="38"/>
      <c r="H80" s="23" t="str">
        <f aca="false">IF(N($F80)*N($G80)=0,"",$F80*$G80)</f>
        <v/>
      </c>
      <c r="I80" s="34"/>
      <c r="J80" s="37"/>
      <c r="K80" s="37"/>
      <c r="L80" s="37"/>
      <c r="M80" s="37"/>
      <c r="N80" s="37"/>
      <c r="O80" s="20" t="str">
        <f aca="false">IF($B80="","",IF($N80&lt;&gt;"","受入済",IF($M80&lt;&gt;"","入荷済（受入待ち）",IF($J80&lt;&gt;"","発注済","未発注"))))</f>
        <v/>
      </c>
      <c r="P80" s="21" t="str">
        <f aca="true">IF($L80="","",IF($M80&lt;&gt;"",$M80-$L80,IF(TODAY()&gt;$L80,TODAY()-$L80,0)))</f>
        <v/>
      </c>
      <c r="Q80" s="8"/>
    </row>
    <row r="81" customFormat="false" ht="18" hidden="false" customHeight="true" outlineLevel="0" collapsed="false">
      <c r="A81" s="33"/>
      <c r="B81" s="33"/>
      <c r="C81" s="10" t="str">
        <f aca="false">IF($B81="","",IFERROR(INDEX(案件管理!$B$3:$B$202,MATCH($B81,案件管理!$A$3:$A$202,0)),"←IDが未登録です"))</f>
        <v/>
      </c>
      <c r="D81" s="8"/>
      <c r="E81" s="8"/>
      <c r="F81" s="59"/>
      <c r="G81" s="38"/>
      <c r="H81" s="23" t="str">
        <f aca="false">IF(N($F81)*N($G81)=0,"",$F81*$G81)</f>
        <v/>
      </c>
      <c r="I81" s="34"/>
      <c r="J81" s="37"/>
      <c r="K81" s="37"/>
      <c r="L81" s="37"/>
      <c r="M81" s="37"/>
      <c r="N81" s="37"/>
      <c r="O81" s="20" t="str">
        <f aca="false">IF($B81="","",IF($N81&lt;&gt;"","受入済",IF($M81&lt;&gt;"","入荷済（受入待ち）",IF($J81&lt;&gt;"","発注済","未発注"))))</f>
        <v/>
      </c>
      <c r="P81" s="21" t="str">
        <f aca="true">IF($L81="","",IF($M81&lt;&gt;"",$M81-$L81,IF(TODAY()&gt;$L81,TODAY()-$L81,0)))</f>
        <v/>
      </c>
      <c r="Q81" s="8"/>
    </row>
    <row r="82" customFormat="false" ht="18" hidden="false" customHeight="true" outlineLevel="0" collapsed="false">
      <c r="A82" s="33"/>
      <c r="B82" s="33"/>
      <c r="C82" s="10" t="str">
        <f aca="false">IF($B82="","",IFERROR(INDEX(案件管理!$B$3:$B$202,MATCH($B82,案件管理!$A$3:$A$202,0)),"←IDが未登録です"))</f>
        <v/>
      </c>
      <c r="D82" s="8"/>
      <c r="E82" s="8"/>
      <c r="F82" s="59"/>
      <c r="G82" s="38"/>
      <c r="H82" s="23" t="str">
        <f aca="false">IF(N($F82)*N($G82)=0,"",$F82*$G82)</f>
        <v/>
      </c>
      <c r="I82" s="34"/>
      <c r="J82" s="37"/>
      <c r="K82" s="37"/>
      <c r="L82" s="37"/>
      <c r="M82" s="37"/>
      <c r="N82" s="37"/>
      <c r="O82" s="20" t="str">
        <f aca="false">IF($B82="","",IF($N82&lt;&gt;"","受入済",IF($M82&lt;&gt;"","入荷済（受入待ち）",IF($J82&lt;&gt;"","発注済","未発注"))))</f>
        <v/>
      </c>
      <c r="P82" s="21" t="str">
        <f aca="true">IF($L82="","",IF($M82&lt;&gt;"",$M82-$L82,IF(TODAY()&gt;$L82,TODAY()-$L82,0)))</f>
        <v/>
      </c>
      <c r="Q82" s="8"/>
    </row>
    <row r="83" customFormat="false" ht="18" hidden="false" customHeight="true" outlineLevel="0" collapsed="false">
      <c r="A83" s="33"/>
      <c r="B83" s="33"/>
      <c r="C83" s="10" t="str">
        <f aca="false">IF($B83="","",IFERROR(INDEX(案件管理!$B$3:$B$202,MATCH($B83,案件管理!$A$3:$A$202,0)),"←IDが未登録です"))</f>
        <v/>
      </c>
      <c r="D83" s="8"/>
      <c r="E83" s="8"/>
      <c r="F83" s="59"/>
      <c r="G83" s="38"/>
      <c r="H83" s="23" t="str">
        <f aca="false">IF(N($F83)*N($G83)=0,"",$F83*$G83)</f>
        <v/>
      </c>
      <c r="I83" s="34"/>
      <c r="J83" s="37"/>
      <c r="K83" s="37"/>
      <c r="L83" s="37"/>
      <c r="M83" s="37"/>
      <c r="N83" s="37"/>
      <c r="O83" s="20" t="str">
        <f aca="false">IF($B83="","",IF($N83&lt;&gt;"","受入済",IF($M83&lt;&gt;"","入荷済（受入待ち）",IF($J83&lt;&gt;"","発注済","未発注"))))</f>
        <v/>
      </c>
      <c r="P83" s="21" t="str">
        <f aca="true">IF($L83="","",IF($M83&lt;&gt;"",$M83-$L83,IF(TODAY()&gt;$L83,TODAY()-$L83,0)))</f>
        <v/>
      </c>
      <c r="Q83" s="8"/>
    </row>
    <row r="84" customFormat="false" ht="18" hidden="false" customHeight="true" outlineLevel="0" collapsed="false">
      <c r="A84" s="33"/>
      <c r="B84" s="33"/>
      <c r="C84" s="10" t="str">
        <f aca="false">IF($B84="","",IFERROR(INDEX(案件管理!$B$3:$B$202,MATCH($B84,案件管理!$A$3:$A$202,0)),"←IDが未登録です"))</f>
        <v/>
      </c>
      <c r="D84" s="8"/>
      <c r="E84" s="8"/>
      <c r="F84" s="59"/>
      <c r="G84" s="38"/>
      <c r="H84" s="23" t="str">
        <f aca="false">IF(N($F84)*N($G84)=0,"",$F84*$G84)</f>
        <v/>
      </c>
      <c r="I84" s="34"/>
      <c r="J84" s="37"/>
      <c r="K84" s="37"/>
      <c r="L84" s="37"/>
      <c r="M84" s="37"/>
      <c r="N84" s="37"/>
      <c r="O84" s="20" t="str">
        <f aca="false">IF($B84="","",IF($N84&lt;&gt;"","受入済",IF($M84&lt;&gt;"","入荷済（受入待ち）",IF($J84&lt;&gt;"","発注済","未発注"))))</f>
        <v/>
      </c>
      <c r="P84" s="21" t="str">
        <f aca="true">IF($L84="","",IF($M84&lt;&gt;"",$M84-$L84,IF(TODAY()&gt;$L84,TODAY()-$L84,0)))</f>
        <v/>
      </c>
      <c r="Q84" s="8"/>
    </row>
    <row r="85" customFormat="false" ht="18" hidden="false" customHeight="true" outlineLevel="0" collapsed="false">
      <c r="A85" s="33"/>
      <c r="B85" s="33"/>
      <c r="C85" s="10" t="str">
        <f aca="false">IF($B85="","",IFERROR(INDEX(案件管理!$B$3:$B$202,MATCH($B85,案件管理!$A$3:$A$202,0)),"←IDが未登録です"))</f>
        <v/>
      </c>
      <c r="D85" s="8"/>
      <c r="E85" s="8"/>
      <c r="F85" s="59"/>
      <c r="G85" s="38"/>
      <c r="H85" s="23" t="str">
        <f aca="false">IF(N($F85)*N($G85)=0,"",$F85*$G85)</f>
        <v/>
      </c>
      <c r="I85" s="34"/>
      <c r="J85" s="37"/>
      <c r="K85" s="37"/>
      <c r="L85" s="37"/>
      <c r="M85" s="37"/>
      <c r="N85" s="37"/>
      <c r="O85" s="20" t="str">
        <f aca="false">IF($B85="","",IF($N85&lt;&gt;"","受入済",IF($M85&lt;&gt;"","入荷済（受入待ち）",IF($J85&lt;&gt;"","発注済","未発注"))))</f>
        <v/>
      </c>
      <c r="P85" s="21" t="str">
        <f aca="true">IF($L85="","",IF($M85&lt;&gt;"",$M85-$L85,IF(TODAY()&gt;$L85,TODAY()-$L85,0)))</f>
        <v/>
      </c>
      <c r="Q85" s="8"/>
    </row>
    <row r="86" customFormat="false" ht="18" hidden="false" customHeight="true" outlineLevel="0" collapsed="false">
      <c r="A86" s="33"/>
      <c r="B86" s="33"/>
      <c r="C86" s="10" t="str">
        <f aca="false">IF($B86="","",IFERROR(INDEX(案件管理!$B$3:$B$202,MATCH($B86,案件管理!$A$3:$A$202,0)),"←IDが未登録です"))</f>
        <v/>
      </c>
      <c r="D86" s="8"/>
      <c r="E86" s="8"/>
      <c r="F86" s="59"/>
      <c r="G86" s="38"/>
      <c r="H86" s="23" t="str">
        <f aca="false">IF(N($F86)*N($G86)=0,"",$F86*$G86)</f>
        <v/>
      </c>
      <c r="I86" s="34"/>
      <c r="J86" s="37"/>
      <c r="K86" s="37"/>
      <c r="L86" s="37"/>
      <c r="M86" s="37"/>
      <c r="N86" s="37"/>
      <c r="O86" s="20" t="str">
        <f aca="false">IF($B86="","",IF($N86&lt;&gt;"","受入済",IF($M86&lt;&gt;"","入荷済（受入待ち）",IF($J86&lt;&gt;"","発注済","未発注"))))</f>
        <v/>
      </c>
      <c r="P86" s="21" t="str">
        <f aca="true">IF($L86="","",IF($M86&lt;&gt;"",$M86-$L86,IF(TODAY()&gt;$L86,TODAY()-$L86,0)))</f>
        <v/>
      </c>
      <c r="Q86" s="8"/>
    </row>
    <row r="87" customFormat="false" ht="18" hidden="false" customHeight="true" outlineLevel="0" collapsed="false">
      <c r="A87" s="33"/>
      <c r="B87" s="33"/>
      <c r="C87" s="10" t="str">
        <f aca="false">IF($B87="","",IFERROR(INDEX(案件管理!$B$3:$B$202,MATCH($B87,案件管理!$A$3:$A$202,0)),"←IDが未登録です"))</f>
        <v/>
      </c>
      <c r="D87" s="8"/>
      <c r="E87" s="8"/>
      <c r="F87" s="59"/>
      <c r="G87" s="38"/>
      <c r="H87" s="23" t="str">
        <f aca="false">IF(N($F87)*N($G87)=0,"",$F87*$G87)</f>
        <v/>
      </c>
      <c r="I87" s="34"/>
      <c r="J87" s="37"/>
      <c r="K87" s="37"/>
      <c r="L87" s="37"/>
      <c r="M87" s="37"/>
      <c r="N87" s="37"/>
      <c r="O87" s="20" t="str">
        <f aca="false">IF($B87="","",IF($N87&lt;&gt;"","受入済",IF($M87&lt;&gt;"","入荷済（受入待ち）",IF($J87&lt;&gt;"","発注済","未発注"))))</f>
        <v/>
      </c>
      <c r="P87" s="21" t="str">
        <f aca="true">IF($L87="","",IF($M87&lt;&gt;"",$M87-$L87,IF(TODAY()&gt;$L87,TODAY()-$L87,0)))</f>
        <v/>
      </c>
      <c r="Q87" s="8"/>
    </row>
    <row r="88" customFormat="false" ht="18" hidden="false" customHeight="true" outlineLevel="0" collapsed="false">
      <c r="A88" s="33"/>
      <c r="B88" s="33"/>
      <c r="C88" s="10" t="str">
        <f aca="false">IF($B88="","",IFERROR(INDEX(案件管理!$B$3:$B$202,MATCH($B88,案件管理!$A$3:$A$202,0)),"←IDが未登録です"))</f>
        <v/>
      </c>
      <c r="D88" s="8"/>
      <c r="E88" s="8"/>
      <c r="F88" s="59"/>
      <c r="G88" s="38"/>
      <c r="H88" s="23" t="str">
        <f aca="false">IF(N($F88)*N($G88)=0,"",$F88*$G88)</f>
        <v/>
      </c>
      <c r="I88" s="34"/>
      <c r="J88" s="37"/>
      <c r="K88" s="37"/>
      <c r="L88" s="37"/>
      <c r="M88" s="37"/>
      <c r="N88" s="37"/>
      <c r="O88" s="20" t="str">
        <f aca="false">IF($B88="","",IF($N88&lt;&gt;"","受入済",IF($M88&lt;&gt;"","入荷済（受入待ち）",IF($J88&lt;&gt;"","発注済","未発注"))))</f>
        <v/>
      </c>
      <c r="P88" s="21" t="str">
        <f aca="true">IF($L88="","",IF($M88&lt;&gt;"",$M88-$L88,IF(TODAY()&gt;$L88,TODAY()-$L88,0)))</f>
        <v/>
      </c>
      <c r="Q88" s="8"/>
    </row>
    <row r="89" customFormat="false" ht="18" hidden="false" customHeight="true" outlineLevel="0" collapsed="false">
      <c r="A89" s="33"/>
      <c r="B89" s="33"/>
      <c r="C89" s="10" t="str">
        <f aca="false">IF($B89="","",IFERROR(INDEX(案件管理!$B$3:$B$202,MATCH($B89,案件管理!$A$3:$A$202,0)),"←IDが未登録です"))</f>
        <v/>
      </c>
      <c r="D89" s="8"/>
      <c r="E89" s="8"/>
      <c r="F89" s="59"/>
      <c r="G89" s="38"/>
      <c r="H89" s="23" t="str">
        <f aca="false">IF(N($F89)*N($G89)=0,"",$F89*$G89)</f>
        <v/>
      </c>
      <c r="I89" s="34"/>
      <c r="J89" s="37"/>
      <c r="K89" s="37"/>
      <c r="L89" s="37"/>
      <c r="M89" s="37"/>
      <c r="N89" s="37"/>
      <c r="O89" s="20" t="str">
        <f aca="false">IF($B89="","",IF($N89&lt;&gt;"","受入済",IF($M89&lt;&gt;"","入荷済（受入待ち）",IF($J89&lt;&gt;"","発注済","未発注"))))</f>
        <v/>
      </c>
      <c r="P89" s="21" t="str">
        <f aca="true">IF($L89="","",IF($M89&lt;&gt;"",$M89-$L89,IF(TODAY()&gt;$L89,TODAY()-$L89,0)))</f>
        <v/>
      </c>
      <c r="Q89" s="8"/>
    </row>
    <row r="90" customFormat="false" ht="18" hidden="false" customHeight="true" outlineLevel="0" collapsed="false">
      <c r="A90" s="33"/>
      <c r="B90" s="33"/>
      <c r="C90" s="10" t="str">
        <f aca="false">IF($B90="","",IFERROR(INDEX(案件管理!$B$3:$B$202,MATCH($B90,案件管理!$A$3:$A$202,0)),"←IDが未登録です"))</f>
        <v/>
      </c>
      <c r="D90" s="8"/>
      <c r="E90" s="8"/>
      <c r="F90" s="59"/>
      <c r="G90" s="38"/>
      <c r="H90" s="23" t="str">
        <f aca="false">IF(N($F90)*N($G90)=0,"",$F90*$G90)</f>
        <v/>
      </c>
      <c r="I90" s="34"/>
      <c r="J90" s="37"/>
      <c r="K90" s="37"/>
      <c r="L90" s="37"/>
      <c r="M90" s="37"/>
      <c r="N90" s="37"/>
      <c r="O90" s="20" t="str">
        <f aca="false">IF($B90="","",IF($N90&lt;&gt;"","受入済",IF($M90&lt;&gt;"","入荷済（受入待ち）",IF($J90&lt;&gt;"","発注済","未発注"))))</f>
        <v/>
      </c>
      <c r="P90" s="21" t="str">
        <f aca="true">IF($L90="","",IF($M90&lt;&gt;"",$M90-$L90,IF(TODAY()&gt;$L90,TODAY()-$L90,0)))</f>
        <v/>
      </c>
      <c r="Q90" s="8"/>
    </row>
    <row r="91" customFormat="false" ht="18" hidden="false" customHeight="true" outlineLevel="0" collapsed="false">
      <c r="A91" s="33"/>
      <c r="B91" s="33"/>
      <c r="C91" s="10" t="str">
        <f aca="false">IF($B91="","",IFERROR(INDEX(案件管理!$B$3:$B$202,MATCH($B91,案件管理!$A$3:$A$202,0)),"←IDが未登録です"))</f>
        <v/>
      </c>
      <c r="D91" s="8"/>
      <c r="E91" s="8"/>
      <c r="F91" s="59"/>
      <c r="G91" s="38"/>
      <c r="H91" s="23" t="str">
        <f aca="false">IF(N($F91)*N($G91)=0,"",$F91*$G91)</f>
        <v/>
      </c>
      <c r="I91" s="34"/>
      <c r="J91" s="37"/>
      <c r="K91" s="37"/>
      <c r="L91" s="37"/>
      <c r="M91" s="37"/>
      <c r="N91" s="37"/>
      <c r="O91" s="20" t="str">
        <f aca="false">IF($B91="","",IF($N91&lt;&gt;"","受入済",IF($M91&lt;&gt;"","入荷済（受入待ち）",IF($J91&lt;&gt;"","発注済","未発注"))))</f>
        <v/>
      </c>
      <c r="P91" s="21" t="str">
        <f aca="true">IF($L91="","",IF($M91&lt;&gt;"",$M91-$L91,IF(TODAY()&gt;$L91,TODAY()-$L91,0)))</f>
        <v/>
      </c>
      <c r="Q91" s="8"/>
    </row>
    <row r="92" customFormat="false" ht="18" hidden="false" customHeight="true" outlineLevel="0" collapsed="false">
      <c r="A92" s="33"/>
      <c r="B92" s="33"/>
      <c r="C92" s="10" t="str">
        <f aca="false">IF($B92="","",IFERROR(INDEX(案件管理!$B$3:$B$202,MATCH($B92,案件管理!$A$3:$A$202,0)),"←IDが未登録です"))</f>
        <v/>
      </c>
      <c r="D92" s="8"/>
      <c r="E92" s="8"/>
      <c r="F92" s="59"/>
      <c r="G92" s="38"/>
      <c r="H92" s="23" t="str">
        <f aca="false">IF(N($F92)*N($G92)=0,"",$F92*$G92)</f>
        <v/>
      </c>
      <c r="I92" s="34"/>
      <c r="J92" s="37"/>
      <c r="K92" s="37"/>
      <c r="L92" s="37"/>
      <c r="M92" s="37"/>
      <c r="N92" s="37"/>
      <c r="O92" s="20" t="str">
        <f aca="false">IF($B92="","",IF($N92&lt;&gt;"","受入済",IF($M92&lt;&gt;"","入荷済（受入待ち）",IF($J92&lt;&gt;"","発注済","未発注"))))</f>
        <v/>
      </c>
      <c r="P92" s="21" t="str">
        <f aca="true">IF($L92="","",IF($M92&lt;&gt;"",$M92-$L92,IF(TODAY()&gt;$L92,TODAY()-$L92,0)))</f>
        <v/>
      </c>
      <c r="Q92" s="8"/>
    </row>
    <row r="93" customFormat="false" ht="18" hidden="false" customHeight="true" outlineLevel="0" collapsed="false">
      <c r="A93" s="33"/>
      <c r="B93" s="33"/>
      <c r="C93" s="10" t="str">
        <f aca="false">IF($B93="","",IFERROR(INDEX(案件管理!$B$3:$B$202,MATCH($B93,案件管理!$A$3:$A$202,0)),"←IDが未登録です"))</f>
        <v/>
      </c>
      <c r="D93" s="8"/>
      <c r="E93" s="8"/>
      <c r="F93" s="59"/>
      <c r="G93" s="38"/>
      <c r="H93" s="23" t="str">
        <f aca="false">IF(N($F93)*N($G93)=0,"",$F93*$G93)</f>
        <v/>
      </c>
      <c r="I93" s="34"/>
      <c r="J93" s="37"/>
      <c r="K93" s="37"/>
      <c r="L93" s="37"/>
      <c r="M93" s="37"/>
      <c r="N93" s="37"/>
      <c r="O93" s="20" t="str">
        <f aca="false">IF($B93="","",IF($N93&lt;&gt;"","受入済",IF($M93&lt;&gt;"","入荷済（受入待ち）",IF($J93&lt;&gt;"","発注済","未発注"))))</f>
        <v/>
      </c>
      <c r="P93" s="21" t="str">
        <f aca="true">IF($L93="","",IF($M93&lt;&gt;"",$M93-$L93,IF(TODAY()&gt;$L93,TODAY()-$L93,0)))</f>
        <v/>
      </c>
      <c r="Q93" s="8"/>
    </row>
    <row r="94" customFormat="false" ht="18" hidden="false" customHeight="true" outlineLevel="0" collapsed="false">
      <c r="A94" s="33"/>
      <c r="B94" s="33"/>
      <c r="C94" s="10" t="str">
        <f aca="false">IF($B94="","",IFERROR(INDEX(案件管理!$B$3:$B$202,MATCH($B94,案件管理!$A$3:$A$202,0)),"←IDが未登録です"))</f>
        <v/>
      </c>
      <c r="D94" s="8"/>
      <c r="E94" s="8"/>
      <c r="F94" s="59"/>
      <c r="G94" s="38"/>
      <c r="H94" s="23" t="str">
        <f aca="false">IF(N($F94)*N($G94)=0,"",$F94*$G94)</f>
        <v/>
      </c>
      <c r="I94" s="34"/>
      <c r="J94" s="37"/>
      <c r="K94" s="37"/>
      <c r="L94" s="37"/>
      <c r="M94" s="37"/>
      <c r="N94" s="37"/>
      <c r="O94" s="20" t="str">
        <f aca="false">IF($B94="","",IF($N94&lt;&gt;"","受入済",IF($M94&lt;&gt;"","入荷済（受入待ち）",IF($J94&lt;&gt;"","発注済","未発注"))))</f>
        <v/>
      </c>
      <c r="P94" s="21" t="str">
        <f aca="true">IF($L94="","",IF($M94&lt;&gt;"",$M94-$L94,IF(TODAY()&gt;$L94,TODAY()-$L94,0)))</f>
        <v/>
      </c>
      <c r="Q94" s="8"/>
    </row>
    <row r="95" customFormat="false" ht="18" hidden="false" customHeight="true" outlineLevel="0" collapsed="false">
      <c r="A95" s="33"/>
      <c r="B95" s="33"/>
      <c r="C95" s="10" t="str">
        <f aca="false">IF($B95="","",IFERROR(INDEX(案件管理!$B$3:$B$202,MATCH($B95,案件管理!$A$3:$A$202,0)),"←IDが未登録です"))</f>
        <v/>
      </c>
      <c r="D95" s="8"/>
      <c r="E95" s="8"/>
      <c r="F95" s="59"/>
      <c r="G95" s="38"/>
      <c r="H95" s="23" t="str">
        <f aca="false">IF(N($F95)*N($G95)=0,"",$F95*$G95)</f>
        <v/>
      </c>
      <c r="I95" s="34"/>
      <c r="J95" s="37"/>
      <c r="K95" s="37"/>
      <c r="L95" s="37"/>
      <c r="M95" s="37"/>
      <c r="N95" s="37"/>
      <c r="O95" s="20" t="str">
        <f aca="false">IF($B95="","",IF($N95&lt;&gt;"","受入済",IF($M95&lt;&gt;"","入荷済（受入待ち）",IF($J95&lt;&gt;"","発注済","未発注"))))</f>
        <v/>
      </c>
      <c r="P95" s="21" t="str">
        <f aca="true">IF($L95="","",IF($M95&lt;&gt;"",$M95-$L95,IF(TODAY()&gt;$L95,TODAY()-$L95,0)))</f>
        <v/>
      </c>
      <c r="Q95" s="8"/>
    </row>
    <row r="96" customFormat="false" ht="18" hidden="false" customHeight="true" outlineLevel="0" collapsed="false">
      <c r="A96" s="33"/>
      <c r="B96" s="33"/>
      <c r="C96" s="10" t="str">
        <f aca="false">IF($B96="","",IFERROR(INDEX(案件管理!$B$3:$B$202,MATCH($B96,案件管理!$A$3:$A$202,0)),"←IDが未登録です"))</f>
        <v/>
      </c>
      <c r="D96" s="8"/>
      <c r="E96" s="8"/>
      <c r="F96" s="59"/>
      <c r="G96" s="38"/>
      <c r="H96" s="23" t="str">
        <f aca="false">IF(N($F96)*N($G96)=0,"",$F96*$G96)</f>
        <v/>
      </c>
      <c r="I96" s="34"/>
      <c r="J96" s="37"/>
      <c r="K96" s="37"/>
      <c r="L96" s="37"/>
      <c r="M96" s="37"/>
      <c r="N96" s="37"/>
      <c r="O96" s="20" t="str">
        <f aca="false">IF($B96="","",IF($N96&lt;&gt;"","受入済",IF($M96&lt;&gt;"","入荷済（受入待ち）",IF($J96&lt;&gt;"","発注済","未発注"))))</f>
        <v/>
      </c>
      <c r="P96" s="21" t="str">
        <f aca="true">IF($L96="","",IF($M96&lt;&gt;"",$M96-$L96,IF(TODAY()&gt;$L96,TODAY()-$L96,0)))</f>
        <v/>
      </c>
      <c r="Q96" s="8"/>
    </row>
    <row r="97" customFormat="false" ht="18" hidden="false" customHeight="true" outlineLevel="0" collapsed="false">
      <c r="A97" s="33"/>
      <c r="B97" s="33"/>
      <c r="C97" s="10" t="str">
        <f aca="false">IF($B97="","",IFERROR(INDEX(案件管理!$B$3:$B$202,MATCH($B97,案件管理!$A$3:$A$202,0)),"←IDが未登録です"))</f>
        <v/>
      </c>
      <c r="D97" s="8"/>
      <c r="E97" s="8"/>
      <c r="F97" s="59"/>
      <c r="G97" s="38"/>
      <c r="H97" s="23" t="str">
        <f aca="false">IF(N($F97)*N($G97)=0,"",$F97*$G97)</f>
        <v/>
      </c>
      <c r="I97" s="34"/>
      <c r="J97" s="37"/>
      <c r="K97" s="37"/>
      <c r="L97" s="37"/>
      <c r="M97" s="37"/>
      <c r="N97" s="37"/>
      <c r="O97" s="20" t="str">
        <f aca="false">IF($B97="","",IF($N97&lt;&gt;"","受入済",IF($M97&lt;&gt;"","入荷済（受入待ち）",IF($J97&lt;&gt;"","発注済","未発注"))))</f>
        <v/>
      </c>
      <c r="P97" s="21" t="str">
        <f aca="true">IF($L97="","",IF($M97&lt;&gt;"",$M97-$L97,IF(TODAY()&gt;$L97,TODAY()-$L97,0)))</f>
        <v/>
      </c>
      <c r="Q97" s="8"/>
    </row>
    <row r="98" customFormat="false" ht="18" hidden="false" customHeight="true" outlineLevel="0" collapsed="false">
      <c r="A98" s="33"/>
      <c r="B98" s="33"/>
      <c r="C98" s="10" t="str">
        <f aca="false">IF($B98="","",IFERROR(INDEX(案件管理!$B$3:$B$202,MATCH($B98,案件管理!$A$3:$A$202,0)),"←IDが未登録です"))</f>
        <v/>
      </c>
      <c r="D98" s="8"/>
      <c r="E98" s="8"/>
      <c r="F98" s="59"/>
      <c r="G98" s="38"/>
      <c r="H98" s="23" t="str">
        <f aca="false">IF(N($F98)*N($G98)=0,"",$F98*$G98)</f>
        <v/>
      </c>
      <c r="I98" s="34"/>
      <c r="J98" s="37"/>
      <c r="K98" s="37"/>
      <c r="L98" s="37"/>
      <c r="M98" s="37"/>
      <c r="N98" s="37"/>
      <c r="O98" s="20" t="str">
        <f aca="false">IF($B98="","",IF($N98&lt;&gt;"","受入済",IF($M98&lt;&gt;"","入荷済（受入待ち）",IF($J98&lt;&gt;"","発注済","未発注"))))</f>
        <v/>
      </c>
      <c r="P98" s="21" t="str">
        <f aca="true">IF($L98="","",IF($M98&lt;&gt;"",$M98-$L98,IF(TODAY()&gt;$L98,TODAY()-$L98,0)))</f>
        <v/>
      </c>
      <c r="Q98" s="8"/>
    </row>
    <row r="99" customFormat="false" ht="18" hidden="false" customHeight="true" outlineLevel="0" collapsed="false">
      <c r="A99" s="33"/>
      <c r="B99" s="33"/>
      <c r="C99" s="10" t="str">
        <f aca="false">IF($B99="","",IFERROR(INDEX(案件管理!$B$3:$B$202,MATCH($B99,案件管理!$A$3:$A$202,0)),"←IDが未登録です"))</f>
        <v/>
      </c>
      <c r="D99" s="8"/>
      <c r="E99" s="8"/>
      <c r="F99" s="59"/>
      <c r="G99" s="38"/>
      <c r="H99" s="23" t="str">
        <f aca="false">IF(N($F99)*N($G99)=0,"",$F99*$G99)</f>
        <v/>
      </c>
      <c r="I99" s="34"/>
      <c r="J99" s="37"/>
      <c r="K99" s="37"/>
      <c r="L99" s="37"/>
      <c r="M99" s="37"/>
      <c r="N99" s="37"/>
      <c r="O99" s="20" t="str">
        <f aca="false">IF($B99="","",IF($N99&lt;&gt;"","受入済",IF($M99&lt;&gt;"","入荷済（受入待ち）",IF($J99&lt;&gt;"","発注済","未発注"))))</f>
        <v/>
      </c>
      <c r="P99" s="21" t="str">
        <f aca="true">IF($L99="","",IF($M99&lt;&gt;"",$M99-$L99,IF(TODAY()&gt;$L99,TODAY()-$L99,0)))</f>
        <v/>
      </c>
      <c r="Q99" s="8"/>
    </row>
    <row r="100" customFormat="false" ht="18" hidden="false" customHeight="true" outlineLevel="0" collapsed="false">
      <c r="A100" s="33"/>
      <c r="B100" s="33"/>
      <c r="C100" s="10" t="str">
        <f aca="false">IF($B100="","",IFERROR(INDEX(案件管理!$B$3:$B$202,MATCH($B100,案件管理!$A$3:$A$202,0)),"←IDが未登録です"))</f>
        <v/>
      </c>
      <c r="D100" s="8"/>
      <c r="E100" s="8"/>
      <c r="F100" s="59"/>
      <c r="G100" s="38"/>
      <c r="H100" s="23" t="str">
        <f aca="false">IF(N($F100)*N($G100)=0,"",$F100*$G100)</f>
        <v/>
      </c>
      <c r="I100" s="34"/>
      <c r="J100" s="37"/>
      <c r="K100" s="37"/>
      <c r="L100" s="37"/>
      <c r="M100" s="37"/>
      <c r="N100" s="37"/>
      <c r="O100" s="20" t="str">
        <f aca="false">IF($B100="","",IF($N100&lt;&gt;"","受入済",IF($M100&lt;&gt;"","入荷済（受入待ち）",IF($J100&lt;&gt;"","発注済","未発注"))))</f>
        <v/>
      </c>
      <c r="P100" s="21" t="str">
        <f aca="true">IF($L100="","",IF($M100&lt;&gt;"",$M100-$L100,IF(TODAY()&gt;$L100,TODAY()-$L100,0)))</f>
        <v/>
      </c>
      <c r="Q100" s="8"/>
    </row>
    <row r="101" customFormat="false" ht="18" hidden="false" customHeight="true" outlineLevel="0" collapsed="false">
      <c r="A101" s="33"/>
      <c r="B101" s="33"/>
      <c r="C101" s="10" t="str">
        <f aca="false">IF($B101="","",IFERROR(INDEX(案件管理!$B$3:$B$202,MATCH($B101,案件管理!$A$3:$A$202,0)),"←IDが未登録です"))</f>
        <v/>
      </c>
      <c r="D101" s="8"/>
      <c r="E101" s="8"/>
      <c r="F101" s="59"/>
      <c r="G101" s="38"/>
      <c r="H101" s="23" t="str">
        <f aca="false">IF(N($F101)*N($G101)=0,"",$F101*$G101)</f>
        <v/>
      </c>
      <c r="I101" s="34"/>
      <c r="J101" s="37"/>
      <c r="K101" s="37"/>
      <c r="L101" s="37"/>
      <c r="M101" s="37"/>
      <c r="N101" s="37"/>
      <c r="O101" s="20" t="str">
        <f aca="false">IF($B101="","",IF($N101&lt;&gt;"","受入済",IF($M101&lt;&gt;"","入荷済（受入待ち）",IF($J101&lt;&gt;"","発注済","未発注"))))</f>
        <v/>
      </c>
      <c r="P101" s="21" t="str">
        <f aca="true">IF($L101="","",IF($M101&lt;&gt;"",$M101-$L101,IF(TODAY()&gt;$L101,TODAY()-$L101,0)))</f>
        <v/>
      </c>
      <c r="Q101" s="8"/>
    </row>
    <row r="102" customFormat="false" ht="18" hidden="false" customHeight="true" outlineLevel="0" collapsed="false">
      <c r="A102" s="33"/>
      <c r="B102" s="33"/>
      <c r="C102" s="10" t="str">
        <f aca="false">IF($B102="","",IFERROR(INDEX(案件管理!$B$3:$B$202,MATCH($B102,案件管理!$A$3:$A$202,0)),"←IDが未登録です"))</f>
        <v/>
      </c>
      <c r="D102" s="8"/>
      <c r="E102" s="8"/>
      <c r="F102" s="59"/>
      <c r="G102" s="38"/>
      <c r="H102" s="23" t="str">
        <f aca="false">IF(N($F102)*N($G102)=0,"",$F102*$G102)</f>
        <v/>
      </c>
      <c r="I102" s="34"/>
      <c r="J102" s="37"/>
      <c r="K102" s="37"/>
      <c r="L102" s="37"/>
      <c r="M102" s="37"/>
      <c r="N102" s="37"/>
      <c r="O102" s="20" t="str">
        <f aca="false">IF($B102="","",IF($N102&lt;&gt;"","受入済",IF($M102&lt;&gt;"","入荷済（受入待ち）",IF($J102&lt;&gt;"","発注済","未発注"))))</f>
        <v/>
      </c>
      <c r="P102" s="21" t="str">
        <f aca="true">IF($L102="","",IF($M102&lt;&gt;"",$M102-$L102,IF(TODAY()&gt;$L102,TODAY()-$L102,0)))</f>
        <v/>
      </c>
      <c r="Q102" s="8"/>
    </row>
    <row r="103" customFormat="false" ht="18" hidden="false" customHeight="true" outlineLevel="0" collapsed="false">
      <c r="A103" s="33"/>
      <c r="B103" s="33"/>
      <c r="C103" s="10" t="str">
        <f aca="false">IF($B103="","",IFERROR(INDEX(案件管理!$B$3:$B$202,MATCH($B103,案件管理!$A$3:$A$202,0)),"←IDが未登録です"))</f>
        <v/>
      </c>
      <c r="D103" s="8"/>
      <c r="E103" s="8"/>
      <c r="F103" s="59"/>
      <c r="G103" s="38"/>
      <c r="H103" s="23" t="str">
        <f aca="false">IF(N($F103)*N($G103)=0,"",$F103*$G103)</f>
        <v/>
      </c>
      <c r="I103" s="34"/>
      <c r="J103" s="37"/>
      <c r="K103" s="37"/>
      <c r="L103" s="37"/>
      <c r="M103" s="37"/>
      <c r="N103" s="37"/>
      <c r="O103" s="20" t="str">
        <f aca="false">IF($B103="","",IF($N103&lt;&gt;"","受入済",IF($M103&lt;&gt;"","入荷済（受入待ち）",IF($J103&lt;&gt;"","発注済","未発注"))))</f>
        <v/>
      </c>
      <c r="P103" s="21" t="str">
        <f aca="true">IF($L103="","",IF($M103&lt;&gt;"",$M103-$L103,IF(TODAY()&gt;$L103,TODAY()-$L103,0)))</f>
        <v/>
      </c>
      <c r="Q103" s="8"/>
    </row>
    <row r="104" customFormat="false" ht="18" hidden="false" customHeight="true" outlineLevel="0" collapsed="false">
      <c r="A104" s="33"/>
      <c r="B104" s="33"/>
      <c r="C104" s="10" t="str">
        <f aca="false">IF($B104="","",IFERROR(INDEX(案件管理!$B$3:$B$202,MATCH($B104,案件管理!$A$3:$A$202,0)),"←IDが未登録です"))</f>
        <v/>
      </c>
      <c r="D104" s="8"/>
      <c r="E104" s="8"/>
      <c r="F104" s="59"/>
      <c r="G104" s="38"/>
      <c r="H104" s="23" t="str">
        <f aca="false">IF(N($F104)*N($G104)=0,"",$F104*$G104)</f>
        <v/>
      </c>
      <c r="I104" s="34"/>
      <c r="J104" s="37"/>
      <c r="K104" s="37"/>
      <c r="L104" s="37"/>
      <c r="M104" s="37"/>
      <c r="N104" s="37"/>
      <c r="O104" s="20" t="str">
        <f aca="false">IF($B104="","",IF($N104&lt;&gt;"","受入済",IF($M104&lt;&gt;"","入荷済（受入待ち）",IF($J104&lt;&gt;"","発注済","未発注"))))</f>
        <v/>
      </c>
      <c r="P104" s="21" t="str">
        <f aca="true">IF($L104="","",IF($M104&lt;&gt;"",$M104-$L104,IF(TODAY()&gt;$L104,TODAY()-$L104,0)))</f>
        <v/>
      </c>
      <c r="Q104" s="8"/>
    </row>
    <row r="105" customFormat="false" ht="18" hidden="false" customHeight="true" outlineLevel="0" collapsed="false">
      <c r="A105" s="33"/>
      <c r="B105" s="33"/>
      <c r="C105" s="10" t="str">
        <f aca="false">IF($B105="","",IFERROR(INDEX(案件管理!$B$3:$B$202,MATCH($B105,案件管理!$A$3:$A$202,0)),"←IDが未登録です"))</f>
        <v/>
      </c>
      <c r="D105" s="8"/>
      <c r="E105" s="8"/>
      <c r="F105" s="59"/>
      <c r="G105" s="38"/>
      <c r="H105" s="23" t="str">
        <f aca="false">IF(N($F105)*N($G105)=0,"",$F105*$G105)</f>
        <v/>
      </c>
      <c r="I105" s="34"/>
      <c r="J105" s="37"/>
      <c r="K105" s="37"/>
      <c r="L105" s="37"/>
      <c r="M105" s="37"/>
      <c r="N105" s="37"/>
      <c r="O105" s="20" t="str">
        <f aca="false">IF($B105="","",IF($N105&lt;&gt;"","受入済",IF($M105&lt;&gt;"","入荷済（受入待ち）",IF($J105&lt;&gt;"","発注済","未発注"))))</f>
        <v/>
      </c>
      <c r="P105" s="21" t="str">
        <f aca="true">IF($L105="","",IF($M105&lt;&gt;"",$M105-$L105,IF(TODAY()&gt;$L105,TODAY()-$L105,0)))</f>
        <v/>
      </c>
      <c r="Q105" s="8"/>
    </row>
    <row r="106" customFormat="false" ht="18" hidden="false" customHeight="true" outlineLevel="0" collapsed="false">
      <c r="A106" s="33"/>
      <c r="B106" s="33"/>
      <c r="C106" s="10" t="str">
        <f aca="false">IF($B106="","",IFERROR(INDEX(案件管理!$B$3:$B$202,MATCH($B106,案件管理!$A$3:$A$202,0)),"←IDが未登録です"))</f>
        <v/>
      </c>
      <c r="D106" s="8"/>
      <c r="E106" s="8"/>
      <c r="F106" s="59"/>
      <c r="G106" s="38"/>
      <c r="H106" s="23" t="str">
        <f aca="false">IF(N($F106)*N($G106)=0,"",$F106*$G106)</f>
        <v/>
      </c>
      <c r="I106" s="34"/>
      <c r="J106" s="37"/>
      <c r="K106" s="37"/>
      <c r="L106" s="37"/>
      <c r="M106" s="37"/>
      <c r="N106" s="37"/>
      <c r="O106" s="20" t="str">
        <f aca="false">IF($B106="","",IF($N106&lt;&gt;"","受入済",IF($M106&lt;&gt;"","入荷済（受入待ち）",IF($J106&lt;&gt;"","発注済","未発注"))))</f>
        <v/>
      </c>
      <c r="P106" s="21" t="str">
        <f aca="true">IF($L106="","",IF($M106&lt;&gt;"",$M106-$L106,IF(TODAY()&gt;$L106,TODAY()-$L106,0)))</f>
        <v/>
      </c>
      <c r="Q106" s="8"/>
    </row>
    <row r="107" customFormat="false" ht="18" hidden="false" customHeight="true" outlineLevel="0" collapsed="false">
      <c r="A107" s="33"/>
      <c r="B107" s="33"/>
      <c r="C107" s="10" t="str">
        <f aca="false">IF($B107="","",IFERROR(INDEX(案件管理!$B$3:$B$202,MATCH($B107,案件管理!$A$3:$A$202,0)),"←IDが未登録です"))</f>
        <v/>
      </c>
      <c r="D107" s="8"/>
      <c r="E107" s="8"/>
      <c r="F107" s="59"/>
      <c r="G107" s="38"/>
      <c r="H107" s="23" t="str">
        <f aca="false">IF(N($F107)*N($G107)=0,"",$F107*$G107)</f>
        <v/>
      </c>
      <c r="I107" s="34"/>
      <c r="J107" s="37"/>
      <c r="K107" s="37"/>
      <c r="L107" s="37"/>
      <c r="M107" s="37"/>
      <c r="N107" s="37"/>
      <c r="O107" s="20" t="str">
        <f aca="false">IF($B107="","",IF($N107&lt;&gt;"","受入済",IF($M107&lt;&gt;"","入荷済（受入待ち）",IF($J107&lt;&gt;"","発注済","未発注"))))</f>
        <v/>
      </c>
      <c r="P107" s="21" t="str">
        <f aca="true">IF($L107="","",IF($M107&lt;&gt;"",$M107-$L107,IF(TODAY()&gt;$L107,TODAY()-$L107,0)))</f>
        <v/>
      </c>
      <c r="Q107" s="8"/>
    </row>
    <row r="108" customFormat="false" ht="18" hidden="false" customHeight="true" outlineLevel="0" collapsed="false">
      <c r="A108" s="33"/>
      <c r="B108" s="33"/>
      <c r="C108" s="10" t="str">
        <f aca="false">IF($B108="","",IFERROR(INDEX(案件管理!$B$3:$B$202,MATCH($B108,案件管理!$A$3:$A$202,0)),"←IDが未登録です"))</f>
        <v/>
      </c>
      <c r="D108" s="8"/>
      <c r="E108" s="8"/>
      <c r="F108" s="59"/>
      <c r="G108" s="38"/>
      <c r="H108" s="23" t="str">
        <f aca="false">IF(N($F108)*N($G108)=0,"",$F108*$G108)</f>
        <v/>
      </c>
      <c r="I108" s="34"/>
      <c r="J108" s="37"/>
      <c r="K108" s="37"/>
      <c r="L108" s="37"/>
      <c r="M108" s="37"/>
      <c r="N108" s="37"/>
      <c r="O108" s="20" t="str">
        <f aca="false">IF($B108="","",IF($N108&lt;&gt;"","受入済",IF($M108&lt;&gt;"","入荷済（受入待ち）",IF($J108&lt;&gt;"","発注済","未発注"))))</f>
        <v/>
      </c>
      <c r="P108" s="21" t="str">
        <f aca="true">IF($L108="","",IF($M108&lt;&gt;"",$M108-$L108,IF(TODAY()&gt;$L108,TODAY()-$L108,0)))</f>
        <v/>
      </c>
      <c r="Q108" s="8"/>
    </row>
    <row r="109" customFormat="false" ht="18" hidden="false" customHeight="true" outlineLevel="0" collapsed="false">
      <c r="A109" s="33"/>
      <c r="B109" s="33"/>
      <c r="C109" s="10" t="str">
        <f aca="false">IF($B109="","",IFERROR(INDEX(案件管理!$B$3:$B$202,MATCH($B109,案件管理!$A$3:$A$202,0)),"←IDが未登録です"))</f>
        <v/>
      </c>
      <c r="D109" s="8"/>
      <c r="E109" s="8"/>
      <c r="F109" s="59"/>
      <c r="G109" s="38"/>
      <c r="H109" s="23" t="str">
        <f aca="false">IF(N($F109)*N($G109)=0,"",$F109*$G109)</f>
        <v/>
      </c>
      <c r="I109" s="34"/>
      <c r="J109" s="37"/>
      <c r="K109" s="37"/>
      <c r="L109" s="37"/>
      <c r="M109" s="37"/>
      <c r="N109" s="37"/>
      <c r="O109" s="20" t="str">
        <f aca="false">IF($B109="","",IF($N109&lt;&gt;"","受入済",IF($M109&lt;&gt;"","入荷済（受入待ち）",IF($J109&lt;&gt;"","発注済","未発注"))))</f>
        <v/>
      </c>
      <c r="P109" s="21" t="str">
        <f aca="true">IF($L109="","",IF($M109&lt;&gt;"",$M109-$L109,IF(TODAY()&gt;$L109,TODAY()-$L109,0)))</f>
        <v/>
      </c>
      <c r="Q109" s="8"/>
    </row>
    <row r="110" customFormat="false" ht="18" hidden="false" customHeight="true" outlineLevel="0" collapsed="false">
      <c r="A110" s="33"/>
      <c r="B110" s="33"/>
      <c r="C110" s="10" t="str">
        <f aca="false">IF($B110="","",IFERROR(INDEX(案件管理!$B$3:$B$202,MATCH($B110,案件管理!$A$3:$A$202,0)),"←IDが未登録です"))</f>
        <v/>
      </c>
      <c r="D110" s="8"/>
      <c r="E110" s="8"/>
      <c r="F110" s="59"/>
      <c r="G110" s="38"/>
      <c r="H110" s="23" t="str">
        <f aca="false">IF(N($F110)*N($G110)=0,"",$F110*$G110)</f>
        <v/>
      </c>
      <c r="I110" s="34"/>
      <c r="J110" s="37"/>
      <c r="K110" s="37"/>
      <c r="L110" s="37"/>
      <c r="M110" s="37"/>
      <c r="N110" s="37"/>
      <c r="O110" s="20" t="str">
        <f aca="false">IF($B110="","",IF($N110&lt;&gt;"","受入済",IF($M110&lt;&gt;"","入荷済（受入待ち）",IF($J110&lt;&gt;"","発注済","未発注"))))</f>
        <v/>
      </c>
      <c r="P110" s="21" t="str">
        <f aca="true">IF($L110="","",IF($M110&lt;&gt;"",$M110-$L110,IF(TODAY()&gt;$L110,TODAY()-$L110,0)))</f>
        <v/>
      </c>
      <c r="Q110" s="8"/>
    </row>
    <row r="111" customFormat="false" ht="18" hidden="false" customHeight="true" outlineLevel="0" collapsed="false">
      <c r="A111" s="33"/>
      <c r="B111" s="33"/>
      <c r="C111" s="10" t="str">
        <f aca="false">IF($B111="","",IFERROR(INDEX(案件管理!$B$3:$B$202,MATCH($B111,案件管理!$A$3:$A$202,0)),"←IDが未登録です"))</f>
        <v/>
      </c>
      <c r="D111" s="8"/>
      <c r="E111" s="8"/>
      <c r="F111" s="59"/>
      <c r="G111" s="38"/>
      <c r="H111" s="23" t="str">
        <f aca="false">IF(N($F111)*N($G111)=0,"",$F111*$G111)</f>
        <v/>
      </c>
      <c r="I111" s="34"/>
      <c r="J111" s="37"/>
      <c r="K111" s="37"/>
      <c r="L111" s="37"/>
      <c r="M111" s="37"/>
      <c r="N111" s="37"/>
      <c r="O111" s="20" t="str">
        <f aca="false">IF($B111="","",IF($N111&lt;&gt;"","受入済",IF($M111&lt;&gt;"","入荷済（受入待ち）",IF($J111&lt;&gt;"","発注済","未発注"))))</f>
        <v/>
      </c>
      <c r="P111" s="21" t="str">
        <f aca="true">IF($L111="","",IF($M111&lt;&gt;"",$M111-$L111,IF(TODAY()&gt;$L111,TODAY()-$L111,0)))</f>
        <v/>
      </c>
      <c r="Q111" s="8"/>
    </row>
    <row r="112" customFormat="false" ht="18" hidden="false" customHeight="true" outlineLevel="0" collapsed="false">
      <c r="A112" s="33"/>
      <c r="B112" s="33"/>
      <c r="C112" s="10" t="str">
        <f aca="false">IF($B112="","",IFERROR(INDEX(案件管理!$B$3:$B$202,MATCH($B112,案件管理!$A$3:$A$202,0)),"←IDが未登録です"))</f>
        <v/>
      </c>
      <c r="D112" s="8"/>
      <c r="E112" s="8"/>
      <c r="F112" s="59"/>
      <c r="G112" s="38"/>
      <c r="H112" s="23" t="str">
        <f aca="false">IF(N($F112)*N($G112)=0,"",$F112*$G112)</f>
        <v/>
      </c>
      <c r="I112" s="34"/>
      <c r="J112" s="37"/>
      <c r="K112" s="37"/>
      <c r="L112" s="37"/>
      <c r="M112" s="37"/>
      <c r="N112" s="37"/>
      <c r="O112" s="20" t="str">
        <f aca="false">IF($B112="","",IF($N112&lt;&gt;"","受入済",IF($M112&lt;&gt;"","入荷済（受入待ち）",IF($J112&lt;&gt;"","発注済","未発注"))))</f>
        <v/>
      </c>
      <c r="P112" s="21" t="str">
        <f aca="true">IF($L112="","",IF($M112&lt;&gt;"",$M112-$L112,IF(TODAY()&gt;$L112,TODAY()-$L112,0)))</f>
        <v/>
      </c>
      <c r="Q112" s="8"/>
    </row>
    <row r="113" customFormat="false" ht="18" hidden="false" customHeight="true" outlineLevel="0" collapsed="false">
      <c r="A113" s="33"/>
      <c r="B113" s="33"/>
      <c r="C113" s="10" t="str">
        <f aca="false">IF($B113="","",IFERROR(INDEX(案件管理!$B$3:$B$202,MATCH($B113,案件管理!$A$3:$A$202,0)),"←IDが未登録です"))</f>
        <v/>
      </c>
      <c r="D113" s="8"/>
      <c r="E113" s="8"/>
      <c r="F113" s="59"/>
      <c r="G113" s="38"/>
      <c r="H113" s="23" t="str">
        <f aca="false">IF(N($F113)*N($G113)=0,"",$F113*$G113)</f>
        <v/>
      </c>
      <c r="I113" s="34"/>
      <c r="J113" s="37"/>
      <c r="K113" s="37"/>
      <c r="L113" s="37"/>
      <c r="M113" s="37"/>
      <c r="N113" s="37"/>
      <c r="O113" s="20" t="str">
        <f aca="false">IF($B113="","",IF($N113&lt;&gt;"","受入済",IF($M113&lt;&gt;"","入荷済（受入待ち）",IF($J113&lt;&gt;"","発注済","未発注"))))</f>
        <v/>
      </c>
      <c r="P113" s="21" t="str">
        <f aca="true">IF($L113="","",IF($M113&lt;&gt;"",$M113-$L113,IF(TODAY()&gt;$L113,TODAY()-$L113,0)))</f>
        <v/>
      </c>
      <c r="Q113" s="8"/>
    </row>
    <row r="114" customFormat="false" ht="18" hidden="false" customHeight="true" outlineLevel="0" collapsed="false">
      <c r="A114" s="33"/>
      <c r="B114" s="33"/>
      <c r="C114" s="10" t="str">
        <f aca="false">IF($B114="","",IFERROR(INDEX(案件管理!$B$3:$B$202,MATCH($B114,案件管理!$A$3:$A$202,0)),"←IDが未登録です"))</f>
        <v/>
      </c>
      <c r="D114" s="8"/>
      <c r="E114" s="8"/>
      <c r="F114" s="59"/>
      <c r="G114" s="38"/>
      <c r="H114" s="23" t="str">
        <f aca="false">IF(N($F114)*N($G114)=0,"",$F114*$G114)</f>
        <v/>
      </c>
      <c r="I114" s="34"/>
      <c r="J114" s="37"/>
      <c r="K114" s="37"/>
      <c r="L114" s="37"/>
      <c r="M114" s="37"/>
      <c r="N114" s="37"/>
      <c r="O114" s="20" t="str">
        <f aca="false">IF($B114="","",IF($N114&lt;&gt;"","受入済",IF($M114&lt;&gt;"","入荷済（受入待ち）",IF($J114&lt;&gt;"","発注済","未発注"))))</f>
        <v/>
      </c>
      <c r="P114" s="21" t="str">
        <f aca="true">IF($L114="","",IF($M114&lt;&gt;"",$M114-$L114,IF(TODAY()&gt;$L114,TODAY()-$L114,0)))</f>
        <v/>
      </c>
      <c r="Q114" s="8"/>
    </row>
    <row r="115" customFormat="false" ht="18" hidden="false" customHeight="true" outlineLevel="0" collapsed="false">
      <c r="A115" s="33"/>
      <c r="B115" s="33"/>
      <c r="C115" s="10" t="str">
        <f aca="false">IF($B115="","",IFERROR(INDEX(案件管理!$B$3:$B$202,MATCH($B115,案件管理!$A$3:$A$202,0)),"←IDが未登録です"))</f>
        <v/>
      </c>
      <c r="D115" s="8"/>
      <c r="E115" s="8"/>
      <c r="F115" s="59"/>
      <c r="G115" s="38"/>
      <c r="H115" s="23" t="str">
        <f aca="false">IF(N($F115)*N($G115)=0,"",$F115*$G115)</f>
        <v/>
      </c>
      <c r="I115" s="34"/>
      <c r="J115" s="37"/>
      <c r="K115" s="37"/>
      <c r="L115" s="37"/>
      <c r="M115" s="37"/>
      <c r="N115" s="37"/>
      <c r="O115" s="20" t="str">
        <f aca="false">IF($B115="","",IF($N115&lt;&gt;"","受入済",IF($M115&lt;&gt;"","入荷済（受入待ち）",IF($J115&lt;&gt;"","発注済","未発注"))))</f>
        <v/>
      </c>
      <c r="P115" s="21" t="str">
        <f aca="true">IF($L115="","",IF($M115&lt;&gt;"",$M115-$L115,IF(TODAY()&gt;$L115,TODAY()-$L115,0)))</f>
        <v/>
      </c>
      <c r="Q115" s="8"/>
    </row>
    <row r="116" customFormat="false" ht="18" hidden="false" customHeight="true" outlineLevel="0" collapsed="false">
      <c r="A116" s="33"/>
      <c r="B116" s="33"/>
      <c r="C116" s="10" t="str">
        <f aca="false">IF($B116="","",IFERROR(INDEX(案件管理!$B$3:$B$202,MATCH($B116,案件管理!$A$3:$A$202,0)),"←IDが未登録です"))</f>
        <v/>
      </c>
      <c r="D116" s="8"/>
      <c r="E116" s="8"/>
      <c r="F116" s="59"/>
      <c r="G116" s="38"/>
      <c r="H116" s="23" t="str">
        <f aca="false">IF(N($F116)*N($G116)=0,"",$F116*$G116)</f>
        <v/>
      </c>
      <c r="I116" s="34"/>
      <c r="J116" s="37"/>
      <c r="K116" s="37"/>
      <c r="L116" s="37"/>
      <c r="M116" s="37"/>
      <c r="N116" s="37"/>
      <c r="O116" s="20" t="str">
        <f aca="false">IF($B116="","",IF($N116&lt;&gt;"","受入済",IF($M116&lt;&gt;"","入荷済（受入待ち）",IF($J116&lt;&gt;"","発注済","未発注"))))</f>
        <v/>
      </c>
      <c r="P116" s="21" t="str">
        <f aca="true">IF($L116="","",IF($M116&lt;&gt;"",$M116-$L116,IF(TODAY()&gt;$L116,TODAY()-$L116,0)))</f>
        <v/>
      </c>
      <c r="Q116" s="8"/>
    </row>
    <row r="117" customFormat="false" ht="18" hidden="false" customHeight="true" outlineLevel="0" collapsed="false">
      <c r="A117" s="33"/>
      <c r="B117" s="33"/>
      <c r="C117" s="10" t="str">
        <f aca="false">IF($B117="","",IFERROR(INDEX(案件管理!$B$3:$B$202,MATCH($B117,案件管理!$A$3:$A$202,0)),"←IDが未登録です"))</f>
        <v/>
      </c>
      <c r="D117" s="8"/>
      <c r="E117" s="8"/>
      <c r="F117" s="59"/>
      <c r="G117" s="38"/>
      <c r="H117" s="23" t="str">
        <f aca="false">IF(N($F117)*N($G117)=0,"",$F117*$G117)</f>
        <v/>
      </c>
      <c r="I117" s="34"/>
      <c r="J117" s="37"/>
      <c r="K117" s="37"/>
      <c r="L117" s="37"/>
      <c r="M117" s="37"/>
      <c r="N117" s="37"/>
      <c r="O117" s="20" t="str">
        <f aca="false">IF($B117="","",IF($N117&lt;&gt;"","受入済",IF($M117&lt;&gt;"","入荷済（受入待ち）",IF($J117&lt;&gt;"","発注済","未発注"))))</f>
        <v/>
      </c>
      <c r="P117" s="21" t="str">
        <f aca="true">IF($L117="","",IF($M117&lt;&gt;"",$M117-$L117,IF(TODAY()&gt;$L117,TODAY()-$L117,0)))</f>
        <v/>
      </c>
      <c r="Q117" s="8"/>
    </row>
    <row r="118" customFormat="false" ht="18" hidden="false" customHeight="true" outlineLevel="0" collapsed="false">
      <c r="A118" s="33"/>
      <c r="B118" s="33"/>
      <c r="C118" s="10" t="str">
        <f aca="false">IF($B118="","",IFERROR(INDEX(案件管理!$B$3:$B$202,MATCH($B118,案件管理!$A$3:$A$202,0)),"←IDが未登録です"))</f>
        <v/>
      </c>
      <c r="D118" s="8"/>
      <c r="E118" s="8"/>
      <c r="F118" s="59"/>
      <c r="G118" s="38"/>
      <c r="H118" s="23" t="str">
        <f aca="false">IF(N($F118)*N($G118)=0,"",$F118*$G118)</f>
        <v/>
      </c>
      <c r="I118" s="34"/>
      <c r="J118" s="37"/>
      <c r="K118" s="37"/>
      <c r="L118" s="37"/>
      <c r="M118" s="37"/>
      <c r="N118" s="37"/>
      <c r="O118" s="20" t="str">
        <f aca="false">IF($B118="","",IF($N118&lt;&gt;"","受入済",IF($M118&lt;&gt;"","入荷済（受入待ち）",IF($J118&lt;&gt;"","発注済","未発注"))))</f>
        <v/>
      </c>
      <c r="P118" s="21" t="str">
        <f aca="true">IF($L118="","",IF($M118&lt;&gt;"",$M118-$L118,IF(TODAY()&gt;$L118,TODAY()-$L118,0)))</f>
        <v/>
      </c>
      <c r="Q118" s="8"/>
    </row>
    <row r="119" customFormat="false" ht="18" hidden="false" customHeight="true" outlineLevel="0" collapsed="false">
      <c r="A119" s="33"/>
      <c r="B119" s="33"/>
      <c r="C119" s="10" t="str">
        <f aca="false">IF($B119="","",IFERROR(INDEX(案件管理!$B$3:$B$202,MATCH($B119,案件管理!$A$3:$A$202,0)),"←IDが未登録です"))</f>
        <v/>
      </c>
      <c r="D119" s="8"/>
      <c r="E119" s="8"/>
      <c r="F119" s="59"/>
      <c r="G119" s="38"/>
      <c r="H119" s="23" t="str">
        <f aca="false">IF(N($F119)*N($G119)=0,"",$F119*$G119)</f>
        <v/>
      </c>
      <c r="I119" s="34"/>
      <c r="J119" s="37"/>
      <c r="K119" s="37"/>
      <c r="L119" s="37"/>
      <c r="M119" s="37"/>
      <c r="N119" s="37"/>
      <c r="O119" s="20" t="str">
        <f aca="false">IF($B119="","",IF($N119&lt;&gt;"","受入済",IF($M119&lt;&gt;"","入荷済（受入待ち）",IF($J119&lt;&gt;"","発注済","未発注"))))</f>
        <v/>
      </c>
      <c r="P119" s="21" t="str">
        <f aca="true">IF($L119="","",IF($M119&lt;&gt;"",$M119-$L119,IF(TODAY()&gt;$L119,TODAY()-$L119,0)))</f>
        <v/>
      </c>
      <c r="Q119" s="8"/>
    </row>
    <row r="120" customFormat="false" ht="18" hidden="false" customHeight="true" outlineLevel="0" collapsed="false">
      <c r="A120" s="33"/>
      <c r="B120" s="33"/>
      <c r="C120" s="10" t="str">
        <f aca="false">IF($B120="","",IFERROR(INDEX(案件管理!$B$3:$B$202,MATCH($B120,案件管理!$A$3:$A$202,0)),"←IDが未登録です"))</f>
        <v/>
      </c>
      <c r="D120" s="8"/>
      <c r="E120" s="8"/>
      <c r="F120" s="59"/>
      <c r="G120" s="38"/>
      <c r="H120" s="23" t="str">
        <f aca="false">IF(N($F120)*N($G120)=0,"",$F120*$G120)</f>
        <v/>
      </c>
      <c r="I120" s="34"/>
      <c r="J120" s="37"/>
      <c r="K120" s="37"/>
      <c r="L120" s="37"/>
      <c r="M120" s="37"/>
      <c r="N120" s="37"/>
      <c r="O120" s="20" t="str">
        <f aca="false">IF($B120="","",IF($N120&lt;&gt;"","受入済",IF($M120&lt;&gt;"","入荷済（受入待ち）",IF($J120&lt;&gt;"","発注済","未発注"))))</f>
        <v/>
      </c>
      <c r="P120" s="21" t="str">
        <f aca="true">IF($L120="","",IF($M120&lt;&gt;"",$M120-$L120,IF(TODAY()&gt;$L120,TODAY()-$L120,0)))</f>
        <v/>
      </c>
      <c r="Q120" s="8"/>
    </row>
    <row r="121" customFormat="false" ht="18" hidden="false" customHeight="true" outlineLevel="0" collapsed="false">
      <c r="A121" s="33"/>
      <c r="B121" s="33"/>
      <c r="C121" s="10" t="str">
        <f aca="false">IF($B121="","",IFERROR(INDEX(案件管理!$B$3:$B$202,MATCH($B121,案件管理!$A$3:$A$202,0)),"←IDが未登録です"))</f>
        <v/>
      </c>
      <c r="D121" s="8"/>
      <c r="E121" s="8"/>
      <c r="F121" s="59"/>
      <c r="G121" s="38"/>
      <c r="H121" s="23" t="str">
        <f aca="false">IF(N($F121)*N($G121)=0,"",$F121*$G121)</f>
        <v/>
      </c>
      <c r="I121" s="34"/>
      <c r="J121" s="37"/>
      <c r="K121" s="37"/>
      <c r="L121" s="37"/>
      <c r="M121" s="37"/>
      <c r="N121" s="37"/>
      <c r="O121" s="20" t="str">
        <f aca="false">IF($B121="","",IF($N121&lt;&gt;"","受入済",IF($M121&lt;&gt;"","入荷済（受入待ち）",IF($J121&lt;&gt;"","発注済","未発注"))))</f>
        <v/>
      </c>
      <c r="P121" s="21" t="str">
        <f aca="true">IF($L121="","",IF($M121&lt;&gt;"",$M121-$L121,IF(TODAY()&gt;$L121,TODAY()-$L121,0)))</f>
        <v/>
      </c>
      <c r="Q121" s="8"/>
    </row>
    <row r="122" customFormat="false" ht="18" hidden="false" customHeight="true" outlineLevel="0" collapsed="false">
      <c r="A122" s="33"/>
      <c r="B122" s="33"/>
      <c r="C122" s="10" t="str">
        <f aca="false">IF($B122="","",IFERROR(INDEX(案件管理!$B$3:$B$202,MATCH($B122,案件管理!$A$3:$A$202,0)),"←IDが未登録です"))</f>
        <v/>
      </c>
      <c r="D122" s="8"/>
      <c r="E122" s="8"/>
      <c r="F122" s="59"/>
      <c r="G122" s="38"/>
      <c r="H122" s="23" t="str">
        <f aca="false">IF(N($F122)*N($G122)=0,"",$F122*$G122)</f>
        <v/>
      </c>
      <c r="I122" s="34"/>
      <c r="J122" s="37"/>
      <c r="K122" s="37"/>
      <c r="L122" s="37"/>
      <c r="M122" s="37"/>
      <c r="N122" s="37"/>
      <c r="O122" s="20" t="str">
        <f aca="false">IF($B122="","",IF($N122&lt;&gt;"","受入済",IF($M122&lt;&gt;"","入荷済（受入待ち）",IF($J122&lt;&gt;"","発注済","未発注"))))</f>
        <v/>
      </c>
      <c r="P122" s="21" t="str">
        <f aca="true">IF($L122="","",IF($M122&lt;&gt;"",$M122-$L122,IF(TODAY()&gt;$L122,TODAY()-$L122,0)))</f>
        <v/>
      </c>
      <c r="Q122" s="8"/>
    </row>
    <row r="123" customFormat="false" ht="18" hidden="false" customHeight="true" outlineLevel="0" collapsed="false">
      <c r="A123" s="33"/>
      <c r="B123" s="33"/>
      <c r="C123" s="10" t="str">
        <f aca="false">IF($B123="","",IFERROR(INDEX(案件管理!$B$3:$B$202,MATCH($B123,案件管理!$A$3:$A$202,0)),"←IDが未登録です"))</f>
        <v/>
      </c>
      <c r="D123" s="8"/>
      <c r="E123" s="8"/>
      <c r="F123" s="59"/>
      <c r="G123" s="38"/>
      <c r="H123" s="23" t="str">
        <f aca="false">IF(N($F123)*N($G123)=0,"",$F123*$G123)</f>
        <v/>
      </c>
      <c r="I123" s="34"/>
      <c r="J123" s="37"/>
      <c r="K123" s="37"/>
      <c r="L123" s="37"/>
      <c r="M123" s="37"/>
      <c r="N123" s="37"/>
      <c r="O123" s="20" t="str">
        <f aca="false">IF($B123="","",IF($N123&lt;&gt;"","受入済",IF($M123&lt;&gt;"","入荷済（受入待ち）",IF($J123&lt;&gt;"","発注済","未発注"))))</f>
        <v/>
      </c>
      <c r="P123" s="21" t="str">
        <f aca="true">IF($L123="","",IF($M123&lt;&gt;"",$M123-$L123,IF(TODAY()&gt;$L123,TODAY()-$L123,0)))</f>
        <v/>
      </c>
      <c r="Q123" s="8"/>
    </row>
    <row r="124" customFormat="false" ht="18" hidden="false" customHeight="true" outlineLevel="0" collapsed="false">
      <c r="A124" s="33"/>
      <c r="B124" s="33"/>
      <c r="C124" s="10" t="str">
        <f aca="false">IF($B124="","",IFERROR(INDEX(案件管理!$B$3:$B$202,MATCH($B124,案件管理!$A$3:$A$202,0)),"←IDが未登録です"))</f>
        <v/>
      </c>
      <c r="D124" s="8"/>
      <c r="E124" s="8"/>
      <c r="F124" s="59"/>
      <c r="G124" s="38"/>
      <c r="H124" s="23" t="str">
        <f aca="false">IF(N($F124)*N($G124)=0,"",$F124*$G124)</f>
        <v/>
      </c>
      <c r="I124" s="34"/>
      <c r="J124" s="37"/>
      <c r="K124" s="37"/>
      <c r="L124" s="37"/>
      <c r="M124" s="37"/>
      <c r="N124" s="37"/>
      <c r="O124" s="20" t="str">
        <f aca="false">IF($B124="","",IF($N124&lt;&gt;"","受入済",IF($M124&lt;&gt;"","入荷済（受入待ち）",IF($J124&lt;&gt;"","発注済","未発注"))))</f>
        <v/>
      </c>
      <c r="P124" s="21" t="str">
        <f aca="true">IF($L124="","",IF($M124&lt;&gt;"",$M124-$L124,IF(TODAY()&gt;$L124,TODAY()-$L124,0)))</f>
        <v/>
      </c>
      <c r="Q124" s="8"/>
    </row>
    <row r="125" customFormat="false" ht="18" hidden="false" customHeight="true" outlineLevel="0" collapsed="false">
      <c r="A125" s="33"/>
      <c r="B125" s="33"/>
      <c r="C125" s="10" t="str">
        <f aca="false">IF($B125="","",IFERROR(INDEX(案件管理!$B$3:$B$202,MATCH($B125,案件管理!$A$3:$A$202,0)),"←IDが未登録です"))</f>
        <v/>
      </c>
      <c r="D125" s="8"/>
      <c r="E125" s="8"/>
      <c r="F125" s="59"/>
      <c r="G125" s="38"/>
      <c r="H125" s="23" t="str">
        <f aca="false">IF(N($F125)*N($G125)=0,"",$F125*$G125)</f>
        <v/>
      </c>
      <c r="I125" s="34"/>
      <c r="J125" s="37"/>
      <c r="K125" s="37"/>
      <c r="L125" s="37"/>
      <c r="M125" s="37"/>
      <c r="N125" s="37"/>
      <c r="O125" s="20" t="str">
        <f aca="false">IF($B125="","",IF($N125&lt;&gt;"","受入済",IF($M125&lt;&gt;"","入荷済（受入待ち）",IF($J125&lt;&gt;"","発注済","未発注"))))</f>
        <v/>
      </c>
      <c r="P125" s="21" t="str">
        <f aca="true">IF($L125="","",IF($M125&lt;&gt;"",$M125-$L125,IF(TODAY()&gt;$L125,TODAY()-$L125,0)))</f>
        <v/>
      </c>
      <c r="Q125" s="8"/>
    </row>
    <row r="126" customFormat="false" ht="18" hidden="false" customHeight="true" outlineLevel="0" collapsed="false">
      <c r="A126" s="33"/>
      <c r="B126" s="33"/>
      <c r="C126" s="10" t="str">
        <f aca="false">IF($B126="","",IFERROR(INDEX(案件管理!$B$3:$B$202,MATCH($B126,案件管理!$A$3:$A$202,0)),"←IDが未登録です"))</f>
        <v/>
      </c>
      <c r="D126" s="8"/>
      <c r="E126" s="8"/>
      <c r="F126" s="59"/>
      <c r="G126" s="38"/>
      <c r="H126" s="23" t="str">
        <f aca="false">IF(N($F126)*N($G126)=0,"",$F126*$G126)</f>
        <v/>
      </c>
      <c r="I126" s="34"/>
      <c r="J126" s="37"/>
      <c r="K126" s="37"/>
      <c r="L126" s="37"/>
      <c r="M126" s="37"/>
      <c r="N126" s="37"/>
      <c r="O126" s="20" t="str">
        <f aca="false">IF($B126="","",IF($N126&lt;&gt;"","受入済",IF($M126&lt;&gt;"","入荷済（受入待ち）",IF($J126&lt;&gt;"","発注済","未発注"))))</f>
        <v/>
      </c>
      <c r="P126" s="21" t="str">
        <f aca="true">IF($L126="","",IF($M126&lt;&gt;"",$M126-$L126,IF(TODAY()&gt;$L126,TODAY()-$L126,0)))</f>
        <v/>
      </c>
      <c r="Q126" s="8"/>
    </row>
    <row r="127" customFormat="false" ht="18" hidden="false" customHeight="true" outlineLevel="0" collapsed="false">
      <c r="A127" s="33"/>
      <c r="B127" s="33"/>
      <c r="C127" s="10" t="str">
        <f aca="false">IF($B127="","",IFERROR(INDEX(案件管理!$B$3:$B$202,MATCH($B127,案件管理!$A$3:$A$202,0)),"←IDが未登録です"))</f>
        <v/>
      </c>
      <c r="D127" s="8"/>
      <c r="E127" s="8"/>
      <c r="F127" s="59"/>
      <c r="G127" s="38"/>
      <c r="H127" s="23" t="str">
        <f aca="false">IF(N($F127)*N($G127)=0,"",$F127*$G127)</f>
        <v/>
      </c>
      <c r="I127" s="34"/>
      <c r="J127" s="37"/>
      <c r="K127" s="37"/>
      <c r="L127" s="37"/>
      <c r="M127" s="37"/>
      <c r="N127" s="37"/>
      <c r="O127" s="20" t="str">
        <f aca="false">IF($B127="","",IF($N127&lt;&gt;"","受入済",IF($M127&lt;&gt;"","入荷済（受入待ち）",IF($J127&lt;&gt;"","発注済","未発注"))))</f>
        <v/>
      </c>
      <c r="P127" s="21" t="str">
        <f aca="true">IF($L127="","",IF($M127&lt;&gt;"",$M127-$L127,IF(TODAY()&gt;$L127,TODAY()-$L127,0)))</f>
        <v/>
      </c>
      <c r="Q127" s="8"/>
    </row>
    <row r="128" customFormat="false" ht="18" hidden="false" customHeight="true" outlineLevel="0" collapsed="false">
      <c r="A128" s="33"/>
      <c r="B128" s="33"/>
      <c r="C128" s="10" t="str">
        <f aca="false">IF($B128="","",IFERROR(INDEX(案件管理!$B$3:$B$202,MATCH($B128,案件管理!$A$3:$A$202,0)),"←IDが未登録です"))</f>
        <v/>
      </c>
      <c r="D128" s="8"/>
      <c r="E128" s="8"/>
      <c r="F128" s="59"/>
      <c r="G128" s="38"/>
      <c r="H128" s="23" t="str">
        <f aca="false">IF(N($F128)*N($G128)=0,"",$F128*$G128)</f>
        <v/>
      </c>
      <c r="I128" s="34"/>
      <c r="J128" s="37"/>
      <c r="K128" s="37"/>
      <c r="L128" s="37"/>
      <c r="M128" s="37"/>
      <c r="N128" s="37"/>
      <c r="O128" s="20" t="str">
        <f aca="false">IF($B128="","",IF($N128&lt;&gt;"","受入済",IF($M128&lt;&gt;"","入荷済（受入待ち）",IF($J128&lt;&gt;"","発注済","未発注"))))</f>
        <v/>
      </c>
      <c r="P128" s="21" t="str">
        <f aca="true">IF($L128="","",IF($M128&lt;&gt;"",$M128-$L128,IF(TODAY()&gt;$L128,TODAY()-$L128,0)))</f>
        <v/>
      </c>
      <c r="Q128" s="8"/>
    </row>
    <row r="129" customFormat="false" ht="18" hidden="false" customHeight="true" outlineLevel="0" collapsed="false">
      <c r="A129" s="33"/>
      <c r="B129" s="33"/>
      <c r="C129" s="10" t="str">
        <f aca="false">IF($B129="","",IFERROR(INDEX(案件管理!$B$3:$B$202,MATCH($B129,案件管理!$A$3:$A$202,0)),"←IDが未登録です"))</f>
        <v/>
      </c>
      <c r="D129" s="8"/>
      <c r="E129" s="8"/>
      <c r="F129" s="59"/>
      <c r="G129" s="38"/>
      <c r="H129" s="23" t="str">
        <f aca="false">IF(N($F129)*N($G129)=0,"",$F129*$G129)</f>
        <v/>
      </c>
      <c r="I129" s="34"/>
      <c r="J129" s="37"/>
      <c r="K129" s="37"/>
      <c r="L129" s="37"/>
      <c r="M129" s="37"/>
      <c r="N129" s="37"/>
      <c r="O129" s="20" t="str">
        <f aca="false">IF($B129="","",IF($N129&lt;&gt;"","受入済",IF($M129&lt;&gt;"","入荷済（受入待ち）",IF($J129&lt;&gt;"","発注済","未発注"))))</f>
        <v/>
      </c>
      <c r="P129" s="21" t="str">
        <f aca="true">IF($L129="","",IF($M129&lt;&gt;"",$M129-$L129,IF(TODAY()&gt;$L129,TODAY()-$L129,0)))</f>
        <v/>
      </c>
      <c r="Q129" s="8"/>
    </row>
    <row r="130" customFormat="false" ht="18" hidden="false" customHeight="true" outlineLevel="0" collapsed="false">
      <c r="A130" s="33"/>
      <c r="B130" s="33"/>
      <c r="C130" s="10" t="str">
        <f aca="false">IF($B130="","",IFERROR(INDEX(案件管理!$B$3:$B$202,MATCH($B130,案件管理!$A$3:$A$202,0)),"←IDが未登録です"))</f>
        <v/>
      </c>
      <c r="D130" s="8"/>
      <c r="E130" s="8"/>
      <c r="F130" s="59"/>
      <c r="G130" s="38"/>
      <c r="H130" s="23" t="str">
        <f aca="false">IF(N($F130)*N($G130)=0,"",$F130*$G130)</f>
        <v/>
      </c>
      <c r="I130" s="34"/>
      <c r="J130" s="37"/>
      <c r="K130" s="37"/>
      <c r="L130" s="37"/>
      <c r="M130" s="37"/>
      <c r="N130" s="37"/>
      <c r="O130" s="20" t="str">
        <f aca="false">IF($B130="","",IF($N130&lt;&gt;"","受入済",IF($M130&lt;&gt;"","入荷済（受入待ち）",IF($J130&lt;&gt;"","発注済","未発注"))))</f>
        <v/>
      </c>
      <c r="P130" s="21" t="str">
        <f aca="true">IF($L130="","",IF($M130&lt;&gt;"",$M130-$L130,IF(TODAY()&gt;$L130,TODAY()-$L130,0)))</f>
        <v/>
      </c>
      <c r="Q130" s="8"/>
    </row>
    <row r="131" customFormat="false" ht="18" hidden="false" customHeight="true" outlineLevel="0" collapsed="false">
      <c r="A131" s="33"/>
      <c r="B131" s="33"/>
      <c r="C131" s="10" t="str">
        <f aca="false">IF($B131="","",IFERROR(INDEX(案件管理!$B$3:$B$202,MATCH($B131,案件管理!$A$3:$A$202,0)),"←IDが未登録です"))</f>
        <v/>
      </c>
      <c r="D131" s="8"/>
      <c r="E131" s="8"/>
      <c r="F131" s="59"/>
      <c r="G131" s="38"/>
      <c r="H131" s="23" t="str">
        <f aca="false">IF(N($F131)*N($G131)=0,"",$F131*$G131)</f>
        <v/>
      </c>
      <c r="I131" s="34"/>
      <c r="J131" s="37"/>
      <c r="K131" s="37"/>
      <c r="L131" s="37"/>
      <c r="M131" s="37"/>
      <c r="N131" s="37"/>
      <c r="O131" s="20" t="str">
        <f aca="false">IF($B131="","",IF($N131&lt;&gt;"","受入済",IF($M131&lt;&gt;"","入荷済（受入待ち）",IF($J131&lt;&gt;"","発注済","未発注"))))</f>
        <v/>
      </c>
      <c r="P131" s="21" t="str">
        <f aca="true">IF($L131="","",IF($M131&lt;&gt;"",$M131-$L131,IF(TODAY()&gt;$L131,TODAY()-$L131,0)))</f>
        <v/>
      </c>
      <c r="Q131" s="8"/>
    </row>
    <row r="132" customFormat="false" ht="18" hidden="false" customHeight="true" outlineLevel="0" collapsed="false">
      <c r="A132" s="33"/>
      <c r="B132" s="33"/>
      <c r="C132" s="10" t="str">
        <f aca="false">IF($B132="","",IFERROR(INDEX(案件管理!$B$3:$B$202,MATCH($B132,案件管理!$A$3:$A$202,0)),"←IDが未登録です"))</f>
        <v/>
      </c>
      <c r="D132" s="8"/>
      <c r="E132" s="8"/>
      <c r="F132" s="59"/>
      <c r="G132" s="38"/>
      <c r="H132" s="23" t="str">
        <f aca="false">IF(N($F132)*N($G132)=0,"",$F132*$G132)</f>
        <v/>
      </c>
      <c r="I132" s="34"/>
      <c r="J132" s="37"/>
      <c r="K132" s="37"/>
      <c r="L132" s="37"/>
      <c r="M132" s="37"/>
      <c r="N132" s="37"/>
      <c r="O132" s="20" t="str">
        <f aca="false">IF($B132="","",IF($N132&lt;&gt;"","受入済",IF($M132&lt;&gt;"","入荷済（受入待ち）",IF($J132&lt;&gt;"","発注済","未発注"))))</f>
        <v/>
      </c>
      <c r="P132" s="21" t="str">
        <f aca="true">IF($L132="","",IF($M132&lt;&gt;"",$M132-$L132,IF(TODAY()&gt;$L132,TODAY()-$L132,0)))</f>
        <v/>
      </c>
      <c r="Q132" s="8"/>
    </row>
    <row r="133" customFormat="false" ht="18" hidden="false" customHeight="true" outlineLevel="0" collapsed="false">
      <c r="A133" s="33"/>
      <c r="B133" s="33"/>
      <c r="C133" s="10" t="str">
        <f aca="false">IF($B133="","",IFERROR(INDEX(案件管理!$B$3:$B$202,MATCH($B133,案件管理!$A$3:$A$202,0)),"←IDが未登録です"))</f>
        <v/>
      </c>
      <c r="D133" s="8"/>
      <c r="E133" s="8"/>
      <c r="F133" s="59"/>
      <c r="G133" s="38"/>
      <c r="H133" s="23" t="str">
        <f aca="false">IF(N($F133)*N($G133)=0,"",$F133*$G133)</f>
        <v/>
      </c>
      <c r="I133" s="34"/>
      <c r="J133" s="37"/>
      <c r="K133" s="37"/>
      <c r="L133" s="37"/>
      <c r="M133" s="37"/>
      <c r="N133" s="37"/>
      <c r="O133" s="20" t="str">
        <f aca="false">IF($B133="","",IF($N133&lt;&gt;"","受入済",IF($M133&lt;&gt;"","入荷済（受入待ち）",IF($J133&lt;&gt;"","発注済","未発注"))))</f>
        <v/>
      </c>
      <c r="P133" s="21" t="str">
        <f aca="true">IF($L133="","",IF($M133&lt;&gt;"",$M133-$L133,IF(TODAY()&gt;$L133,TODAY()-$L133,0)))</f>
        <v/>
      </c>
      <c r="Q133" s="8"/>
    </row>
    <row r="134" customFormat="false" ht="18" hidden="false" customHeight="true" outlineLevel="0" collapsed="false">
      <c r="A134" s="33"/>
      <c r="B134" s="33"/>
      <c r="C134" s="10" t="str">
        <f aca="false">IF($B134="","",IFERROR(INDEX(案件管理!$B$3:$B$202,MATCH($B134,案件管理!$A$3:$A$202,0)),"←IDが未登録です"))</f>
        <v/>
      </c>
      <c r="D134" s="8"/>
      <c r="E134" s="8"/>
      <c r="F134" s="59"/>
      <c r="G134" s="38"/>
      <c r="H134" s="23" t="str">
        <f aca="false">IF(N($F134)*N($G134)=0,"",$F134*$G134)</f>
        <v/>
      </c>
      <c r="I134" s="34"/>
      <c r="J134" s="37"/>
      <c r="K134" s="37"/>
      <c r="L134" s="37"/>
      <c r="M134" s="37"/>
      <c r="N134" s="37"/>
      <c r="O134" s="20" t="str">
        <f aca="false">IF($B134="","",IF($N134&lt;&gt;"","受入済",IF($M134&lt;&gt;"","入荷済（受入待ち）",IF($J134&lt;&gt;"","発注済","未発注"))))</f>
        <v/>
      </c>
      <c r="P134" s="21" t="str">
        <f aca="true">IF($L134="","",IF($M134&lt;&gt;"",$M134-$L134,IF(TODAY()&gt;$L134,TODAY()-$L134,0)))</f>
        <v/>
      </c>
      <c r="Q134" s="8"/>
    </row>
    <row r="135" customFormat="false" ht="18" hidden="false" customHeight="true" outlineLevel="0" collapsed="false">
      <c r="A135" s="33"/>
      <c r="B135" s="33"/>
      <c r="C135" s="10" t="str">
        <f aca="false">IF($B135="","",IFERROR(INDEX(案件管理!$B$3:$B$202,MATCH($B135,案件管理!$A$3:$A$202,0)),"←IDが未登録です"))</f>
        <v/>
      </c>
      <c r="D135" s="8"/>
      <c r="E135" s="8"/>
      <c r="F135" s="59"/>
      <c r="G135" s="38"/>
      <c r="H135" s="23" t="str">
        <f aca="false">IF(N($F135)*N($G135)=0,"",$F135*$G135)</f>
        <v/>
      </c>
      <c r="I135" s="34"/>
      <c r="J135" s="37"/>
      <c r="K135" s="37"/>
      <c r="L135" s="37"/>
      <c r="M135" s="37"/>
      <c r="N135" s="37"/>
      <c r="O135" s="20" t="str">
        <f aca="false">IF($B135="","",IF($N135&lt;&gt;"","受入済",IF($M135&lt;&gt;"","入荷済（受入待ち）",IF($J135&lt;&gt;"","発注済","未発注"))))</f>
        <v/>
      </c>
      <c r="P135" s="21" t="str">
        <f aca="true">IF($L135="","",IF($M135&lt;&gt;"",$M135-$L135,IF(TODAY()&gt;$L135,TODAY()-$L135,0)))</f>
        <v/>
      </c>
      <c r="Q135" s="8"/>
    </row>
    <row r="136" customFormat="false" ht="18" hidden="false" customHeight="true" outlineLevel="0" collapsed="false">
      <c r="A136" s="33"/>
      <c r="B136" s="33"/>
      <c r="C136" s="10" t="str">
        <f aca="false">IF($B136="","",IFERROR(INDEX(案件管理!$B$3:$B$202,MATCH($B136,案件管理!$A$3:$A$202,0)),"←IDが未登録です"))</f>
        <v/>
      </c>
      <c r="D136" s="8"/>
      <c r="E136" s="8"/>
      <c r="F136" s="59"/>
      <c r="G136" s="38"/>
      <c r="H136" s="23" t="str">
        <f aca="false">IF(N($F136)*N($G136)=0,"",$F136*$G136)</f>
        <v/>
      </c>
      <c r="I136" s="34"/>
      <c r="J136" s="37"/>
      <c r="K136" s="37"/>
      <c r="L136" s="37"/>
      <c r="M136" s="37"/>
      <c r="N136" s="37"/>
      <c r="O136" s="20" t="str">
        <f aca="false">IF($B136="","",IF($N136&lt;&gt;"","受入済",IF($M136&lt;&gt;"","入荷済（受入待ち）",IF($J136&lt;&gt;"","発注済","未発注"))))</f>
        <v/>
      </c>
      <c r="P136" s="21" t="str">
        <f aca="true">IF($L136="","",IF($M136&lt;&gt;"",$M136-$L136,IF(TODAY()&gt;$L136,TODAY()-$L136,0)))</f>
        <v/>
      </c>
      <c r="Q136" s="8"/>
    </row>
    <row r="137" customFormat="false" ht="18" hidden="false" customHeight="true" outlineLevel="0" collapsed="false">
      <c r="A137" s="33"/>
      <c r="B137" s="33"/>
      <c r="C137" s="10" t="str">
        <f aca="false">IF($B137="","",IFERROR(INDEX(案件管理!$B$3:$B$202,MATCH($B137,案件管理!$A$3:$A$202,0)),"←IDが未登録です"))</f>
        <v/>
      </c>
      <c r="D137" s="8"/>
      <c r="E137" s="8"/>
      <c r="F137" s="59"/>
      <c r="G137" s="38"/>
      <c r="H137" s="23" t="str">
        <f aca="false">IF(N($F137)*N($G137)=0,"",$F137*$G137)</f>
        <v/>
      </c>
      <c r="I137" s="34"/>
      <c r="J137" s="37"/>
      <c r="K137" s="37"/>
      <c r="L137" s="37"/>
      <c r="M137" s="37"/>
      <c r="N137" s="37"/>
      <c r="O137" s="20" t="str">
        <f aca="false">IF($B137="","",IF($N137&lt;&gt;"","受入済",IF($M137&lt;&gt;"","入荷済（受入待ち）",IF($J137&lt;&gt;"","発注済","未発注"))))</f>
        <v/>
      </c>
      <c r="P137" s="21" t="str">
        <f aca="true">IF($L137="","",IF($M137&lt;&gt;"",$M137-$L137,IF(TODAY()&gt;$L137,TODAY()-$L137,0)))</f>
        <v/>
      </c>
      <c r="Q137" s="8"/>
    </row>
    <row r="138" customFormat="false" ht="18" hidden="false" customHeight="true" outlineLevel="0" collapsed="false">
      <c r="A138" s="33"/>
      <c r="B138" s="33"/>
      <c r="C138" s="10" t="str">
        <f aca="false">IF($B138="","",IFERROR(INDEX(案件管理!$B$3:$B$202,MATCH($B138,案件管理!$A$3:$A$202,0)),"←IDが未登録です"))</f>
        <v/>
      </c>
      <c r="D138" s="8"/>
      <c r="E138" s="8"/>
      <c r="F138" s="59"/>
      <c r="G138" s="38"/>
      <c r="H138" s="23" t="str">
        <f aca="false">IF(N($F138)*N($G138)=0,"",$F138*$G138)</f>
        <v/>
      </c>
      <c r="I138" s="34"/>
      <c r="J138" s="37"/>
      <c r="K138" s="37"/>
      <c r="L138" s="37"/>
      <c r="M138" s="37"/>
      <c r="N138" s="37"/>
      <c r="O138" s="20" t="str">
        <f aca="false">IF($B138="","",IF($N138&lt;&gt;"","受入済",IF($M138&lt;&gt;"","入荷済（受入待ち）",IF($J138&lt;&gt;"","発注済","未発注"))))</f>
        <v/>
      </c>
      <c r="P138" s="21" t="str">
        <f aca="true">IF($L138="","",IF($M138&lt;&gt;"",$M138-$L138,IF(TODAY()&gt;$L138,TODAY()-$L138,0)))</f>
        <v/>
      </c>
      <c r="Q138" s="8"/>
    </row>
    <row r="139" customFormat="false" ht="18" hidden="false" customHeight="true" outlineLevel="0" collapsed="false">
      <c r="A139" s="33"/>
      <c r="B139" s="33"/>
      <c r="C139" s="10" t="str">
        <f aca="false">IF($B139="","",IFERROR(INDEX(案件管理!$B$3:$B$202,MATCH($B139,案件管理!$A$3:$A$202,0)),"←IDが未登録です"))</f>
        <v/>
      </c>
      <c r="D139" s="8"/>
      <c r="E139" s="8"/>
      <c r="F139" s="59"/>
      <c r="G139" s="38"/>
      <c r="H139" s="23" t="str">
        <f aca="false">IF(N($F139)*N($G139)=0,"",$F139*$G139)</f>
        <v/>
      </c>
      <c r="I139" s="34"/>
      <c r="J139" s="37"/>
      <c r="K139" s="37"/>
      <c r="L139" s="37"/>
      <c r="M139" s="37"/>
      <c r="N139" s="37"/>
      <c r="O139" s="20" t="str">
        <f aca="false">IF($B139="","",IF($N139&lt;&gt;"","受入済",IF($M139&lt;&gt;"","入荷済（受入待ち）",IF($J139&lt;&gt;"","発注済","未発注"))))</f>
        <v/>
      </c>
      <c r="P139" s="21" t="str">
        <f aca="true">IF($L139="","",IF($M139&lt;&gt;"",$M139-$L139,IF(TODAY()&gt;$L139,TODAY()-$L139,0)))</f>
        <v/>
      </c>
      <c r="Q139" s="8"/>
    </row>
    <row r="140" customFormat="false" ht="18" hidden="false" customHeight="true" outlineLevel="0" collapsed="false">
      <c r="A140" s="33"/>
      <c r="B140" s="33"/>
      <c r="C140" s="10" t="str">
        <f aca="false">IF($B140="","",IFERROR(INDEX(案件管理!$B$3:$B$202,MATCH($B140,案件管理!$A$3:$A$202,0)),"←IDが未登録です"))</f>
        <v/>
      </c>
      <c r="D140" s="8"/>
      <c r="E140" s="8"/>
      <c r="F140" s="59"/>
      <c r="G140" s="38"/>
      <c r="H140" s="23" t="str">
        <f aca="false">IF(N($F140)*N($G140)=0,"",$F140*$G140)</f>
        <v/>
      </c>
      <c r="I140" s="34"/>
      <c r="J140" s="37"/>
      <c r="K140" s="37"/>
      <c r="L140" s="37"/>
      <c r="M140" s="37"/>
      <c r="N140" s="37"/>
      <c r="O140" s="20" t="str">
        <f aca="false">IF($B140="","",IF($N140&lt;&gt;"","受入済",IF($M140&lt;&gt;"","入荷済（受入待ち）",IF($J140&lt;&gt;"","発注済","未発注"))))</f>
        <v/>
      </c>
      <c r="P140" s="21" t="str">
        <f aca="true">IF($L140="","",IF($M140&lt;&gt;"",$M140-$L140,IF(TODAY()&gt;$L140,TODAY()-$L140,0)))</f>
        <v/>
      </c>
      <c r="Q140" s="8"/>
    </row>
    <row r="141" customFormat="false" ht="18" hidden="false" customHeight="true" outlineLevel="0" collapsed="false">
      <c r="A141" s="33"/>
      <c r="B141" s="33"/>
      <c r="C141" s="10" t="str">
        <f aca="false">IF($B141="","",IFERROR(INDEX(案件管理!$B$3:$B$202,MATCH($B141,案件管理!$A$3:$A$202,0)),"←IDが未登録です"))</f>
        <v/>
      </c>
      <c r="D141" s="8"/>
      <c r="E141" s="8"/>
      <c r="F141" s="59"/>
      <c r="G141" s="38"/>
      <c r="H141" s="23" t="str">
        <f aca="false">IF(N($F141)*N($G141)=0,"",$F141*$G141)</f>
        <v/>
      </c>
      <c r="I141" s="34"/>
      <c r="J141" s="37"/>
      <c r="K141" s="37"/>
      <c r="L141" s="37"/>
      <c r="M141" s="37"/>
      <c r="N141" s="37"/>
      <c r="O141" s="20" t="str">
        <f aca="false">IF($B141="","",IF($N141&lt;&gt;"","受入済",IF($M141&lt;&gt;"","入荷済（受入待ち）",IF($J141&lt;&gt;"","発注済","未発注"))))</f>
        <v/>
      </c>
      <c r="P141" s="21" t="str">
        <f aca="true">IF($L141="","",IF($M141&lt;&gt;"",$M141-$L141,IF(TODAY()&gt;$L141,TODAY()-$L141,0)))</f>
        <v/>
      </c>
      <c r="Q141" s="8"/>
    </row>
    <row r="142" customFormat="false" ht="18" hidden="false" customHeight="true" outlineLevel="0" collapsed="false">
      <c r="A142" s="33"/>
      <c r="B142" s="33"/>
      <c r="C142" s="10" t="str">
        <f aca="false">IF($B142="","",IFERROR(INDEX(案件管理!$B$3:$B$202,MATCH($B142,案件管理!$A$3:$A$202,0)),"←IDが未登録です"))</f>
        <v/>
      </c>
      <c r="D142" s="8"/>
      <c r="E142" s="8"/>
      <c r="F142" s="59"/>
      <c r="G142" s="38"/>
      <c r="H142" s="23" t="str">
        <f aca="false">IF(N($F142)*N($G142)=0,"",$F142*$G142)</f>
        <v/>
      </c>
      <c r="I142" s="34"/>
      <c r="J142" s="37"/>
      <c r="K142" s="37"/>
      <c r="L142" s="37"/>
      <c r="M142" s="37"/>
      <c r="N142" s="37"/>
      <c r="O142" s="20" t="str">
        <f aca="false">IF($B142="","",IF($N142&lt;&gt;"","受入済",IF($M142&lt;&gt;"","入荷済（受入待ち）",IF($J142&lt;&gt;"","発注済","未発注"))))</f>
        <v/>
      </c>
      <c r="P142" s="21" t="str">
        <f aca="true">IF($L142="","",IF($M142&lt;&gt;"",$M142-$L142,IF(TODAY()&gt;$L142,TODAY()-$L142,0)))</f>
        <v/>
      </c>
      <c r="Q142" s="8"/>
    </row>
    <row r="143" customFormat="false" ht="18" hidden="false" customHeight="true" outlineLevel="0" collapsed="false">
      <c r="A143" s="33"/>
      <c r="B143" s="33"/>
      <c r="C143" s="10" t="str">
        <f aca="false">IF($B143="","",IFERROR(INDEX(案件管理!$B$3:$B$202,MATCH($B143,案件管理!$A$3:$A$202,0)),"←IDが未登録です"))</f>
        <v/>
      </c>
      <c r="D143" s="8"/>
      <c r="E143" s="8"/>
      <c r="F143" s="59"/>
      <c r="G143" s="38"/>
      <c r="H143" s="23" t="str">
        <f aca="false">IF(N($F143)*N($G143)=0,"",$F143*$G143)</f>
        <v/>
      </c>
      <c r="I143" s="34"/>
      <c r="J143" s="37"/>
      <c r="K143" s="37"/>
      <c r="L143" s="37"/>
      <c r="M143" s="37"/>
      <c r="N143" s="37"/>
      <c r="O143" s="20" t="str">
        <f aca="false">IF($B143="","",IF($N143&lt;&gt;"","受入済",IF($M143&lt;&gt;"","入荷済（受入待ち）",IF($J143&lt;&gt;"","発注済","未発注"))))</f>
        <v/>
      </c>
      <c r="P143" s="21" t="str">
        <f aca="true">IF($L143="","",IF($M143&lt;&gt;"",$M143-$L143,IF(TODAY()&gt;$L143,TODAY()-$L143,0)))</f>
        <v/>
      </c>
      <c r="Q143" s="8"/>
    </row>
    <row r="144" customFormat="false" ht="18" hidden="false" customHeight="true" outlineLevel="0" collapsed="false">
      <c r="A144" s="33"/>
      <c r="B144" s="33"/>
      <c r="C144" s="10" t="str">
        <f aca="false">IF($B144="","",IFERROR(INDEX(案件管理!$B$3:$B$202,MATCH($B144,案件管理!$A$3:$A$202,0)),"←IDが未登録です"))</f>
        <v/>
      </c>
      <c r="D144" s="8"/>
      <c r="E144" s="8"/>
      <c r="F144" s="59"/>
      <c r="G144" s="38"/>
      <c r="H144" s="23" t="str">
        <f aca="false">IF(N($F144)*N($G144)=0,"",$F144*$G144)</f>
        <v/>
      </c>
      <c r="I144" s="34"/>
      <c r="J144" s="37"/>
      <c r="K144" s="37"/>
      <c r="L144" s="37"/>
      <c r="M144" s="37"/>
      <c r="N144" s="37"/>
      <c r="O144" s="20" t="str">
        <f aca="false">IF($B144="","",IF($N144&lt;&gt;"","受入済",IF($M144&lt;&gt;"","入荷済（受入待ち）",IF($J144&lt;&gt;"","発注済","未発注"))))</f>
        <v/>
      </c>
      <c r="P144" s="21" t="str">
        <f aca="true">IF($L144="","",IF($M144&lt;&gt;"",$M144-$L144,IF(TODAY()&gt;$L144,TODAY()-$L144,0)))</f>
        <v/>
      </c>
      <c r="Q144" s="8"/>
    </row>
    <row r="145" customFormat="false" ht="18" hidden="false" customHeight="true" outlineLevel="0" collapsed="false">
      <c r="A145" s="33"/>
      <c r="B145" s="33"/>
      <c r="C145" s="10" t="str">
        <f aca="false">IF($B145="","",IFERROR(INDEX(案件管理!$B$3:$B$202,MATCH($B145,案件管理!$A$3:$A$202,0)),"←IDが未登録です"))</f>
        <v/>
      </c>
      <c r="D145" s="8"/>
      <c r="E145" s="8"/>
      <c r="F145" s="59"/>
      <c r="G145" s="38"/>
      <c r="H145" s="23" t="str">
        <f aca="false">IF(N($F145)*N($G145)=0,"",$F145*$G145)</f>
        <v/>
      </c>
      <c r="I145" s="34"/>
      <c r="J145" s="37"/>
      <c r="K145" s="37"/>
      <c r="L145" s="37"/>
      <c r="M145" s="37"/>
      <c r="N145" s="37"/>
      <c r="O145" s="20" t="str">
        <f aca="false">IF($B145="","",IF($N145&lt;&gt;"","受入済",IF($M145&lt;&gt;"","入荷済（受入待ち）",IF($J145&lt;&gt;"","発注済","未発注"))))</f>
        <v/>
      </c>
      <c r="P145" s="21" t="str">
        <f aca="true">IF($L145="","",IF($M145&lt;&gt;"",$M145-$L145,IF(TODAY()&gt;$L145,TODAY()-$L145,0)))</f>
        <v/>
      </c>
      <c r="Q145" s="8"/>
    </row>
    <row r="146" customFormat="false" ht="18" hidden="false" customHeight="true" outlineLevel="0" collapsed="false">
      <c r="A146" s="33"/>
      <c r="B146" s="33"/>
      <c r="C146" s="10" t="str">
        <f aca="false">IF($B146="","",IFERROR(INDEX(案件管理!$B$3:$B$202,MATCH($B146,案件管理!$A$3:$A$202,0)),"←IDが未登録です"))</f>
        <v/>
      </c>
      <c r="D146" s="8"/>
      <c r="E146" s="8"/>
      <c r="F146" s="59"/>
      <c r="G146" s="38"/>
      <c r="H146" s="23" t="str">
        <f aca="false">IF(N($F146)*N($G146)=0,"",$F146*$G146)</f>
        <v/>
      </c>
      <c r="I146" s="34"/>
      <c r="J146" s="37"/>
      <c r="K146" s="37"/>
      <c r="L146" s="37"/>
      <c r="M146" s="37"/>
      <c r="N146" s="37"/>
      <c r="O146" s="20" t="str">
        <f aca="false">IF($B146="","",IF($N146&lt;&gt;"","受入済",IF($M146&lt;&gt;"","入荷済（受入待ち）",IF($J146&lt;&gt;"","発注済","未発注"))))</f>
        <v/>
      </c>
      <c r="P146" s="21" t="str">
        <f aca="true">IF($L146="","",IF($M146&lt;&gt;"",$M146-$L146,IF(TODAY()&gt;$L146,TODAY()-$L146,0)))</f>
        <v/>
      </c>
      <c r="Q146" s="8"/>
    </row>
    <row r="147" customFormat="false" ht="18" hidden="false" customHeight="true" outlineLevel="0" collapsed="false">
      <c r="A147" s="33"/>
      <c r="B147" s="33"/>
      <c r="C147" s="10" t="str">
        <f aca="false">IF($B147="","",IFERROR(INDEX(案件管理!$B$3:$B$202,MATCH($B147,案件管理!$A$3:$A$202,0)),"←IDが未登録です"))</f>
        <v/>
      </c>
      <c r="D147" s="8"/>
      <c r="E147" s="8"/>
      <c r="F147" s="59"/>
      <c r="G147" s="38"/>
      <c r="H147" s="23" t="str">
        <f aca="false">IF(N($F147)*N($G147)=0,"",$F147*$G147)</f>
        <v/>
      </c>
      <c r="I147" s="34"/>
      <c r="J147" s="37"/>
      <c r="K147" s="37"/>
      <c r="L147" s="37"/>
      <c r="M147" s="37"/>
      <c r="N147" s="37"/>
      <c r="O147" s="20" t="str">
        <f aca="false">IF($B147="","",IF($N147&lt;&gt;"","受入済",IF($M147&lt;&gt;"","入荷済（受入待ち）",IF($J147&lt;&gt;"","発注済","未発注"))))</f>
        <v/>
      </c>
      <c r="P147" s="21" t="str">
        <f aca="true">IF($L147="","",IF($M147&lt;&gt;"",$M147-$L147,IF(TODAY()&gt;$L147,TODAY()-$L147,0)))</f>
        <v/>
      </c>
      <c r="Q147" s="8"/>
    </row>
    <row r="148" customFormat="false" ht="18" hidden="false" customHeight="true" outlineLevel="0" collapsed="false">
      <c r="A148" s="33"/>
      <c r="B148" s="33"/>
      <c r="C148" s="10" t="str">
        <f aca="false">IF($B148="","",IFERROR(INDEX(案件管理!$B$3:$B$202,MATCH($B148,案件管理!$A$3:$A$202,0)),"←IDが未登録です"))</f>
        <v/>
      </c>
      <c r="D148" s="8"/>
      <c r="E148" s="8"/>
      <c r="F148" s="59"/>
      <c r="G148" s="38"/>
      <c r="H148" s="23" t="str">
        <f aca="false">IF(N($F148)*N($G148)=0,"",$F148*$G148)</f>
        <v/>
      </c>
      <c r="I148" s="34"/>
      <c r="J148" s="37"/>
      <c r="K148" s="37"/>
      <c r="L148" s="37"/>
      <c r="M148" s="37"/>
      <c r="N148" s="37"/>
      <c r="O148" s="20" t="str">
        <f aca="false">IF($B148="","",IF($N148&lt;&gt;"","受入済",IF($M148&lt;&gt;"","入荷済（受入待ち）",IF($J148&lt;&gt;"","発注済","未発注"))))</f>
        <v/>
      </c>
      <c r="P148" s="21" t="str">
        <f aca="true">IF($L148="","",IF($M148&lt;&gt;"",$M148-$L148,IF(TODAY()&gt;$L148,TODAY()-$L148,0)))</f>
        <v/>
      </c>
      <c r="Q148" s="8"/>
    </row>
    <row r="149" customFormat="false" ht="18" hidden="false" customHeight="true" outlineLevel="0" collapsed="false">
      <c r="A149" s="33"/>
      <c r="B149" s="33"/>
      <c r="C149" s="10" t="str">
        <f aca="false">IF($B149="","",IFERROR(INDEX(案件管理!$B$3:$B$202,MATCH($B149,案件管理!$A$3:$A$202,0)),"←IDが未登録です"))</f>
        <v/>
      </c>
      <c r="D149" s="8"/>
      <c r="E149" s="8"/>
      <c r="F149" s="59"/>
      <c r="G149" s="38"/>
      <c r="H149" s="23" t="str">
        <f aca="false">IF(N($F149)*N($G149)=0,"",$F149*$G149)</f>
        <v/>
      </c>
      <c r="I149" s="34"/>
      <c r="J149" s="37"/>
      <c r="K149" s="37"/>
      <c r="L149" s="37"/>
      <c r="M149" s="37"/>
      <c r="N149" s="37"/>
      <c r="O149" s="20" t="str">
        <f aca="false">IF($B149="","",IF($N149&lt;&gt;"","受入済",IF($M149&lt;&gt;"","入荷済（受入待ち）",IF($J149&lt;&gt;"","発注済","未発注"))))</f>
        <v/>
      </c>
      <c r="P149" s="21" t="str">
        <f aca="true">IF($L149="","",IF($M149&lt;&gt;"",$M149-$L149,IF(TODAY()&gt;$L149,TODAY()-$L149,0)))</f>
        <v/>
      </c>
      <c r="Q149" s="8"/>
    </row>
    <row r="150" customFormat="false" ht="18" hidden="false" customHeight="true" outlineLevel="0" collapsed="false">
      <c r="A150" s="33"/>
      <c r="B150" s="33"/>
      <c r="C150" s="10" t="str">
        <f aca="false">IF($B150="","",IFERROR(INDEX(案件管理!$B$3:$B$202,MATCH($B150,案件管理!$A$3:$A$202,0)),"←IDが未登録です"))</f>
        <v/>
      </c>
      <c r="D150" s="8"/>
      <c r="E150" s="8"/>
      <c r="F150" s="59"/>
      <c r="G150" s="38"/>
      <c r="H150" s="23" t="str">
        <f aca="false">IF(N($F150)*N($G150)=0,"",$F150*$G150)</f>
        <v/>
      </c>
      <c r="I150" s="34"/>
      <c r="J150" s="37"/>
      <c r="K150" s="37"/>
      <c r="L150" s="37"/>
      <c r="M150" s="37"/>
      <c r="N150" s="37"/>
      <c r="O150" s="20" t="str">
        <f aca="false">IF($B150="","",IF($N150&lt;&gt;"","受入済",IF($M150&lt;&gt;"","入荷済（受入待ち）",IF($J150&lt;&gt;"","発注済","未発注"))))</f>
        <v/>
      </c>
      <c r="P150" s="21" t="str">
        <f aca="true">IF($L150="","",IF($M150&lt;&gt;"",$M150-$L150,IF(TODAY()&gt;$L150,TODAY()-$L150,0)))</f>
        <v/>
      </c>
      <c r="Q150" s="8"/>
    </row>
    <row r="151" customFormat="false" ht="18" hidden="false" customHeight="true" outlineLevel="0" collapsed="false">
      <c r="A151" s="33"/>
      <c r="B151" s="33"/>
      <c r="C151" s="10" t="str">
        <f aca="false">IF($B151="","",IFERROR(INDEX(案件管理!$B$3:$B$202,MATCH($B151,案件管理!$A$3:$A$202,0)),"←IDが未登録です"))</f>
        <v/>
      </c>
      <c r="D151" s="8"/>
      <c r="E151" s="8"/>
      <c r="F151" s="59"/>
      <c r="G151" s="38"/>
      <c r="H151" s="23" t="str">
        <f aca="false">IF(N($F151)*N($G151)=0,"",$F151*$G151)</f>
        <v/>
      </c>
      <c r="I151" s="34"/>
      <c r="J151" s="37"/>
      <c r="K151" s="37"/>
      <c r="L151" s="37"/>
      <c r="M151" s="37"/>
      <c r="N151" s="37"/>
      <c r="O151" s="20" t="str">
        <f aca="false">IF($B151="","",IF($N151&lt;&gt;"","受入済",IF($M151&lt;&gt;"","入荷済（受入待ち）",IF($J151&lt;&gt;"","発注済","未発注"))))</f>
        <v/>
      </c>
      <c r="P151" s="21" t="str">
        <f aca="true">IF($L151="","",IF($M151&lt;&gt;"",$M151-$L151,IF(TODAY()&gt;$L151,TODAY()-$L151,0)))</f>
        <v/>
      </c>
      <c r="Q151" s="8"/>
    </row>
    <row r="152" customFormat="false" ht="18" hidden="false" customHeight="true" outlineLevel="0" collapsed="false">
      <c r="A152" s="33"/>
      <c r="B152" s="33"/>
      <c r="C152" s="10" t="str">
        <f aca="false">IF($B152="","",IFERROR(INDEX(案件管理!$B$3:$B$202,MATCH($B152,案件管理!$A$3:$A$202,0)),"←IDが未登録です"))</f>
        <v/>
      </c>
      <c r="D152" s="8"/>
      <c r="E152" s="8"/>
      <c r="F152" s="59"/>
      <c r="G152" s="38"/>
      <c r="H152" s="23" t="str">
        <f aca="false">IF(N($F152)*N($G152)=0,"",$F152*$G152)</f>
        <v/>
      </c>
      <c r="I152" s="34"/>
      <c r="J152" s="37"/>
      <c r="K152" s="37"/>
      <c r="L152" s="37"/>
      <c r="M152" s="37"/>
      <c r="N152" s="37"/>
      <c r="O152" s="20" t="str">
        <f aca="false">IF($B152="","",IF($N152&lt;&gt;"","受入済",IF($M152&lt;&gt;"","入荷済（受入待ち）",IF($J152&lt;&gt;"","発注済","未発注"))))</f>
        <v/>
      </c>
      <c r="P152" s="21" t="str">
        <f aca="true">IF($L152="","",IF($M152&lt;&gt;"",$M152-$L152,IF(TODAY()&gt;$L152,TODAY()-$L152,0)))</f>
        <v/>
      </c>
      <c r="Q152" s="8"/>
    </row>
    <row r="153" customFormat="false" ht="18" hidden="false" customHeight="true" outlineLevel="0" collapsed="false">
      <c r="A153" s="33"/>
      <c r="B153" s="33"/>
      <c r="C153" s="10" t="str">
        <f aca="false">IF($B153="","",IFERROR(INDEX(案件管理!$B$3:$B$202,MATCH($B153,案件管理!$A$3:$A$202,0)),"←IDが未登録です"))</f>
        <v/>
      </c>
      <c r="D153" s="8"/>
      <c r="E153" s="8"/>
      <c r="F153" s="59"/>
      <c r="G153" s="38"/>
      <c r="H153" s="23" t="str">
        <f aca="false">IF(N($F153)*N($G153)=0,"",$F153*$G153)</f>
        <v/>
      </c>
      <c r="I153" s="34"/>
      <c r="J153" s="37"/>
      <c r="K153" s="37"/>
      <c r="L153" s="37"/>
      <c r="M153" s="37"/>
      <c r="N153" s="37"/>
      <c r="O153" s="20" t="str">
        <f aca="false">IF($B153="","",IF($N153&lt;&gt;"","受入済",IF($M153&lt;&gt;"","入荷済（受入待ち）",IF($J153&lt;&gt;"","発注済","未発注"))))</f>
        <v/>
      </c>
      <c r="P153" s="21" t="str">
        <f aca="true">IF($L153="","",IF($M153&lt;&gt;"",$M153-$L153,IF(TODAY()&gt;$L153,TODAY()-$L153,0)))</f>
        <v/>
      </c>
      <c r="Q153" s="8"/>
    </row>
    <row r="154" customFormat="false" ht="18" hidden="false" customHeight="true" outlineLevel="0" collapsed="false">
      <c r="A154" s="33"/>
      <c r="B154" s="33"/>
      <c r="C154" s="10" t="str">
        <f aca="false">IF($B154="","",IFERROR(INDEX(案件管理!$B$3:$B$202,MATCH($B154,案件管理!$A$3:$A$202,0)),"←IDが未登録です"))</f>
        <v/>
      </c>
      <c r="D154" s="8"/>
      <c r="E154" s="8"/>
      <c r="F154" s="59"/>
      <c r="G154" s="38"/>
      <c r="H154" s="23" t="str">
        <f aca="false">IF(N($F154)*N($G154)=0,"",$F154*$G154)</f>
        <v/>
      </c>
      <c r="I154" s="34"/>
      <c r="J154" s="37"/>
      <c r="K154" s="37"/>
      <c r="L154" s="37"/>
      <c r="M154" s="37"/>
      <c r="N154" s="37"/>
      <c r="O154" s="20" t="str">
        <f aca="false">IF($B154="","",IF($N154&lt;&gt;"","受入済",IF($M154&lt;&gt;"","入荷済（受入待ち）",IF($J154&lt;&gt;"","発注済","未発注"))))</f>
        <v/>
      </c>
      <c r="P154" s="21" t="str">
        <f aca="true">IF($L154="","",IF($M154&lt;&gt;"",$M154-$L154,IF(TODAY()&gt;$L154,TODAY()-$L154,0)))</f>
        <v/>
      </c>
      <c r="Q154" s="8"/>
    </row>
    <row r="155" customFormat="false" ht="18" hidden="false" customHeight="true" outlineLevel="0" collapsed="false">
      <c r="A155" s="33"/>
      <c r="B155" s="33"/>
      <c r="C155" s="10" t="str">
        <f aca="false">IF($B155="","",IFERROR(INDEX(案件管理!$B$3:$B$202,MATCH($B155,案件管理!$A$3:$A$202,0)),"←IDが未登録です"))</f>
        <v/>
      </c>
      <c r="D155" s="8"/>
      <c r="E155" s="8"/>
      <c r="F155" s="59"/>
      <c r="G155" s="38"/>
      <c r="H155" s="23" t="str">
        <f aca="false">IF(N($F155)*N($G155)=0,"",$F155*$G155)</f>
        <v/>
      </c>
      <c r="I155" s="34"/>
      <c r="J155" s="37"/>
      <c r="K155" s="37"/>
      <c r="L155" s="37"/>
      <c r="M155" s="37"/>
      <c r="N155" s="37"/>
      <c r="O155" s="20" t="str">
        <f aca="false">IF($B155="","",IF($N155&lt;&gt;"","受入済",IF($M155&lt;&gt;"","入荷済（受入待ち）",IF($J155&lt;&gt;"","発注済","未発注"))))</f>
        <v/>
      </c>
      <c r="P155" s="21" t="str">
        <f aca="true">IF($L155="","",IF($M155&lt;&gt;"",$M155-$L155,IF(TODAY()&gt;$L155,TODAY()-$L155,0)))</f>
        <v/>
      </c>
      <c r="Q155" s="8"/>
    </row>
    <row r="156" customFormat="false" ht="18" hidden="false" customHeight="true" outlineLevel="0" collapsed="false">
      <c r="A156" s="33"/>
      <c r="B156" s="33"/>
      <c r="C156" s="10" t="str">
        <f aca="false">IF($B156="","",IFERROR(INDEX(案件管理!$B$3:$B$202,MATCH($B156,案件管理!$A$3:$A$202,0)),"←IDが未登録です"))</f>
        <v/>
      </c>
      <c r="D156" s="8"/>
      <c r="E156" s="8"/>
      <c r="F156" s="59"/>
      <c r="G156" s="38"/>
      <c r="H156" s="23" t="str">
        <f aca="false">IF(N($F156)*N($G156)=0,"",$F156*$G156)</f>
        <v/>
      </c>
      <c r="I156" s="34"/>
      <c r="J156" s="37"/>
      <c r="K156" s="37"/>
      <c r="L156" s="37"/>
      <c r="M156" s="37"/>
      <c r="N156" s="37"/>
      <c r="O156" s="20" t="str">
        <f aca="false">IF($B156="","",IF($N156&lt;&gt;"","受入済",IF($M156&lt;&gt;"","入荷済（受入待ち）",IF($J156&lt;&gt;"","発注済","未発注"))))</f>
        <v/>
      </c>
      <c r="P156" s="21" t="str">
        <f aca="true">IF($L156="","",IF($M156&lt;&gt;"",$M156-$L156,IF(TODAY()&gt;$L156,TODAY()-$L156,0)))</f>
        <v/>
      </c>
      <c r="Q156" s="8"/>
    </row>
    <row r="157" customFormat="false" ht="18" hidden="false" customHeight="true" outlineLevel="0" collapsed="false">
      <c r="A157" s="33"/>
      <c r="B157" s="33"/>
      <c r="C157" s="10" t="str">
        <f aca="false">IF($B157="","",IFERROR(INDEX(案件管理!$B$3:$B$202,MATCH($B157,案件管理!$A$3:$A$202,0)),"←IDが未登録です"))</f>
        <v/>
      </c>
      <c r="D157" s="8"/>
      <c r="E157" s="8"/>
      <c r="F157" s="59"/>
      <c r="G157" s="38"/>
      <c r="H157" s="23" t="str">
        <f aca="false">IF(N($F157)*N($G157)=0,"",$F157*$G157)</f>
        <v/>
      </c>
      <c r="I157" s="34"/>
      <c r="J157" s="37"/>
      <c r="K157" s="37"/>
      <c r="L157" s="37"/>
      <c r="M157" s="37"/>
      <c r="N157" s="37"/>
      <c r="O157" s="20" t="str">
        <f aca="false">IF($B157="","",IF($N157&lt;&gt;"","受入済",IF($M157&lt;&gt;"","入荷済（受入待ち）",IF($J157&lt;&gt;"","発注済","未発注"))))</f>
        <v/>
      </c>
      <c r="P157" s="21" t="str">
        <f aca="true">IF($L157="","",IF($M157&lt;&gt;"",$M157-$L157,IF(TODAY()&gt;$L157,TODAY()-$L157,0)))</f>
        <v/>
      </c>
      <c r="Q157" s="8"/>
    </row>
    <row r="158" customFormat="false" ht="18" hidden="false" customHeight="true" outlineLevel="0" collapsed="false">
      <c r="A158" s="33"/>
      <c r="B158" s="33"/>
      <c r="C158" s="10" t="str">
        <f aca="false">IF($B158="","",IFERROR(INDEX(案件管理!$B$3:$B$202,MATCH($B158,案件管理!$A$3:$A$202,0)),"←IDが未登録です"))</f>
        <v/>
      </c>
      <c r="D158" s="8"/>
      <c r="E158" s="8"/>
      <c r="F158" s="59"/>
      <c r="G158" s="38"/>
      <c r="H158" s="23" t="str">
        <f aca="false">IF(N($F158)*N($G158)=0,"",$F158*$G158)</f>
        <v/>
      </c>
      <c r="I158" s="34"/>
      <c r="J158" s="37"/>
      <c r="K158" s="37"/>
      <c r="L158" s="37"/>
      <c r="M158" s="37"/>
      <c r="N158" s="37"/>
      <c r="O158" s="20" t="str">
        <f aca="false">IF($B158="","",IF($N158&lt;&gt;"","受入済",IF($M158&lt;&gt;"","入荷済（受入待ち）",IF($J158&lt;&gt;"","発注済","未発注"))))</f>
        <v/>
      </c>
      <c r="P158" s="21" t="str">
        <f aca="true">IF($L158="","",IF($M158&lt;&gt;"",$M158-$L158,IF(TODAY()&gt;$L158,TODAY()-$L158,0)))</f>
        <v/>
      </c>
      <c r="Q158" s="8"/>
    </row>
    <row r="159" customFormat="false" ht="18" hidden="false" customHeight="true" outlineLevel="0" collapsed="false">
      <c r="A159" s="33"/>
      <c r="B159" s="33"/>
      <c r="C159" s="10" t="str">
        <f aca="false">IF($B159="","",IFERROR(INDEX(案件管理!$B$3:$B$202,MATCH($B159,案件管理!$A$3:$A$202,0)),"←IDが未登録です"))</f>
        <v/>
      </c>
      <c r="D159" s="8"/>
      <c r="E159" s="8"/>
      <c r="F159" s="59"/>
      <c r="G159" s="38"/>
      <c r="H159" s="23" t="str">
        <f aca="false">IF(N($F159)*N($G159)=0,"",$F159*$G159)</f>
        <v/>
      </c>
      <c r="I159" s="34"/>
      <c r="J159" s="37"/>
      <c r="K159" s="37"/>
      <c r="L159" s="37"/>
      <c r="M159" s="37"/>
      <c r="N159" s="37"/>
      <c r="O159" s="20" t="str">
        <f aca="false">IF($B159="","",IF($N159&lt;&gt;"","受入済",IF($M159&lt;&gt;"","入荷済（受入待ち）",IF($J159&lt;&gt;"","発注済","未発注"))))</f>
        <v/>
      </c>
      <c r="P159" s="21" t="str">
        <f aca="true">IF($L159="","",IF($M159&lt;&gt;"",$M159-$L159,IF(TODAY()&gt;$L159,TODAY()-$L159,0)))</f>
        <v/>
      </c>
      <c r="Q159" s="8"/>
    </row>
    <row r="160" customFormat="false" ht="18" hidden="false" customHeight="true" outlineLevel="0" collapsed="false">
      <c r="A160" s="33"/>
      <c r="B160" s="33"/>
      <c r="C160" s="10" t="str">
        <f aca="false">IF($B160="","",IFERROR(INDEX(案件管理!$B$3:$B$202,MATCH($B160,案件管理!$A$3:$A$202,0)),"←IDが未登録です"))</f>
        <v/>
      </c>
      <c r="D160" s="8"/>
      <c r="E160" s="8"/>
      <c r="F160" s="59"/>
      <c r="G160" s="38"/>
      <c r="H160" s="23" t="str">
        <f aca="false">IF(N($F160)*N($G160)=0,"",$F160*$G160)</f>
        <v/>
      </c>
      <c r="I160" s="34"/>
      <c r="J160" s="37"/>
      <c r="K160" s="37"/>
      <c r="L160" s="37"/>
      <c r="M160" s="37"/>
      <c r="N160" s="37"/>
      <c r="O160" s="20" t="str">
        <f aca="false">IF($B160="","",IF($N160&lt;&gt;"","受入済",IF($M160&lt;&gt;"","入荷済（受入待ち）",IF($J160&lt;&gt;"","発注済","未発注"))))</f>
        <v/>
      </c>
      <c r="P160" s="21" t="str">
        <f aca="true">IF($L160="","",IF($M160&lt;&gt;"",$M160-$L160,IF(TODAY()&gt;$L160,TODAY()-$L160,0)))</f>
        <v/>
      </c>
      <c r="Q160" s="8"/>
    </row>
    <row r="161" customFormat="false" ht="18" hidden="false" customHeight="true" outlineLevel="0" collapsed="false">
      <c r="A161" s="33"/>
      <c r="B161" s="33"/>
      <c r="C161" s="10" t="str">
        <f aca="false">IF($B161="","",IFERROR(INDEX(案件管理!$B$3:$B$202,MATCH($B161,案件管理!$A$3:$A$202,0)),"←IDが未登録です"))</f>
        <v/>
      </c>
      <c r="D161" s="8"/>
      <c r="E161" s="8"/>
      <c r="F161" s="59"/>
      <c r="G161" s="38"/>
      <c r="H161" s="23" t="str">
        <f aca="false">IF(N($F161)*N($G161)=0,"",$F161*$G161)</f>
        <v/>
      </c>
      <c r="I161" s="34"/>
      <c r="J161" s="37"/>
      <c r="K161" s="37"/>
      <c r="L161" s="37"/>
      <c r="M161" s="37"/>
      <c r="N161" s="37"/>
      <c r="O161" s="20" t="str">
        <f aca="false">IF($B161="","",IF($N161&lt;&gt;"","受入済",IF($M161&lt;&gt;"","入荷済（受入待ち）",IF($J161&lt;&gt;"","発注済","未発注"))))</f>
        <v/>
      </c>
      <c r="P161" s="21" t="str">
        <f aca="true">IF($L161="","",IF($M161&lt;&gt;"",$M161-$L161,IF(TODAY()&gt;$L161,TODAY()-$L161,0)))</f>
        <v/>
      </c>
      <c r="Q161" s="8"/>
    </row>
    <row r="162" customFormat="false" ht="18" hidden="false" customHeight="true" outlineLevel="0" collapsed="false">
      <c r="A162" s="33"/>
      <c r="B162" s="33"/>
      <c r="C162" s="10" t="str">
        <f aca="false">IF($B162="","",IFERROR(INDEX(案件管理!$B$3:$B$202,MATCH($B162,案件管理!$A$3:$A$202,0)),"←IDが未登録です"))</f>
        <v/>
      </c>
      <c r="D162" s="8"/>
      <c r="E162" s="8"/>
      <c r="F162" s="59"/>
      <c r="G162" s="38"/>
      <c r="H162" s="23" t="str">
        <f aca="false">IF(N($F162)*N($G162)=0,"",$F162*$G162)</f>
        <v/>
      </c>
      <c r="I162" s="34"/>
      <c r="J162" s="37"/>
      <c r="K162" s="37"/>
      <c r="L162" s="37"/>
      <c r="M162" s="37"/>
      <c r="N162" s="37"/>
      <c r="O162" s="20" t="str">
        <f aca="false">IF($B162="","",IF($N162&lt;&gt;"","受入済",IF($M162&lt;&gt;"","入荷済（受入待ち）",IF($J162&lt;&gt;"","発注済","未発注"))))</f>
        <v/>
      </c>
      <c r="P162" s="21" t="str">
        <f aca="true">IF($L162="","",IF($M162&lt;&gt;"",$M162-$L162,IF(TODAY()&gt;$L162,TODAY()-$L162,0)))</f>
        <v/>
      </c>
      <c r="Q162" s="8"/>
    </row>
    <row r="163" customFormat="false" ht="18" hidden="false" customHeight="true" outlineLevel="0" collapsed="false">
      <c r="A163" s="33"/>
      <c r="B163" s="33"/>
      <c r="C163" s="10" t="str">
        <f aca="false">IF($B163="","",IFERROR(INDEX(案件管理!$B$3:$B$202,MATCH($B163,案件管理!$A$3:$A$202,0)),"←IDが未登録です"))</f>
        <v/>
      </c>
      <c r="D163" s="8"/>
      <c r="E163" s="8"/>
      <c r="F163" s="59"/>
      <c r="G163" s="38"/>
      <c r="H163" s="23" t="str">
        <f aca="false">IF(N($F163)*N($G163)=0,"",$F163*$G163)</f>
        <v/>
      </c>
      <c r="I163" s="34"/>
      <c r="J163" s="37"/>
      <c r="K163" s="37"/>
      <c r="L163" s="37"/>
      <c r="M163" s="37"/>
      <c r="N163" s="37"/>
      <c r="O163" s="20" t="str">
        <f aca="false">IF($B163="","",IF($N163&lt;&gt;"","受入済",IF($M163&lt;&gt;"","入荷済（受入待ち）",IF($J163&lt;&gt;"","発注済","未発注"))))</f>
        <v/>
      </c>
      <c r="P163" s="21" t="str">
        <f aca="true">IF($L163="","",IF($M163&lt;&gt;"",$M163-$L163,IF(TODAY()&gt;$L163,TODAY()-$L163,0)))</f>
        <v/>
      </c>
      <c r="Q163" s="8"/>
    </row>
    <row r="164" customFormat="false" ht="18" hidden="false" customHeight="true" outlineLevel="0" collapsed="false">
      <c r="A164" s="33"/>
      <c r="B164" s="33"/>
      <c r="C164" s="10" t="str">
        <f aca="false">IF($B164="","",IFERROR(INDEX(案件管理!$B$3:$B$202,MATCH($B164,案件管理!$A$3:$A$202,0)),"←IDが未登録です"))</f>
        <v/>
      </c>
      <c r="D164" s="8"/>
      <c r="E164" s="8"/>
      <c r="F164" s="59"/>
      <c r="G164" s="38"/>
      <c r="H164" s="23" t="str">
        <f aca="false">IF(N($F164)*N($G164)=0,"",$F164*$G164)</f>
        <v/>
      </c>
      <c r="I164" s="34"/>
      <c r="J164" s="37"/>
      <c r="K164" s="37"/>
      <c r="L164" s="37"/>
      <c r="M164" s="37"/>
      <c r="N164" s="37"/>
      <c r="O164" s="20" t="str">
        <f aca="false">IF($B164="","",IF($N164&lt;&gt;"","受入済",IF($M164&lt;&gt;"","入荷済（受入待ち）",IF($J164&lt;&gt;"","発注済","未発注"))))</f>
        <v/>
      </c>
      <c r="P164" s="21" t="str">
        <f aca="true">IF($L164="","",IF($M164&lt;&gt;"",$M164-$L164,IF(TODAY()&gt;$L164,TODAY()-$L164,0)))</f>
        <v/>
      </c>
      <c r="Q164" s="8"/>
    </row>
    <row r="165" customFormat="false" ht="18" hidden="false" customHeight="true" outlineLevel="0" collapsed="false">
      <c r="A165" s="33"/>
      <c r="B165" s="33"/>
      <c r="C165" s="10" t="str">
        <f aca="false">IF($B165="","",IFERROR(INDEX(案件管理!$B$3:$B$202,MATCH($B165,案件管理!$A$3:$A$202,0)),"←IDが未登録です"))</f>
        <v/>
      </c>
      <c r="D165" s="8"/>
      <c r="E165" s="8"/>
      <c r="F165" s="59"/>
      <c r="G165" s="38"/>
      <c r="H165" s="23" t="str">
        <f aca="false">IF(N($F165)*N($G165)=0,"",$F165*$G165)</f>
        <v/>
      </c>
      <c r="I165" s="34"/>
      <c r="J165" s="37"/>
      <c r="K165" s="37"/>
      <c r="L165" s="37"/>
      <c r="M165" s="37"/>
      <c r="N165" s="37"/>
      <c r="O165" s="20" t="str">
        <f aca="false">IF($B165="","",IF($N165&lt;&gt;"","受入済",IF($M165&lt;&gt;"","入荷済（受入待ち）",IF($J165&lt;&gt;"","発注済","未発注"))))</f>
        <v/>
      </c>
      <c r="P165" s="21" t="str">
        <f aca="true">IF($L165="","",IF($M165&lt;&gt;"",$M165-$L165,IF(TODAY()&gt;$L165,TODAY()-$L165,0)))</f>
        <v/>
      </c>
      <c r="Q165" s="8"/>
    </row>
    <row r="166" customFormat="false" ht="18" hidden="false" customHeight="true" outlineLevel="0" collapsed="false">
      <c r="A166" s="33"/>
      <c r="B166" s="33"/>
      <c r="C166" s="10" t="str">
        <f aca="false">IF($B166="","",IFERROR(INDEX(案件管理!$B$3:$B$202,MATCH($B166,案件管理!$A$3:$A$202,0)),"←IDが未登録です"))</f>
        <v/>
      </c>
      <c r="D166" s="8"/>
      <c r="E166" s="8"/>
      <c r="F166" s="59"/>
      <c r="G166" s="38"/>
      <c r="H166" s="23" t="str">
        <f aca="false">IF(N($F166)*N($G166)=0,"",$F166*$G166)</f>
        <v/>
      </c>
      <c r="I166" s="34"/>
      <c r="J166" s="37"/>
      <c r="K166" s="37"/>
      <c r="L166" s="37"/>
      <c r="M166" s="37"/>
      <c r="N166" s="37"/>
      <c r="O166" s="20" t="str">
        <f aca="false">IF($B166="","",IF($N166&lt;&gt;"","受入済",IF($M166&lt;&gt;"","入荷済（受入待ち）",IF($J166&lt;&gt;"","発注済","未発注"))))</f>
        <v/>
      </c>
      <c r="P166" s="21" t="str">
        <f aca="true">IF($L166="","",IF($M166&lt;&gt;"",$M166-$L166,IF(TODAY()&gt;$L166,TODAY()-$L166,0)))</f>
        <v/>
      </c>
      <c r="Q166" s="8"/>
    </row>
    <row r="167" customFormat="false" ht="18" hidden="false" customHeight="true" outlineLevel="0" collapsed="false">
      <c r="A167" s="33"/>
      <c r="B167" s="33"/>
      <c r="C167" s="10" t="str">
        <f aca="false">IF($B167="","",IFERROR(INDEX(案件管理!$B$3:$B$202,MATCH($B167,案件管理!$A$3:$A$202,0)),"←IDが未登録です"))</f>
        <v/>
      </c>
      <c r="D167" s="8"/>
      <c r="E167" s="8"/>
      <c r="F167" s="59"/>
      <c r="G167" s="38"/>
      <c r="H167" s="23" t="str">
        <f aca="false">IF(N($F167)*N($G167)=0,"",$F167*$G167)</f>
        <v/>
      </c>
      <c r="I167" s="34"/>
      <c r="J167" s="37"/>
      <c r="K167" s="37"/>
      <c r="L167" s="37"/>
      <c r="M167" s="37"/>
      <c r="N167" s="37"/>
      <c r="O167" s="20" t="str">
        <f aca="false">IF($B167="","",IF($N167&lt;&gt;"","受入済",IF($M167&lt;&gt;"","入荷済（受入待ち）",IF($J167&lt;&gt;"","発注済","未発注"))))</f>
        <v/>
      </c>
      <c r="P167" s="21" t="str">
        <f aca="true">IF($L167="","",IF($M167&lt;&gt;"",$M167-$L167,IF(TODAY()&gt;$L167,TODAY()-$L167,0)))</f>
        <v/>
      </c>
      <c r="Q167" s="8"/>
    </row>
    <row r="168" customFormat="false" ht="18" hidden="false" customHeight="true" outlineLevel="0" collapsed="false">
      <c r="A168" s="33"/>
      <c r="B168" s="33"/>
      <c r="C168" s="10" t="str">
        <f aca="false">IF($B168="","",IFERROR(INDEX(案件管理!$B$3:$B$202,MATCH($B168,案件管理!$A$3:$A$202,0)),"←IDが未登録です"))</f>
        <v/>
      </c>
      <c r="D168" s="8"/>
      <c r="E168" s="8"/>
      <c r="F168" s="59"/>
      <c r="G168" s="38"/>
      <c r="H168" s="23" t="str">
        <f aca="false">IF(N($F168)*N($G168)=0,"",$F168*$G168)</f>
        <v/>
      </c>
      <c r="I168" s="34"/>
      <c r="J168" s="37"/>
      <c r="K168" s="37"/>
      <c r="L168" s="37"/>
      <c r="M168" s="37"/>
      <c r="N168" s="37"/>
      <c r="O168" s="20" t="str">
        <f aca="false">IF($B168="","",IF($N168&lt;&gt;"","受入済",IF($M168&lt;&gt;"","入荷済（受入待ち）",IF($J168&lt;&gt;"","発注済","未発注"))))</f>
        <v/>
      </c>
      <c r="P168" s="21" t="str">
        <f aca="true">IF($L168="","",IF($M168&lt;&gt;"",$M168-$L168,IF(TODAY()&gt;$L168,TODAY()-$L168,0)))</f>
        <v/>
      </c>
      <c r="Q168" s="8"/>
    </row>
    <row r="169" customFormat="false" ht="18" hidden="false" customHeight="true" outlineLevel="0" collapsed="false">
      <c r="A169" s="33"/>
      <c r="B169" s="33"/>
      <c r="C169" s="10" t="str">
        <f aca="false">IF($B169="","",IFERROR(INDEX(案件管理!$B$3:$B$202,MATCH($B169,案件管理!$A$3:$A$202,0)),"←IDが未登録です"))</f>
        <v/>
      </c>
      <c r="D169" s="8"/>
      <c r="E169" s="8"/>
      <c r="F169" s="59"/>
      <c r="G169" s="38"/>
      <c r="H169" s="23" t="str">
        <f aca="false">IF(N($F169)*N($G169)=0,"",$F169*$G169)</f>
        <v/>
      </c>
      <c r="I169" s="34"/>
      <c r="J169" s="37"/>
      <c r="K169" s="37"/>
      <c r="L169" s="37"/>
      <c r="M169" s="37"/>
      <c r="N169" s="37"/>
      <c r="O169" s="20" t="str">
        <f aca="false">IF($B169="","",IF($N169&lt;&gt;"","受入済",IF($M169&lt;&gt;"","入荷済（受入待ち）",IF($J169&lt;&gt;"","発注済","未発注"))))</f>
        <v/>
      </c>
      <c r="P169" s="21" t="str">
        <f aca="true">IF($L169="","",IF($M169&lt;&gt;"",$M169-$L169,IF(TODAY()&gt;$L169,TODAY()-$L169,0)))</f>
        <v/>
      </c>
      <c r="Q169" s="8"/>
    </row>
    <row r="170" customFormat="false" ht="18" hidden="false" customHeight="true" outlineLevel="0" collapsed="false">
      <c r="A170" s="33"/>
      <c r="B170" s="33"/>
      <c r="C170" s="10" t="str">
        <f aca="false">IF($B170="","",IFERROR(INDEX(案件管理!$B$3:$B$202,MATCH($B170,案件管理!$A$3:$A$202,0)),"←IDが未登録です"))</f>
        <v/>
      </c>
      <c r="D170" s="8"/>
      <c r="E170" s="8"/>
      <c r="F170" s="59"/>
      <c r="G170" s="38"/>
      <c r="H170" s="23" t="str">
        <f aca="false">IF(N($F170)*N($G170)=0,"",$F170*$G170)</f>
        <v/>
      </c>
      <c r="I170" s="34"/>
      <c r="J170" s="37"/>
      <c r="K170" s="37"/>
      <c r="L170" s="37"/>
      <c r="M170" s="37"/>
      <c r="N170" s="37"/>
      <c r="O170" s="20" t="str">
        <f aca="false">IF($B170="","",IF($N170&lt;&gt;"","受入済",IF($M170&lt;&gt;"","入荷済（受入待ち）",IF($J170&lt;&gt;"","発注済","未発注"))))</f>
        <v/>
      </c>
      <c r="P170" s="21" t="str">
        <f aca="true">IF($L170="","",IF($M170&lt;&gt;"",$M170-$L170,IF(TODAY()&gt;$L170,TODAY()-$L170,0)))</f>
        <v/>
      </c>
      <c r="Q170" s="8"/>
    </row>
    <row r="171" customFormat="false" ht="18" hidden="false" customHeight="true" outlineLevel="0" collapsed="false">
      <c r="A171" s="33"/>
      <c r="B171" s="33"/>
      <c r="C171" s="10" t="str">
        <f aca="false">IF($B171="","",IFERROR(INDEX(案件管理!$B$3:$B$202,MATCH($B171,案件管理!$A$3:$A$202,0)),"←IDが未登録です"))</f>
        <v/>
      </c>
      <c r="D171" s="8"/>
      <c r="E171" s="8"/>
      <c r="F171" s="59"/>
      <c r="G171" s="38"/>
      <c r="H171" s="23" t="str">
        <f aca="false">IF(N($F171)*N($G171)=0,"",$F171*$G171)</f>
        <v/>
      </c>
      <c r="I171" s="34"/>
      <c r="J171" s="37"/>
      <c r="K171" s="37"/>
      <c r="L171" s="37"/>
      <c r="M171" s="37"/>
      <c r="N171" s="37"/>
      <c r="O171" s="20" t="str">
        <f aca="false">IF($B171="","",IF($N171&lt;&gt;"","受入済",IF($M171&lt;&gt;"","入荷済（受入待ち）",IF($J171&lt;&gt;"","発注済","未発注"))))</f>
        <v/>
      </c>
      <c r="P171" s="21" t="str">
        <f aca="true">IF($L171="","",IF($M171&lt;&gt;"",$M171-$L171,IF(TODAY()&gt;$L171,TODAY()-$L171,0)))</f>
        <v/>
      </c>
      <c r="Q171" s="8"/>
    </row>
    <row r="172" customFormat="false" ht="18" hidden="false" customHeight="true" outlineLevel="0" collapsed="false">
      <c r="A172" s="33"/>
      <c r="B172" s="33"/>
      <c r="C172" s="10" t="str">
        <f aca="false">IF($B172="","",IFERROR(INDEX(案件管理!$B$3:$B$202,MATCH($B172,案件管理!$A$3:$A$202,0)),"←IDが未登録です"))</f>
        <v/>
      </c>
      <c r="D172" s="8"/>
      <c r="E172" s="8"/>
      <c r="F172" s="59"/>
      <c r="G172" s="38"/>
      <c r="H172" s="23" t="str">
        <f aca="false">IF(N($F172)*N($G172)=0,"",$F172*$G172)</f>
        <v/>
      </c>
      <c r="I172" s="34"/>
      <c r="J172" s="37"/>
      <c r="K172" s="37"/>
      <c r="L172" s="37"/>
      <c r="M172" s="37"/>
      <c r="N172" s="37"/>
      <c r="O172" s="20" t="str">
        <f aca="false">IF($B172="","",IF($N172&lt;&gt;"","受入済",IF($M172&lt;&gt;"","入荷済（受入待ち）",IF($J172&lt;&gt;"","発注済","未発注"))))</f>
        <v/>
      </c>
      <c r="P172" s="21" t="str">
        <f aca="true">IF($L172="","",IF($M172&lt;&gt;"",$M172-$L172,IF(TODAY()&gt;$L172,TODAY()-$L172,0)))</f>
        <v/>
      </c>
      <c r="Q172" s="8"/>
    </row>
    <row r="173" customFormat="false" ht="18" hidden="false" customHeight="true" outlineLevel="0" collapsed="false">
      <c r="A173" s="33"/>
      <c r="B173" s="33"/>
      <c r="C173" s="10" t="str">
        <f aca="false">IF($B173="","",IFERROR(INDEX(案件管理!$B$3:$B$202,MATCH($B173,案件管理!$A$3:$A$202,0)),"←IDが未登録です"))</f>
        <v/>
      </c>
      <c r="D173" s="8"/>
      <c r="E173" s="8"/>
      <c r="F173" s="59"/>
      <c r="G173" s="38"/>
      <c r="H173" s="23" t="str">
        <f aca="false">IF(N($F173)*N($G173)=0,"",$F173*$G173)</f>
        <v/>
      </c>
      <c r="I173" s="34"/>
      <c r="J173" s="37"/>
      <c r="K173" s="37"/>
      <c r="L173" s="37"/>
      <c r="M173" s="37"/>
      <c r="N173" s="37"/>
      <c r="O173" s="20" t="str">
        <f aca="false">IF($B173="","",IF($N173&lt;&gt;"","受入済",IF($M173&lt;&gt;"","入荷済（受入待ち）",IF($J173&lt;&gt;"","発注済","未発注"))))</f>
        <v/>
      </c>
      <c r="P173" s="21" t="str">
        <f aca="true">IF($L173="","",IF($M173&lt;&gt;"",$M173-$L173,IF(TODAY()&gt;$L173,TODAY()-$L173,0)))</f>
        <v/>
      </c>
      <c r="Q173" s="8"/>
    </row>
    <row r="174" customFormat="false" ht="18" hidden="false" customHeight="true" outlineLevel="0" collapsed="false">
      <c r="A174" s="33"/>
      <c r="B174" s="33"/>
      <c r="C174" s="10" t="str">
        <f aca="false">IF($B174="","",IFERROR(INDEX(案件管理!$B$3:$B$202,MATCH($B174,案件管理!$A$3:$A$202,0)),"←IDが未登録です"))</f>
        <v/>
      </c>
      <c r="D174" s="8"/>
      <c r="E174" s="8"/>
      <c r="F174" s="59"/>
      <c r="G174" s="38"/>
      <c r="H174" s="23" t="str">
        <f aca="false">IF(N($F174)*N($G174)=0,"",$F174*$G174)</f>
        <v/>
      </c>
      <c r="I174" s="34"/>
      <c r="J174" s="37"/>
      <c r="K174" s="37"/>
      <c r="L174" s="37"/>
      <c r="M174" s="37"/>
      <c r="N174" s="37"/>
      <c r="O174" s="20" t="str">
        <f aca="false">IF($B174="","",IF($N174&lt;&gt;"","受入済",IF($M174&lt;&gt;"","入荷済（受入待ち）",IF($J174&lt;&gt;"","発注済","未発注"))))</f>
        <v/>
      </c>
      <c r="P174" s="21" t="str">
        <f aca="true">IF($L174="","",IF($M174&lt;&gt;"",$M174-$L174,IF(TODAY()&gt;$L174,TODAY()-$L174,0)))</f>
        <v/>
      </c>
      <c r="Q174" s="8"/>
    </row>
    <row r="175" customFormat="false" ht="18" hidden="false" customHeight="true" outlineLevel="0" collapsed="false">
      <c r="A175" s="33"/>
      <c r="B175" s="33"/>
      <c r="C175" s="10" t="str">
        <f aca="false">IF($B175="","",IFERROR(INDEX(案件管理!$B$3:$B$202,MATCH($B175,案件管理!$A$3:$A$202,0)),"←IDが未登録です"))</f>
        <v/>
      </c>
      <c r="D175" s="8"/>
      <c r="E175" s="8"/>
      <c r="F175" s="59"/>
      <c r="G175" s="38"/>
      <c r="H175" s="23" t="str">
        <f aca="false">IF(N($F175)*N($G175)=0,"",$F175*$G175)</f>
        <v/>
      </c>
      <c r="I175" s="34"/>
      <c r="J175" s="37"/>
      <c r="K175" s="37"/>
      <c r="L175" s="37"/>
      <c r="M175" s="37"/>
      <c r="N175" s="37"/>
      <c r="O175" s="20" t="str">
        <f aca="false">IF($B175="","",IF($N175&lt;&gt;"","受入済",IF($M175&lt;&gt;"","入荷済（受入待ち）",IF($J175&lt;&gt;"","発注済","未発注"))))</f>
        <v/>
      </c>
      <c r="P175" s="21" t="str">
        <f aca="true">IF($L175="","",IF($M175&lt;&gt;"",$M175-$L175,IF(TODAY()&gt;$L175,TODAY()-$L175,0)))</f>
        <v/>
      </c>
      <c r="Q175" s="8"/>
    </row>
    <row r="176" customFormat="false" ht="18" hidden="false" customHeight="true" outlineLevel="0" collapsed="false">
      <c r="A176" s="33"/>
      <c r="B176" s="33"/>
      <c r="C176" s="10" t="str">
        <f aca="false">IF($B176="","",IFERROR(INDEX(案件管理!$B$3:$B$202,MATCH($B176,案件管理!$A$3:$A$202,0)),"←IDが未登録です"))</f>
        <v/>
      </c>
      <c r="D176" s="8"/>
      <c r="E176" s="8"/>
      <c r="F176" s="59"/>
      <c r="G176" s="38"/>
      <c r="H176" s="23" t="str">
        <f aca="false">IF(N($F176)*N($G176)=0,"",$F176*$G176)</f>
        <v/>
      </c>
      <c r="I176" s="34"/>
      <c r="J176" s="37"/>
      <c r="K176" s="37"/>
      <c r="L176" s="37"/>
      <c r="M176" s="37"/>
      <c r="N176" s="37"/>
      <c r="O176" s="20" t="str">
        <f aca="false">IF($B176="","",IF($N176&lt;&gt;"","受入済",IF($M176&lt;&gt;"","入荷済（受入待ち）",IF($J176&lt;&gt;"","発注済","未発注"))))</f>
        <v/>
      </c>
      <c r="P176" s="21" t="str">
        <f aca="true">IF($L176="","",IF($M176&lt;&gt;"",$M176-$L176,IF(TODAY()&gt;$L176,TODAY()-$L176,0)))</f>
        <v/>
      </c>
      <c r="Q176" s="8"/>
    </row>
    <row r="177" customFormat="false" ht="18" hidden="false" customHeight="true" outlineLevel="0" collapsed="false">
      <c r="A177" s="33"/>
      <c r="B177" s="33"/>
      <c r="C177" s="10" t="str">
        <f aca="false">IF($B177="","",IFERROR(INDEX(案件管理!$B$3:$B$202,MATCH($B177,案件管理!$A$3:$A$202,0)),"←IDが未登録です"))</f>
        <v/>
      </c>
      <c r="D177" s="8"/>
      <c r="E177" s="8"/>
      <c r="F177" s="59"/>
      <c r="G177" s="38"/>
      <c r="H177" s="23" t="str">
        <f aca="false">IF(N($F177)*N($G177)=0,"",$F177*$G177)</f>
        <v/>
      </c>
      <c r="I177" s="34"/>
      <c r="J177" s="37"/>
      <c r="K177" s="37"/>
      <c r="L177" s="37"/>
      <c r="M177" s="37"/>
      <c r="N177" s="37"/>
      <c r="O177" s="20" t="str">
        <f aca="false">IF($B177="","",IF($N177&lt;&gt;"","受入済",IF($M177&lt;&gt;"","入荷済（受入待ち）",IF($J177&lt;&gt;"","発注済","未発注"))))</f>
        <v/>
      </c>
      <c r="P177" s="21" t="str">
        <f aca="true">IF($L177="","",IF($M177&lt;&gt;"",$M177-$L177,IF(TODAY()&gt;$L177,TODAY()-$L177,0)))</f>
        <v/>
      </c>
      <c r="Q177" s="8"/>
    </row>
    <row r="178" customFormat="false" ht="18" hidden="false" customHeight="true" outlineLevel="0" collapsed="false">
      <c r="A178" s="33"/>
      <c r="B178" s="33"/>
      <c r="C178" s="10" t="str">
        <f aca="false">IF($B178="","",IFERROR(INDEX(案件管理!$B$3:$B$202,MATCH($B178,案件管理!$A$3:$A$202,0)),"←IDが未登録です"))</f>
        <v/>
      </c>
      <c r="D178" s="8"/>
      <c r="E178" s="8"/>
      <c r="F178" s="59"/>
      <c r="G178" s="38"/>
      <c r="H178" s="23" t="str">
        <f aca="false">IF(N($F178)*N($G178)=0,"",$F178*$G178)</f>
        <v/>
      </c>
      <c r="I178" s="34"/>
      <c r="J178" s="37"/>
      <c r="K178" s="37"/>
      <c r="L178" s="37"/>
      <c r="M178" s="37"/>
      <c r="N178" s="37"/>
      <c r="O178" s="20" t="str">
        <f aca="false">IF($B178="","",IF($N178&lt;&gt;"","受入済",IF($M178&lt;&gt;"","入荷済（受入待ち）",IF($J178&lt;&gt;"","発注済","未発注"))))</f>
        <v/>
      </c>
      <c r="P178" s="21" t="str">
        <f aca="true">IF($L178="","",IF($M178&lt;&gt;"",$M178-$L178,IF(TODAY()&gt;$L178,TODAY()-$L178,0)))</f>
        <v/>
      </c>
      <c r="Q178" s="8"/>
    </row>
    <row r="179" customFormat="false" ht="18" hidden="false" customHeight="true" outlineLevel="0" collapsed="false">
      <c r="A179" s="33"/>
      <c r="B179" s="33"/>
      <c r="C179" s="10" t="str">
        <f aca="false">IF($B179="","",IFERROR(INDEX(案件管理!$B$3:$B$202,MATCH($B179,案件管理!$A$3:$A$202,0)),"←IDが未登録です"))</f>
        <v/>
      </c>
      <c r="D179" s="8"/>
      <c r="E179" s="8"/>
      <c r="F179" s="59"/>
      <c r="G179" s="38"/>
      <c r="H179" s="23" t="str">
        <f aca="false">IF(N($F179)*N($G179)=0,"",$F179*$G179)</f>
        <v/>
      </c>
      <c r="I179" s="34"/>
      <c r="J179" s="37"/>
      <c r="K179" s="37"/>
      <c r="L179" s="37"/>
      <c r="M179" s="37"/>
      <c r="N179" s="37"/>
      <c r="O179" s="20" t="str">
        <f aca="false">IF($B179="","",IF($N179&lt;&gt;"","受入済",IF($M179&lt;&gt;"","入荷済（受入待ち）",IF($J179&lt;&gt;"","発注済","未発注"))))</f>
        <v/>
      </c>
      <c r="P179" s="21" t="str">
        <f aca="true">IF($L179="","",IF($M179&lt;&gt;"",$M179-$L179,IF(TODAY()&gt;$L179,TODAY()-$L179,0)))</f>
        <v/>
      </c>
      <c r="Q179" s="8"/>
    </row>
    <row r="180" customFormat="false" ht="18" hidden="false" customHeight="true" outlineLevel="0" collapsed="false">
      <c r="A180" s="33"/>
      <c r="B180" s="33"/>
      <c r="C180" s="10" t="str">
        <f aca="false">IF($B180="","",IFERROR(INDEX(案件管理!$B$3:$B$202,MATCH($B180,案件管理!$A$3:$A$202,0)),"←IDが未登録です"))</f>
        <v/>
      </c>
      <c r="D180" s="8"/>
      <c r="E180" s="8"/>
      <c r="F180" s="59"/>
      <c r="G180" s="38"/>
      <c r="H180" s="23" t="str">
        <f aca="false">IF(N($F180)*N($G180)=0,"",$F180*$G180)</f>
        <v/>
      </c>
      <c r="I180" s="34"/>
      <c r="J180" s="37"/>
      <c r="K180" s="37"/>
      <c r="L180" s="37"/>
      <c r="M180" s="37"/>
      <c r="N180" s="37"/>
      <c r="O180" s="20" t="str">
        <f aca="false">IF($B180="","",IF($N180&lt;&gt;"","受入済",IF($M180&lt;&gt;"","入荷済（受入待ち）",IF($J180&lt;&gt;"","発注済","未発注"))))</f>
        <v/>
      </c>
      <c r="P180" s="21" t="str">
        <f aca="true">IF($L180="","",IF($M180&lt;&gt;"",$M180-$L180,IF(TODAY()&gt;$L180,TODAY()-$L180,0)))</f>
        <v/>
      </c>
      <c r="Q180" s="8"/>
    </row>
    <row r="181" customFormat="false" ht="18" hidden="false" customHeight="true" outlineLevel="0" collapsed="false">
      <c r="A181" s="33"/>
      <c r="B181" s="33"/>
      <c r="C181" s="10" t="str">
        <f aca="false">IF($B181="","",IFERROR(INDEX(案件管理!$B$3:$B$202,MATCH($B181,案件管理!$A$3:$A$202,0)),"←IDが未登録です"))</f>
        <v/>
      </c>
      <c r="D181" s="8"/>
      <c r="E181" s="8"/>
      <c r="F181" s="59"/>
      <c r="G181" s="38"/>
      <c r="H181" s="23" t="str">
        <f aca="false">IF(N($F181)*N($G181)=0,"",$F181*$G181)</f>
        <v/>
      </c>
      <c r="I181" s="34"/>
      <c r="J181" s="37"/>
      <c r="K181" s="37"/>
      <c r="L181" s="37"/>
      <c r="M181" s="37"/>
      <c r="N181" s="37"/>
      <c r="O181" s="20" t="str">
        <f aca="false">IF($B181="","",IF($N181&lt;&gt;"","受入済",IF($M181&lt;&gt;"","入荷済（受入待ち）",IF($J181&lt;&gt;"","発注済","未発注"))))</f>
        <v/>
      </c>
      <c r="P181" s="21" t="str">
        <f aca="true">IF($L181="","",IF($M181&lt;&gt;"",$M181-$L181,IF(TODAY()&gt;$L181,TODAY()-$L181,0)))</f>
        <v/>
      </c>
      <c r="Q181" s="8"/>
    </row>
    <row r="182" customFormat="false" ht="18" hidden="false" customHeight="true" outlineLevel="0" collapsed="false">
      <c r="A182" s="33"/>
      <c r="B182" s="33"/>
      <c r="C182" s="10" t="str">
        <f aca="false">IF($B182="","",IFERROR(INDEX(案件管理!$B$3:$B$202,MATCH($B182,案件管理!$A$3:$A$202,0)),"←IDが未登録です"))</f>
        <v/>
      </c>
      <c r="D182" s="8"/>
      <c r="E182" s="8"/>
      <c r="F182" s="59"/>
      <c r="G182" s="38"/>
      <c r="H182" s="23" t="str">
        <f aca="false">IF(N($F182)*N($G182)=0,"",$F182*$G182)</f>
        <v/>
      </c>
      <c r="I182" s="34"/>
      <c r="J182" s="37"/>
      <c r="K182" s="37"/>
      <c r="L182" s="37"/>
      <c r="M182" s="37"/>
      <c r="N182" s="37"/>
      <c r="O182" s="20" t="str">
        <f aca="false">IF($B182="","",IF($N182&lt;&gt;"","受入済",IF($M182&lt;&gt;"","入荷済（受入待ち）",IF($J182&lt;&gt;"","発注済","未発注"))))</f>
        <v/>
      </c>
      <c r="P182" s="21" t="str">
        <f aca="true">IF($L182="","",IF($M182&lt;&gt;"",$M182-$L182,IF(TODAY()&gt;$L182,TODAY()-$L182,0)))</f>
        <v/>
      </c>
      <c r="Q182" s="8"/>
    </row>
    <row r="183" customFormat="false" ht="18" hidden="false" customHeight="true" outlineLevel="0" collapsed="false">
      <c r="A183" s="33"/>
      <c r="B183" s="33"/>
      <c r="C183" s="10" t="str">
        <f aca="false">IF($B183="","",IFERROR(INDEX(案件管理!$B$3:$B$202,MATCH($B183,案件管理!$A$3:$A$202,0)),"←IDが未登録です"))</f>
        <v/>
      </c>
      <c r="D183" s="8"/>
      <c r="E183" s="8"/>
      <c r="F183" s="59"/>
      <c r="G183" s="38"/>
      <c r="H183" s="23" t="str">
        <f aca="false">IF(N($F183)*N($G183)=0,"",$F183*$G183)</f>
        <v/>
      </c>
      <c r="I183" s="34"/>
      <c r="J183" s="37"/>
      <c r="K183" s="37"/>
      <c r="L183" s="37"/>
      <c r="M183" s="37"/>
      <c r="N183" s="37"/>
      <c r="O183" s="20" t="str">
        <f aca="false">IF($B183="","",IF($N183&lt;&gt;"","受入済",IF($M183&lt;&gt;"","入荷済（受入待ち）",IF($J183&lt;&gt;"","発注済","未発注"))))</f>
        <v/>
      </c>
      <c r="P183" s="21" t="str">
        <f aca="true">IF($L183="","",IF($M183&lt;&gt;"",$M183-$L183,IF(TODAY()&gt;$L183,TODAY()-$L183,0)))</f>
        <v/>
      </c>
      <c r="Q183" s="8"/>
    </row>
    <row r="184" customFormat="false" ht="18" hidden="false" customHeight="true" outlineLevel="0" collapsed="false">
      <c r="A184" s="33"/>
      <c r="B184" s="33"/>
      <c r="C184" s="10" t="str">
        <f aca="false">IF($B184="","",IFERROR(INDEX(案件管理!$B$3:$B$202,MATCH($B184,案件管理!$A$3:$A$202,0)),"←IDが未登録です"))</f>
        <v/>
      </c>
      <c r="D184" s="8"/>
      <c r="E184" s="8"/>
      <c r="F184" s="59"/>
      <c r="G184" s="38"/>
      <c r="H184" s="23" t="str">
        <f aca="false">IF(N($F184)*N($G184)=0,"",$F184*$G184)</f>
        <v/>
      </c>
      <c r="I184" s="34"/>
      <c r="J184" s="37"/>
      <c r="K184" s="37"/>
      <c r="L184" s="37"/>
      <c r="M184" s="37"/>
      <c r="N184" s="37"/>
      <c r="O184" s="20" t="str">
        <f aca="false">IF($B184="","",IF($N184&lt;&gt;"","受入済",IF($M184&lt;&gt;"","入荷済（受入待ち）",IF($J184&lt;&gt;"","発注済","未発注"))))</f>
        <v/>
      </c>
      <c r="P184" s="21" t="str">
        <f aca="true">IF($L184="","",IF($M184&lt;&gt;"",$M184-$L184,IF(TODAY()&gt;$L184,TODAY()-$L184,0)))</f>
        <v/>
      </c>
      <c r="Q184" s="8"/>
    </row>
    <row r="185" customFormat="false" ht="18" hidden="false" customHeight="true" outlineLevel="0" collapsed="false">
      <c r="A185" s="33"/>
      <c r="B185" s="33"/>
      <c r="C185" s="10" t="str">
        <f aca="false">IF($B185="","",IFERROR(INDEX(案件管理!$B$3:$B$202,MATCH($B185,案件管理!$A$3:$A$202,0)),"←IDが未登録です"))</f>
        <v/>
      </c>
      <c r="D185" s="8"/>
      <c r="E185" s="8"/>
      <c r="F185" s="59"/>
      <c r="G185" s="38"/>
      <c r="H185" s="23" t="str">
        <f aca="false">IF(N($F185)*N($G185)=0,"",$F185*$G185)</f>
        <v/>
      </c>
      <c r="I185" s="34"/>
      <c r="J185" s="37"/>
      <c r="K185" s="37"/>
      <c r="L185" s="37"/>
      <c r="M185" s="37"/>
      <c r="N185" s="37"/>
      <c r="O185" s="20" t="str">
        <f aca="false">IF($B185="","",IF($N185&lt;&gt;"","受入済",IF($M185&lt;&gt;"","入荷済（受入待ち）",IF($J185&lt;&gt;"","発注済","未発注"))))</f>
        <v/>
      </c>
      <c r="P185" s="21" t="str">
        <f aca="true">IF($L185="","",IF($M185&lt;&gt;"",$M185-$L185,IF(TODAY()&gt;$L185,TODAY()-$L185,0)))</f>
        <v/>
      </c>
      <c r="Q185" s="8"/>
    </row>
    <row r="186" customFormat="false" ht="18" hidden="false" customHeight="true" outlineLevel="0" collapsed="false">
      <c r="A186" s="33"/>
      <c r="B186" s="33"/>
      <c r="C186" s="10" t="str">
        <f aca="false">IF($B186="","",IFERROR(INDEX(案件管理!$B$3:$B$202,MATCH($B186,案件管理!$A$3:$A$202,0)),"←IDが未登録です"))</f>
        <v/>
      </c>
      <c r="D186" s="8"/>
      <c r="E186" s="8"/>
      <c r="F186" s="59"/>
      <c r="G186" s="38"/>
      <c r="H186" s="23" t="str">
        <f aca="false">IF(N($F186)*N($G186)=0,"",$F186*$G186)</f>
        <v/>
      </c>
      <c r="I186" s="34"/>
      <c r="J186" s="37"/>
      <c r="K186" s="37"/>
      <c r="L186" s="37"/>
      <c r="M186" s="37"/>
      <c r="N186" s="37"/>
      <c r="O186" s="20" t="str">
        <f aca="false">IF($B186="","",IF($N186&lt;&gt;"","受入済",IF($M186&lt;&gt;"","入荷済（受入待ち）",IF($J186&lt;&gt;"","発注済","未発注"))))</f>
        <v/>
      </c>
      <c r="P186" s="21" t="str">
        <f aca="true">IF($L186="","",IF($M186&lt;&gt;"",$M186-$L186,IF(TODAY()&gt;$L186,TODAY()-$L186,0)))</f>
        <v/>
      </c>
      <c r="Q186" s="8"/>
    </row>
    <row r="187" customFormat="false" ht="18" hidden="false" customHeight="true" outlineLevel="0" collapsed="false">
      <c r="A187" s="33"/>
      <c r="B187" s="33"/>
      <c r="C187" s="10" t="str">
        <f aca="false">IF($B187="","",IFERROR(INDEX(案件管理!$B$3:$B$202,MATCH($B187,案件管理!$A$3:$A$202,0)),"←IDが未登録です"))</f>
        <v/>
      </c>
      <c r="D187" s="8"/>
      <c r="E187" s="8"/>
      <c r="F187" s="59"/>
      <c r="G187" s="38"/>
      <c r="H187" s="23" t="str">
        <f aca="false">IF(N($F187)*N($G187)=0,"",$F187*$G187)</f>
        <v/>
      </c>
      <c r="I187" s="34"/>
      <c r="J187" s="37"/>
      <c r="K187" s="37"/>
      <c r="L187" s="37"/>
      <c r="M187" s="37"/>
      <c r="N187" s="37"/>
      <c r="O187" s="20" t="str">
        <f aca="false">IF($B187="","",IF($N187&lt;&gt;"","受入済",IF($M187&lt;&gt;"","入荷済（受入待ち）",IF($J187&lt;&gt;"","発注済","未発注"))))</f>
        <v/>
      </c>
      <c r="P187" s="21" t="str">
        <f aca="true">IF($L187="","",IF($M187&lt;&gt;"",$M187-$L187,IF(TODAY()&gt;$L187,TODAY()-$L187,0)))</f>
        <v/>
      </c>
      <c r="Q187" s="8"/>
    </row>
    <row r="188" customFormat="false" ht="18" hidden="false" customHeight="true" outlineLevel="0" collapsed="false">
      <c r="A188" s="33"/>
      <c r="B188" s="33"/>
      <c r="C188" s="10" t="str">
        <f aca="false">IF($B188="","",IFERROR(INDEX(案件管理!$B$3:$B$202,MATCH($B188,案件管理!$A$3:$A$202,0)),"←IDが未登録です"))</f>
        <v/>
      </c>
      <c r="D188" s="8"/>
      <c r="E188" s="8"/>
      <c r="F188" s="59"/>
      <c r="G188" s="38"/>
      <c r="H188" s="23" t="str">
        <f aca="false">IF(N($F188)*N($G188)=0,"",$F188*$G188)</f>
        <v/>
      </c>
      <c r="I188" s="34"/>
      <c r="J188" s="37"/>
      <c r="K188" s="37"/>
      <c r="L188" s="37"/>
      <c r="M188" s="37"/>
      <c r="N188" s="37"/>
      <c r="O188" s="20" t="str">
        <f aca="false">IF($B188="","",IF($N188&lt;&gt;"","受入済",IF($M188&lt;&gt;"","入荷済（受入待ち）",IF($J188&lt;&gt;"","発注済","未発注"))))</f>
        <v/>
      </c>
      <c r="P188" s="21" t="str">
        <f aca="true">IF($L188="","",IF($M188&lt;&gt;"",$M188-$L188,IF(TODAY()&gt;$L188,TODAY()-$L188,0)))</f>
        <v/>
      </c>
      <c r="Q188" s="8"/>
    </row>
    <row r="189" customFormat="false" ht="18" hidden="false" customHeight="true" outlineLevel="0" collapsed="false">
      <c r="A189" s="33"/>
      <c r="B189" s="33"/>
      <c r="C189" s="10" t="str">
        <f aca="false">IF($B189="","",IFERROR(INDEX(案件管理!$B$3:$B$202,MATCH($B189,案件管理!$A$3:$A$202,0)),"←IDが未登録です"))</f>
        <v/>
      </c>
      <c r="D189" s="8"/>
      <c r="E189" s="8"/>
      <c r="F189" s="59"/>
      <c r="G189" s="38"/>
      <c r="H189" s="23" t="str">
        <f aca="false">IF(N($F189)*N($G189)=0,"",$F189*$G189)</f>
        <v/>
      </c>
      <c r="I189" s="34"/>
      <c r="J189" s="37"/>
      <c r="K189" s="37"/>
      <c r="L189" s="37"/>
      <c r="M189" s="37"/>
      <c r="N189" s="37"/>
      <c r="O189" s="20" t="str">
        <f aca="false">IF($B189="","",IF($N189&lt;&gt;"","受入済",IF($M189&lt;&gt;"","入荷済（受入待ち）",IF($J189&lt;&gt;"","発注済","未発注"))))</f>
        <v/>
      </c>
      <c r="P189" s="21" t="str">
        <f aca="true">IF($L189="","",IF($M189&lt;&gt;"",$M189-$L189,IF(TODAY()&gt;$L189,TODAY()-$L189,0)))</f>
        <v/>
      </c>
      <c r="Q189" s="8"/>
    </row>
    <row r="190" customFormat="false" ht="18" hidden="false" customHeight="true" outlineLevel="0" collapsed="false">
      <c r="A190" s="33"/>
      <c r="B190" s="33"/>
      <c r="C190" s="10" t="str">
        <f aca="false">IF($B190="","",IFERROR(INDEX(案件管理!$B$3:$B$202,MATCH($B190,案件管理!$A$3:$A$202,0)),"←IDが未登録です"))</f>
        <v/>
      </c>
      <c r="D190" s="8"/>
      <c r="E190" s="8"/>
      <c r="F190" s="59"/>
      <c r="G190" s="38"/>
      <c r="H190" s="23" t="str">
        <f aca="false">IF(N($F190)*N($G190)=0,"",$F190*$G190)</f>
        <v/>
      </c>
      <c r="I190" s="34"/>
      <c r="J190" s="37"/>
      <c r="K190" s="37"/>
      <c r="L190" s="37"/>
      <c r="M190" s="37"/>
      <c r="N190" s="37"/>
      <c r="O190" s="20" t="str">
        <f aca="false">IF($B190="","",IF($N190&lt;&gt;"","受入済",IF($M190&lt;&gt;"","入荷済（受入待ち）",IF($J190&lt;&gt;"","発注済","未発注"))))</f>
        <v/>
      </c>
      <c r="P190" s="21" t="str">
        <f aca="true">IF($L190="","",IF($M190&lt;&gt;"",$M190-$L190,IF(TODAY()&gt;$L190,TODAY()-$L190,0)))</f>
        <v/>
      </c>
      <c r="Q190" s="8"/>
    </row>
    <row r="191" customFormat="false" ht="18" hidden="false" customHeight="true" outlineLevel="0" collapsed="false">
      <c r="A191" s="33"/>
      <c r="B191" s="33"/>
      <c r="C191" s="10" t="str">
        <f aca="false">IF($B191="","",IFERROR(INDEX(案件管理!$B$3:$B$202,MATCH($B191,案件管理!$A$3:$A$202,0)),"←IDが未登録です"))</f>
        <v/>
      </c>
      <c r="D191" s="8"/>
      <c r="E191" s="8"/>
      <c r="F191" s="59"/>
      <c r="G191" s="38"/>
      <c r="H191" s="23" t="str">
        <f aca="false">IF(N($F191)*N($G191)=0,"",$F191*$G191)</f>
        <v/>
      </c>
      <c r="I191" s="34"/>
      <c r="J191" s="37"/>
      <c r="K191" s="37"/>
      <c r="L191" s="37"/>
      <c r="M191" s="37"/>
      <c r="N191" s="37"/>
      <c r="O191" s="20" t="str">
        <f aca="false">IF($B191="","",IF($N191&lt;&gt;"","受入済",IF($M191&lt;&gt;"","入荷済（受入待ち）",IF($J191&lt;&gt;"","発注済","未発注"))))</f>
        <v/>
      </c>
      <c r="P191" s="21" t="str">
        <f aca="true">IF($L191="","",IF($M191&lt;&gt;"",$M191-$L191,IF(TODAY()&gt;$L191,TODAY()-$L191,0)))</f>
        <v/>
      </c>
      <c r="Q191" s="8"/>
    </row>
    <row r="192" customFormat="false" ht="18" hidden="false" customHeight="true" outlineLevel="0" collapsed="false">
      <c r="A192" s="33"/>
      <c r="B192" s="33"/>
      <c r="C192" s="10" t="str">
        <f aca="false">IF($B192="","",IFERROR(INDEX(案件管理!$B$3:$B$202,MATCH($B192,案件管理!$A$3:$A$202,0)),"←IDが未登録です"))</f>
        <v/>
      </c>
      <c r="D192" s="8"/>
      <c r="E192" s="8"/>
      <c r="F192" s="59"/>
      <c r="G192" s="38"/>
      <c r="H192" s="23" t="str">
        <f aca="false">IF(N($F192)*N($G192)=0,"",$F192*$G192)</f>
        <v/>
      </c>
      <c r="I192" s="34"/>
      <c r="J192" s="37"/>
      <c r="K192" s="37"/>
      <c r="L192" s="37"/>
      <c r="M192" s="37"/>
      <c r="N192" s="37"/>
      <c r="O192" s="20" t="str">
        <f aca="false">IF($B192="","",IF($N192&lt;&gt;"","受入済",IF($M192&lt;&gt;"","入荷済（受入待ち）",IF($J192&lt;&gt;"","発注済","未発注"))))</f>
        <v/>
      </c>
      <c r="P192" s="21" t="str">
        <f aca="true">IF($L192="","",IF($M192&lt;&gt;"",$M192-$L192,IF(TODAY()&gt;$L192,TODAY()-$L192,0)))</f>
        <v/>
      </c>
      <c r="Q192" s="8"/>
    </row>
    <row r="193" customFormat="false" ht="18" hidden="false" customHeight="true" outlineLevel="0" collapsed="false">
      <c r="A193" s="33"/>
      <c r="B193" s="33"/>
      <c r="C193" s="10" t="str">
        <f aca="false">IF($B193="","",IFERROR(INDEX(案件管理!$B$3:$B$202,MATCH($B193,案件管理!$A$3:$A$202,0)),"←IDが未登録です"))</f>
        <v/>
      </c>
      <c r="D193" s="8"/>
      <c r="E193" s="8"/>
      <c r="F193" s="59"/>
      <c r="G193" s="38"/>
      <c r="H193" s="23" t="str">
        <f aca="false">IF(N($F193)*N($G193)=0,"",$F193*$G193)</f>
        <v/>
      </c>
      <c r="I193" s="34"/>
      <c r="J193" s="37"/>
      <c r="K193" s="37"/>
      <c r="L193" s="37"/>
      <c r="M193" s="37"/>
      <c r="N193" s="37"/>
      <c r="O193" s="20" t="str">
        <f aca="false">IF($B193="","",IF($N193&lt;&gt;"","受入済",IF($M193&lt;&gt;"","入荷済（受入待ち）",IF($J193&lt;&gt;"","発注済","未発注"))))</f>
        <v/>
      </c>
      <c r="P193" s="21" t="str">
        <f aca="true">IF($L193="","",IF($M193&lt;&gt;"",$M193-$L193,IF(TODAY()&gt;$L193,TODAY()-$L193,0)))</f>
        <v/>
      </c>
      <c r="Q193" s="8"/>
    </row>
    <row r="194" customFormat="false" ht="18" hidden="false" customHeight="true" outlineLevel="0" collapsed="false">
      <c r="A194" s="33"/>
      <c r="B194" s="33"/>
      <c r="C194" s="10" t="str">
        <f aca="false">IF($B194="","",IFERROR(INDEX(案件管理!$B$3:$B$202,MATCH($B194,案件管理!$A$3:$A$202,0)),"←IDが未登録です"))</f>
        <v/>
      </c>
      <c r="D194" s="8"/>
      <c r="E194" s="8"/>
      <c r="F194" s="59"/>
      <c r="G194" s="38"/>
      <c r="H194" s="23" t="str">
        <f aca="false">IF(N($F194)*N($G194)=0,"",$F194*$G194)</f>
        <v/>
      </c>
      <c r="I194" s="34"/>
      <c r="J194" s="37"/>
      <c r="K194" s="37"/>
      <c r="L194" s="37"/>
      <c r="M194" s="37"/>
      <c r="N194" s="37"/>
      <c r="O194" s="20" t="str">
        <f aca="false">IF($B194="","",IF($N194&lt;&gt;"","受入済",IF($M194&lt;&gt;"","入荷済（受入待ち）",IF($J194&lt;&gt;"","発注済","未発注"))))</f>
        <v/>
      </c>
      <c r="P194" s="21" t="str">
        <f aca="true">IF($L194="","",IF($M194&lt;&gt;"",$M194-$L194,IF(TODAY()&gt;$L194,TODAY()-$L194,0)))</f>
        <v/>
      </c>
      <c r="Q194" s="8"/>
    </row>
    <row r="195" customFormat="false" ht="18" hidden="false" customHeight="true" outlineLevel="0" collapsed="false">
      <c r="A195" s="33"/>
      <c r="B195" s="33"/>
      <c r="C195" s="10" t="str">
        <f aca="false">IF($B195="","",IFERROR(INDEX(案件管理!$B$3:$B$202,MATCH($B195,案件管理!$A$3:$A$202,0)),"←IDが未登録です"))</f>
        <v/>
      </c>
      <c r="D195" s="8"/>
      <c r="E195" s="8"/>
      <c r="F195" s="59"/>
      <c r="G195" s="38"/>
      <c r="H195" s="23" t="str">
        <f aca="false">IF(N($F195)*N($G195)=0,"",$F195*$G195)</f>
        <v/>
      </c>
      <c r="I195" s="34"/>
      <c r="J195" s="37"/>
      <c r="K195" s="37"/>
      <c r="L195" s="37"/>
      <c r="M195" s="37"/>
      <c r="N195" s="37"/>
      <c r="O195" s="20" t="str">
        <f aca="false">IF($B195="","",IF($N195&lt;&gt;"","受入済",IF($M195&lt;&gt;"","入荷済（受入待ち）",IF($J195&lt;&gt;"","発注済","未発注"))))</f>
        <v/>
      </c>
      <c r="P195" s="21" t="str">
        <f aca="true">IF($L195="","",IF($M195&lt;&gt;"",$M195-$L195,IF(TODAY()&gt;$L195,TODAY()-$L195,0)))</f>
        <v/>
      </c>
      <c r="Q195" s="8"/>
    </row>
    <row r="196" customFormat="false" ht="18" hidden="false" customHeight="true" outlineLevel="0" collapsed="false">
      <c r="A196" s="33"/>
      <c r="B196" s="33"/>
      <c r="C196" s="10" t="str">
        <f aca="false">IF($B196="","",IFERROR(INDEX(案件管理!$B$3:$B$202,MATCH($B196,案件管理!$A$3:$A$202,0)),"←IDが未登録です"))</f>
        <v/>
      </c>
      <c r="D196" s="8"/>
      <c r="E196" s="8"/>
      <c r="F196" s="59"/>
      <c r="G196" s="38"/>
      <c r="H196" s="23" t="str">
        <f aca="false">IF(N($F196)*N($G196)=0,"",$F196*$G196)</f>
        <v/>
      </c>
      <c r="I196" s="34"/>
      <c r="J196" s="37"/>
      <c r="K196" s="37"/>
      <c r="L196" s="37"/>
      <c r="M196" s="37"/>
      <c r="N196" s="37"/>
      <c r="O196" s="20" t="str">
        <f aca="false">IF($B196="","",IF($N196&lt;&gt;"","受入済",IF($M196&lt;&gt;"","入荷済（受入待ち）",IF($J196&lt;&gt;"","発注済","未発注"))))</f>
        <v/>
      </c>
      <c r="P196" s="21" t="str">
        <f aca="true">IF($L196="","",IF($M196&lt;&gt;"",$M196-$L196,IF(TODAY()&gt;$L196,TODAY()-$L196,0)))</f>
        <v/>
      </c>
      <c r="Q196" s="8"/>
    </row>
    <row r="197" customFormat="false" ht="18" hidden="false" customHeight="true" outlineLevel="0" collapsed="false">
      <c r="A197" s="33"/>
      <c r="B197" s="33"/>
      <c r="C197" s="10" t="str">
        <f aca="false">IF($B197="","",IFERROR(INDEX(案件管理!$B$3:$B$202,MATCH($B197,案件管理!$A$3:$A$202,0)),"←IDが未登録です"))</f>
        <v/>
      </c>
      <c r="D197" s="8"/>
      <c r="E197" s="8"/>
      <c r="F197" s="59"/>
      <c r="G197" s="38"/>
      <c r="H197" s="23" t="str">
        <f aca="false">IF(N($F197)*N($G197)=0,"",$F197*$G197)</f>
        <v/>
      </c>
      <c r="I197" s="34"/>
      <c r="J197" s="37"/>
      <c r="K197" s="37"/>
      <c r="L197" s="37"/>
      <c r="M197" s="37"/>
      <c r="N197" s="37"/>
      <c r="O197" s="20" t="str">
        <f aca="false">IF($B197="","",IF($N197&lt;&gt;"","受入済",IF($M197&lt;&gt;"","入荷済（受入待ち）",IF($J197&lt;&gt;"","発注済","未発注"))))</f>
        <v/>
      </c>
      <c r="P197" s="21" t="str">
        <f aca="true">IF($L197="","",IF($M197&lt;&gt;"",$M197-$L197,IF(TODAY()&gt;$L197,TODAY()-$L197,0)))</f>
        <v/>
      </c>
      <c r="Q197" s="8"/>
    </row>
    <row r="198" customFormat="false" ht="18" hidden="false" customHeight="true" outlineLevel="0" collapsed="false">
      <c r="A198" s="33"/>
      <c r="B198" s="33"/>
      <c r="C198" s="10" t="str">
        <f aca="false">IF($B198="","",IFERROR(INDEX(案件管理!$B$3:$B$202,MATCH($B198,案件管理!$A$3:$A$202,0)),"←IDが未登録です"))</f>
        <v/>
      </c>
      <c r="D198" s="8"/>
      <c r="E198" s="8"/>
      <c r="F198" s="59"/>
      <c r="G198" s="38"/>
      <c r="H198" s="23" t="str">
        <f aca="false">IF(N($F198)*N($G198)=0,"",$F198*$G198)</f>
        <v/>
      </c>
      <c r="I198" s="34"/>
      <c r="J198" s="37"/>
      <c r="K198" s="37"/>
      <c r="L198" s="37"/>
      <c r="M198" s="37"/>
      <c r="N198" s="37"/>
      <c r="O198" s="20" t="str">
        <f aca="false">IF($B198="","",IF($N198&lt;&gt;"","受入済",IF($M198&lt;&gt;"","入荷済（受入待ち）",IF($J198&lt;&gt;"","発注済","未発注"))))</f>
        <v/>
      </c>
      <c r="P198" s="21" t="str">
        <f aca="true">IF($L198="","",IF($M198&lt;&gt;"",$M198-$L198,IF(TODAY()&gt;$L198,TODAY()-$L198,0)))</f>
        <v/>
      </c>
      <c r="Q198" s="8"/>
    </row>
    <row r="199" customFormat="false" ht="18" hidden="false" customHeight="true" outlineLevel="0" collapsed="false">
      <c r="A199" s="33"/>
      <c r="B199" s="33"/>
      <c r="C199" s="10" t="str">
        <f aca="false">IF($B199="","",IFERROR(INDEX(案件管理!$B$3:$B$202,MATCH($B199,案件管理!$A$3:$A$202,0)),"←IDが未登録です"))</f>
        <v/>
      </c>
      <c r="D199" s="8"/>
      <c r="E199" s="8"/>
      <c r="F199" s="59"/>
      <c r="G199" s="38"/>
      <c r="H199" s="23" t="str">
        <f aca="false">IF(N($F199)*N($G199)=0,"",$F199*$G199)</f>
        <v/>
      </c>
      <c r="I199" s="34"/>
      <c r="J199" s="37"/>
      <c r="K199" s="37"/>
      <c r="L199" s="37"/>
      <c r="M199" s="37"/>
      <c r="N199" s="37"/>
      <c r="O199" s="20" t="str">
        <f aca="false">IF($B199="","",IF($N199&lt;&gt;"","受入済",IF($M199&lt;&gt;"","入荷済（受入待ち）",IF($J199&lt;&gt;"","発注済","未発注"))))</f>
        <v/>
      </c>
      <c r="P199" s="21" t="str">
        <f aca="true">IF($L199="","",IF($M199&lt;&gt;"",$M199-$L199,IF(TODAY()&gt;$L199,TODAY()-$L199,0)))</f>
        <v/>
      </c>
      <c r="Q199" s="8"/>
    </row>
    <row r="200" customFormat="false" ht="18" hidden="false" customHeight="true" outlineLevel="0" collapsed="false">
      <c r="A200" s="33"/>
      <c r="B200" s="33"/>
      <c r="C200" s="10" t="str">
        <f aca="false">IF($B200="","",IFERROR(INDEX(案件管理!$B$3:$B$202,MATCH($B200,案件管理!$A$3:$A$202,0)),"←IDが未登録です"))</f>
        <v/>
      </c>
      <c r="D200" s="8"/>
      <c r="E200" s="8"/>
      <c r="F200" s="59"/>
      <c r="G200" s="38"/>
      <c r="H200" s="23" t="str">
        <f aca="false">IF(N($F200)*N($G200)=0,"",$F200*$G200)</f>
        <v/>
      </c>
      <c r="I200" s="34"/>
      <c r="J200" s="37"/>
      <c r="K200" s="37"/>
      <c r="L200" s="37"/>
      <c r="M200" s="37"/>
      <c r="N200" s="37"/>
      <c r="O200" s="20" t="str">
        <f aca="false">IF($B200="","",IF($N200&lt;&gt;"","受入済",IF($M200&lt;&gt;"","入荷済（受入待ち）",IF($J200&lt;&gt;"","発注済","未発注"))))</f>
        <v/>
      </c>
      <c r="P200" s="21" t="str">
        <f aca="true">IF($L200="","",IF($M200&lt;&gt;"",$M200-$L200,IF(TODAY()&gt;$L200,TODAY()-$L200,0)))</f>
        <v/>
      </c>
      <c r="Q200" s="8"/>
    </row>
    <row r="201" customFormat="false" ht="18" hidden="false" customHeight="true" outlineLevel="0" collapsed="false">
      <c r="A201" s="33"/>
      <c r="B201" s="33"/>
      <c r="C201" s="10" t="str">
        <f aca="false">IF($B201="","",IFERROR(INDEX(案件管理!$B$3:$B$202,MATCH($B201,案件管理!$A$3:$A$202,0)),"←IDが未登録です"))</f>
        <v/>
      </c>
      <c r="D201" s="8"/>
      <c r="E201" s="8"/>
      <c r="F201" s="59"/>
      <c r="G201" s="38"/>
      <c r="H201" s="23" t="str">
        <f aca="false">IF(N($F201)*N($G201)=0,"",$F201*$G201)</f>
        <v/>
      </c>
      <c r="I201" s="34"/>
      <c r="J201" s="37"/>
      <c r="K201" s="37"/>
      <c r="L201" s="37"/>
      <c r="M201" s="37"/>
      <c r="N201" s="37"/>
      <c r="O201" s="20" t="str">
        <f aca="false">IF($B201="","",IF($N201&lt;&gt;"","受入済",IF($M201&lt;&gt;"","入荷済（受入待ち）",IF($J201&lt;&gt;"","発注済","未発注"))))</f>
        <v/>
      </c>
      <c r="P201" s="21" t="str">
        <f aca="true">IF($L201="","",IF($M201&lt;&gt;"",$M201-$L201,IF(TODAY()&gt;$L201,TODAY()-$L201,0)))</f>
        <v/>
      </c>
      <c r="Q201" s="8"/>
    </row>
    <row r="202" customFormat="false" ht="18" hidden="false" customHeight="true" outlineLevel="0" collapsed="false">
      <c r="A202" s="33"/>
      <c r="B202" s="33"/>
      <c r="C202" s="10" t="str">
        <f aca="false">IF($B202="","",IFERROR(INDEX(案件管理!$B$3:$B$202,MATCH($B202,案件管理!$A$3:$A$202,0)),"←IDが未登録です"))</f>
        <v/>
      </c>
      <c r="D202" s="8"/>
      <c r="E202" s="8"/>
      <c r="F202" s="59"/>
      <c r="G202" s="38"/>
      <c r="H202" s="23" t="str">
        <f aca="false">IF(N($F202)*N($G202)=0,"",$F202*$G202)</f>
        <v/>
      </c>
      <c r="I202" s="34"/>
      <c r="J202" s="37"/>
      <c r="K202" s="37"/>
      <c r="L202" s="37"/>
      <c r="M202" s="37"/>
      <c r="N202" s="37"/>
      <c r="O202" s="20" t="str">
        <f aca="false">IF($B202="","",IF($N202&lt;&gt;"","受入済",IF($M202&lt;&gt;"","入荷済（受入待ち）",IF($J202&lt;&gt;"","発注済","未発注"))))</f>
        <v/>
      </c>
      <c r="P202" s="21" t="str">
        <f aca="true">IF($L202="","",IF($M202&lt;&gt;"",$M202-$L202,IF(TODAY()&gt;$L202,TODAY()-$L202,0)))</f>
        <v/>
      </c>
      <c r="Q202" s="8"/>
    </row>
    <row r="204" customFormat="false" ht="15" hidden="false" customHeight="false" outlineLevel="0" collapsed="false">
      <c r="A204" s="42" t="s">
        <v>200</v>
      </c>
    </row>
  </sheetData>
  <autoFilter ref="A2:Q202"/>
  <mergeCells count="1">
    <mergeCell ref="A1:Q1"/>
  </mergeCells>
  <conditionalFormatting sqref="O3:O202">
    <cfRule type="cellIs" priority="2" operator="equal" aboveAverage="0" equalAverage="0" bottom="0" percent="0" rank="0" text="" dxfId="17">
      <formula>"受入済"</formula>
    </cfRule>
    <cfRule type="cellIs" priority="3" operator="equal" aboveAverage="0" equalAverage="0" bottom="0" percent="0" rank="0" text="" dxfId="18">
      <formula>"入荷済（受入待ち）"</formula>
    </cfRule>
    <cfRule type="cellIs" priority="4" operator="equal" aboveAverage="0" equalAverage="0" bottom="0" percent="0" rank="0" text="" dxfId="19">
      <formula>"発注済"</formula>
    </cfRule>
    <cfRule type="cellIs" priority="5" operator="equal" aboveAverage="0" equalAverage="0" bottom="0" percent="0" rank="0" text="" dxfId="21">
      <formula>"未発注"</formula>
    </cfRule>
  </conditionalFormatting>
  <conditionalFormatting sqref="P3:P202">
    <cfRule type="cellIs" priority="6" operator="greaterThan" aboveAverage="0" equalAverage="0" bottom="0" percent="0" rank="0" text="" dxfId="23">
      <formula>0</formula>
    </cfRule>
  </conditionalFormatting>
  <conditionalFormatting sqref="C3:C202">
    <cfRule type="cellIs" priority="7" operator="equal" aboveAverage="0" equalAverage="0" bottom="0" percent="0" rank="0" text="" dxfId="23">
      <formula>"←IDが未登録です"</formula>
    </cfRule>
  </conditionalFormatting>
  <dataValidations count="2">
    <dataValidation allowBlank="true" error="マスタシートのリストから選んでください。" errorStyle="stop" errorTitle="入力できない値です" operator="between" showDropDown="false" showErrorMessage="false" showInputMessage="false" sqref="I3:I202" type="list">
      <formula1>VendorList</formula1>
      <formula2>0</formula2>
    </dataValidation>
    <dataValidation allowBlank="true" error="案件管理シートに登録済みの案件IDを選んでください。" errorStyle="stop" errorTitle="案件IDの入力" operator="between" showDropDown="false" showErrorMessage="false" showInputMessage="false" sqref="B3:B202" type="list">
      <formula1>案件管理!$A$3:$A$202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30"/>
    <col collapsed="false" customWidth="true" hidden="false" outlineLevel="0" max="14" min="14" style="0" width="24"/>
  </cols>
  <sheetData>
    <row r="1" customFormat="false" ht="25.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13" t="s">
        <v>87</v>
      </c>
      <c r="B2" s="14" t="s">
        <v>88</v>
      </c>
      <c r="C2" s="13" t="s">
        <v>202</v>
      </c>
      <c r="D2" s="14" t="s">
        <v>203</v>
      </c>
      <c r="E2" s="13" t="s">
        <v>204</v>
      </c>
      <c r="F2" s="13" t="s">
        <v>205</v>
      </c>
      <c r="G2" s="13" t="s">
        <v>206</v>
      </c>
      <c r="H2" s="14" t="s">
        <v>207</v>
      </c>
      <c r="I2" s="13" t="s">
        <v>208</v>
      </c>
      <c r="J2" s="13" t="s">
        <v>209</v>
      </c>
      <c r="K2" s="13" t="s">
        <v>210</v>
      </c>
      <c r="L2" s="13" t="s">
        <v>211</v>
      </c>
      <c r="M2" s="13" t="s">
        <v>212</v>
      </c>
      <c r="N2" s="13" t="s">
        <v>123</v>
      </c>
    </row>
    <row r="3" customFormat="false" ht="18" hidden="false" customHeight="true" outlineLevel="0" collapsed="false">
      <c r="A3" s="15" t="s">
        <v>124</v>
      </c>
      <c r="B3" s="10" t="str">
        <f aca="false">IF($A3="","",IFERROR(INDEX(案件管理!$B$3:$B$202,MATCH($A3,案件管理!$A$3:$A$202,0)),"←IDが未登録です"))</f>
        <v>本社ネットワーク更改</v>
      </c>
      <c r="C3" s="18" t="n">
        <v>46176</v>
      </c>
      <c r="D3" s="20" t="str">
        <f aca="false">IF($C3="","",CHOOSE(WEEKDAY($C3,1),"日","月","火","水","木","金","土"))</f>
        <v>水</v>
      </c>
      <c r="E3" s="60" t="n">
        <v>0.375</v>
      </c>
      <c r="F3" s="60" t="n">
        <v>0.75</v>
      </c>
      <c r="G3" s="43" t="n">
        <v>1</v>
      </c>
      <c r="H3" s="61" t="n">
        <f aca="false">IF(OR($E3="",$F3=""),"",($F3-$E3)*24-N($G3))</f>
        <v>8</v>
      </c>
      <c r="I3" s="12" t="s">
        <v>213</v>
      </c>
      <c r="J3" s="12" t="s">
        <v>127</v>
      </c>
      <c r="K3" s="12" t="s">
        <v>214</v>
      </c>
      <c r="L3" s="62" t="s">
        <v>136</v>
      </c>
      <c r="M3" s="32" t="s">
        <v>215</v>
      </c>
      <c r="N3" s="12" t="s">
        <v>137</v>
      </c>
    </row>
    <row r="4" customFormat="false" ht="18" hidden="false" customHeight="true" outlineLevel="0" collapsed="false">
      <c r="A4" s="15" t="s">
        <v>124</v>
      </c>
      <c r="B4" s="10" t="str">
        <f aca="false">IF($A4="","",IFERROR(INDEX(案件管理!$B$3:$B$202,MATCH($A4,案件管理!$A$3:$A$202,0)),"←IDが未登録です"))</f>
        <v>本社ネットワーク更改</v>
      </c>
      <c r="C4" s="18" t="n">
        <v>46177</v>
      </c>
      <c r="D4" s="20" t="str">
        <f aca="false">IF($C4="","",CHOOSE(WEEKDAY($C4,1),"日","月","火","水","木","金","土"))</f>
        <v>木</v>
      </c>
      <c r="E4" s="60" t="n">
        <v>0.375</v>
      </c>
      <c r="F4" s="60" t="n">
        <v>0.666666666666667</v>
      </c>
      <c r="G4" s="43" t="n">
        <v>1</v>
      </c>
      <c r="H4" s="61" t="n">
        <f aca="false">IF(OR($E4="",$F4=""),"",($F4-$E4)*24-N($G4))</f>
        <v>6</v>
      </c>
      <c r="I4" s="12" t="s">
        <v>216</v>
      </c>
      <c r="J4" s="12" t="s">
        <v>127</v>
      </c>
      <c r="K4" s="12" t="s">
        <v>217</v>
      </c>
      <c r="L4" s="62" t="s">
        <v>136</v>
      </c>
      <c r="M4" s="12" t="s">
        <v>218</v>
      </c>
      <c r="N4" s="12" t="s">
        <v>137</v>
      </c>
    </row>
    <row r="5" customFormat="false" ht="18" hidden="false" customHeight="true" outlineLevel="0" collapsed="false">
      <c r="A5" s="15" t="s">
        <v>124</v>
      </c>
      <c r="B5" s="10" t="str">
        <f aca="false">IF($A5="","",IFERROR(INDEX(案件管理!$B$3:$B$202,MATCH($A5,案件管理!$A$3:$A$202,0)),"←IDが未登録です"))</f>
        <v>本社ネットワーク更改</v>
      </c>
      <c r="C5" s="18" t="n">
        <v>46309</v>
      </c>
      <c r="D5" s="20" t="str">
        <f aca="false">IF($C5="","",CHOOSE(WEEKDAY($C5,1),"日","月","火","水","木","金","土"))</f>
        <v>水</v>
      </c>
      <c r="E5" s="60" t="n">
        <v>0.416666666666667</v>
      </c>
      <c r="F5" s="60" t="n">
        <v>0.708333333333333</v>
      </c>
      <c r="G5" s="43" t="n">
        <v>1</v>
      </c>
      <c r="H5" s="61" t="n">
        <f aca="false">IF(OR($E5="",$F5=""),"",($F5-$E5)*24-N($G5))</f>
        <v>6</v>
      </c>
      <c r="I5" s="12" t="s">
        <v>213</v>
      </c>
      <c r="J5" s="12" t="s">
        <v>219</v>
      </c>
      <c r="K5" s="12" t="s">
        <v>220</v>
      </c>
      <c r="L5" s="62" t="s">
        <v>221</v>
      </c>
      <c r="M5" s="12" t="s">
        <v>222</v>
      </c>
      <c r="N5" s="12" t="s">
        <v>223</v>
      </c>
    </row>
    <row r="6" customFormat="false" ht="18" hidden="false" customHeight="true" outlineLevel="0" collapsed="false">
      <c r="A6" s="33"/>
      <c r="B6" s="10" t="str">
        <f aca="false">IF($A6="","",IFERROR(INDEX(案件管理!$B$3:$B$202,MATCH($A6,案件管理!$A$3:$A$202,0)),"←IDが未登録です"))</f>
        <v/>
      </c>
      <c r="C6" s="37"/>
      <c r="D6" s="20" t="str">
        <f aca="false">IF($C6="","",CHOOSE(WEEKDAY($C6,1),"日","月","火","水","木","金","土"))</f>
        <v/>
      </c>
      <c r="E6" s="63"/>
      <c r="F6" s="63"/>
      <c r="G6" s="45"/>
      <c r="H6" s="61" t="str">
        <f aca="false">IF(OR($E6="",$F6=""),"",($F6-$E6)*24-N($G6))</f>
        <v/>
      </c>
      <c r="I6" s="8"/>
      <c r="J6" s="34"/>
      <c r="K6" s="34"/>
      <c r="L6" s="33"/>
      <c r="M6" s="8"/>
      <c r="N6" s="8"/>
    </row>
    <row r="7" customFormat="false" ht="18" hidden="false" customHeight="true" outlineLevel="0" collapsed="false">
      <c r="A7" s="33"/>
      <c r="B7" s="10" t="str">
        <f aca="false">IF($A7="","",IFERROR(INDEX(案件管理!$B$3:$B$202,MATCH($A7,案件管理!$A$3:$A$202,0)),"←IDが未登録です"))</f>
        <v/>
      </c>
      <c r="C7" s="37"/>
      <c r="D7" s="20" t="str">
        <f aca="false">IF($C7="","",CHOOSE(WEEKDAY($C7,1),"日","月","火","水","木","金","土"))</f>
        <v/>
      </c>
      <c r="E7" s="63"/>
      <c r="F7" s="63"/>
      <c r="G7" s="45"/>
      <c r="H7" s="61" t="str">
        <f aca="false">IF(OR($E7="",$F7=""),"",($F7-$E7)*24-N($G7))</f>
        <v/>
      </c>
      <c r="I7" s="8"/>
      <c r="J7" s="34"/>
      <c r="K7" s="34"/>
      <c r="L7" s="33"/>
      <c r="M7" s="8"/>
      <c r="N7" s="8"/>
    </row>
    <row r="8" customFormat="false" ht="18" hidden="false" customHeight="true" outlineLevel="0" collapsed="false">
      <c r="A8" s="33"/>
      <c r="B8" s="10" t="str">
        <f aca="false">IF($A8="","",IFERROR(INDEX(案件管理!$B$3:$B$202,MATCH($A8,案件管理!$A$3:$A$202,0)),"←IDが未登録です"))</f>
        <v/>
      </c>
      <c r="C8" s="37"/>
      <c r="D8" s="20" t="str">
        <f aca="false">IF($C8="","",CHOOSE(WEEKDAY($C8,1),"日","月","火","水","木","金","土"))</f>
        <v/>
      </c>
      <c r="E8" s="63"/>
      <c r="F8" s="63"/>
      <c r="G8" s="45"/>
      <c r="H8" s="61" t="str">
        <f aca="false">IF(OR($E8="",$F8=""),"",($F8-$E8)*24-N($G8))</f>
        <v/>
      </c>
      <c r="I8" s="8"/>
      <c r="J8" s="34"/>
      <c r="K8" s="34"/>
      <c r="L8" s="33"/>
      <c r="M8" s="8"/>
      <c r="N8" s="8"/>
    </row>
    <row r="9" customFormat="false" ht="18" hidden="false" customHeight="true" outlineLevel="0" collapsed="false">
      <c r="A9" s="33"/>
      <c r="B9" s="10" t="str">
        <f aca="false">IF($A9="","",IFERROR(INDEX(案件管理!$B$3:$B$202,MATCH($A9,案件管理!$A$3:$A$202,0)),"←IDが未登録です"))</f>
        <v/>
      </c>
      <c r="C9" s="37"/>
      <c r="D9" s="20" t="str">
        <f aca="false">IF($C9="","",CHOOSE(WEEKDAY($C9,1),"日","月","火","水","木","金","土"))</f>
        <v/>
      </c>
      <c r="E9" s="63"/>
      <c r="F9" s="63"/>
      <c r="G9" s="45"/>
      <c r="H9" s="61" t="str">
        <f aca="false">IF(OR($E9="",$F9=""),"",($F9-$E9)*24-N($G9))</f>
        <v/>
      </c>
      <c r="I9" s="8"/>
      <c r="J9" s="34"/>
      <c r="K9" s="34"/>
      <c r="L9" s="33"/>
      <c r="M9" s="8"/>
      <c r="N9" s="8"/>
    </row>
    <row r="10" customFormat="false" ht="18" hidden="false" customHeight="true" outlineLevel="0" collapsed="false">
      <c r="A10" s="33"/>
      <c r="B10" s="10" t="str">
        <f aca="false">IF($A10="","",IFERROR(INDEX(案件管理!$B$3:$B$202,MATCH($A10,案件管理!$A$3:$A$202,0)),"←IDが未登録です"))</f>
        <v/>
      </c>
      <c r="C10" s="37"/>
      <c r="D10" s="20" t="str">
        <f aca="false">IF($C10="","",CHOOSE(WEEKDAY($C10,1),"日","月","火","水","木","金","土"))</f>
        <v/>
      </c>
      <c r="E10" s="63"/>
      <c r="F10" s="63"/>
      <c r="G10" s="45"/>
      <c r="H10" s="61" t="str">
        <f aca="false">IF(OR($E10="",$F10=""),"",($F10-$E10)*24-N($G10))</f>
        <v/>
      </c>
      <c r="I10" s="8"/>
      <c r="J10" s="34"/>
      <c r="K10" s="34"/>
      <c r="L10" s="33"/>
      <c r="M10" s="8"/>
      <c r="N10" s="8"/>
    </row>
    <row r="11" customFormat="false" ht="18" hidden="false" customHeight="true" outlineLevel="0" collapsed="false">
      <c r="A11" s="33"/>
      <c r="B11" s="10" t="str">
        <f aca="false">IF($A11="","",IFERROR(INDEX(案件管理!$B$3:$B$202,MATCH($A11,案件管理!$A$3:$A$202,0)),"←IDが未登録です"))</f>
        <v/>
      </c>
      <c r="C11" s="37"/>
      <c r="D11" s="20" t="str">
        <f aca="false">IF($C11="","",CHOOSE(WEEKDAY($C11,1),"日","月","火","水","木","金","土"))</f>
        <v/>
      </c>
      <c r="E11" s="63"/>
      <c r="F11" s="63"/>
      <c r="G11" s="45"/>
      <c r="H11" s="61" t="str">
        <f aca="false">IF(OR($E11="",$F11=""),"",($F11-$E11)*24-N($G11))</f>
        <v/>
      </c>
      <c r="I11" s="8"/>
      <c r="J11" s="34"/>
      <c r="K11" s="34"/>
      <c r="L11" s="33"/>
      <c r="M11" s="8"/>
      <c r="N11" s="8"/>
    </row>
    <row r="12" customFormat="false" ht="18" hidden="false" customHeight="true" outlineLevel="0" collapsed="false">
      <c r="A12" s="33"/>
      <c r="B12" s="10" t="str">
        <f aca="false">IF($A12="","",IFERROR(INDEX(案件管理!$B$3:$B$202,MATCH($A12,案件管理!$A$3:$A$202,0)),"←IDが未登録です"))</f>
        <v/>
      </c>
      <c r="C12" s="37"/>
      <c r="D12" s="20" t="str">
        <f aca="false">IF($C12="","",CHOOSE(WEEKDAY($C12,1),"日","月","火","水","木","金","土"))</f>
        <v/>
      </c>
      <c r="E12" s="63"/>
      <c r="F12" s="63"/>
      <c r="G12" s="45"/>
      <c r="H12" s="61" t="str">
        <f aca="false">IF(OR($E12="",$F12=""),"",($F12-$E12)*24-N($G12))</f>
        <v/>
      </c>
      <c r="I12" s="8"/>
      <c r="J12" s="34"/>
      <c r="K12" s="34"/>
      <c r="L12" s="33"/>
      <c r="M12" s="8"/>
      <c r="N12" s="8"/>
    </row>
    <row r="13" customFormat="false" ht="18" hidden="false" customHeight="true" outlineLevel="0" collapsed="false">
      <c r="A13" s="33"/>
      <c r="B13" s="10" t="str">
        <f aca="false">IF($A13="","",IFERROR(INDEX(案件管理!$B$3:$B$202,MATCH($A13,案件管理!$A$3:$A$202,0)),"←IDが未登録です"))</f>
        <v/>
      </c>
      <c r="C13" s="37"/>
      <c r="D13" s="20" t="str">
        <f aca="false">IF($C13="","",CHOOSE(WEEKDAY($C13,1),"日","月","火","水","木","金","土"))</f>
        <v/>
      </c>
      <c r="E13" s="63"/>
      <c r="F13" s="63"/>
      <c r="G13" s="45"/>
      <c r="H13" s="61" t="str">
        <f aca="false">IF(OR($E13="",$F13=""),"",($F13-$E13)*24-N($G13))</f>
        <v/>
      </c>
      <c r="I13" s="8"/>
      <c r="J13" s="34"/>
      <c r="K13" s="34"/>
      <c r="L13" s="33"/>
      <c r="M13" s="8"/>
      <c r="N13" s="8"/>
    </row>
    <row r="14" customFormat="false" ht="18" hidden="false" customHeight="true" outlineLevel="0" collapsed="false">
      <c r="A14" s="33"/>
      <c r="B14" s="10" t="str">
        <f aca="false">IF($A14="","",IFERROR(INDEX(案件管理!$B$3:$B$202,MATCH($A14,案件管理!$A$3:$A$202,0)),"←IDが未登録です"))</f>
        <v/>
      </c>
      <c r="C14" s="37"/>
      <c r="D14" s="20" t="str">
        <f aca="false">IF($C14="","",CHOOSE(WEEKDAY($C14,1),"日","月","火","水","木","金","土"))</f>
        <v/>
      </c>
      <c r="E14" s="63"/>
      <c r="F14" s="63"/>
      <c r="G14" s="45"/>
      <c r="H14" s="61" t="str">
        <f aca="false">IF(OR($E14="",$F14=""),"",($F14-$E14)*24-N($G14))</f>
        <v/>
      </c>
      <c r="I14" s="8"/>
      <c r="J14" s="34"/>
      <c r="K14" s="34"/>
      <c r="L14" s="33"/>
      <c r="M14" s="8"/>
      <c r="N14" s="8"/>
    </row>
    <row r="15" customFormat="false" ht="18" hidden="false" customHeight="true" outlineLevel="0" collapsed="false">
      <c r="A15" s="33"/>
      <c r="B15" s="10" t="str">
        <f aca="false">IF($A15="","",IFERROR(INDEX(案件管理!$B$3:$B$202,MATCH($A15,案件管理!$A$3:$A$202,0)),"←IDが未登録です"))</f>
        <v/>
      </c>
      <c r="C15" s="37"/>
      <c r="D15" s="20" t="str">
        <f aca="false">IF($C15="","",CHOOSE(WEEKDAY($C15,1),"日","月","火","水","木","金","土"))</f>
        <v/>
      </c>
      <c r="E15" s="63"/>
      <c r="F15" s="63"/>
      <c r="G15" s="45"/>
      <c r="H15" s="61" t="str">
        <f aca="false">IF(OR($E15="",$F15=""),"",($F15-$E15)*24-N($G15))</f>
        <v/>
      </c>
      <c r="I15" s="8"/>
      <c r="J15" s="34"/>
      <c r="K15" s="34"/>
      <c r="L15" s="33"/>
      <c r="M15" s="8"/>
      <c r="N15" s="8"/>
    </row>
    <row r="16" customFormat="false" ht="18" hidden="false" customHeight="true" outlineLevel="0" collapsed="false">
      <c r="A16" s="33"/>
      <c r="B16" s="10" t="str">
        <f aca="false">IF($A16="","",IFERROR(INDEX(案件管理!$B$3:$B$202,MATCH($A16,案件管理!$A$3:$A$202,0)),"←IDが未登録です"))</f>
        <v/>
      </c>
      <c r="C16" s="37"/>
      <c r="D16" s="20" t="str">
        <f aca="false">IF($C16="","",CHOOSE(WEEKDAY($C16,1),"日","月","火","水","木","金","土"))</f>
        <v/>
      </c>
      <c r="E16" s="63"/>
      <c r="F16" s="63"/>
      <c r="G16" s="45"/>
      <c r="H16" s="61" t="str">
        <f aca="false">IF(OR($E16="",$F16=""),"",($F16-$E16)*24-N($G16))</f>
        <v/>
      </c>
      <c r="I16" s="8"/>
      <c r="J16" s="34"/>
      <c r="K16" s="34"/>
      <c r="L16" s="33"/>
      <c r="M16" s="8"/>
      <c r="N16" s="8"/>
    </row>
    <row r="17" customFormat="false" ht="18" hidden="false" customHeight="true" outlineLevel="0" collapsed="false">
      <c r="A17" s="33"/>
      <c r="B17" s="10" t="str">
        <f aca="false">IF($A17="","",IFERROR(INDEX(案件管理!$B$3:$B$202,MATCH($A17,案件管理!$A$3:$A$202,0)),"←IDが未登録です"))</f>
        <v/>
      </c>
      <c r="C17" s="37"/>
      <c r="D17" s="20" t="str">
        <f aca="false">IF($C17="","",CHOOSE(WEEKDAY($C17,1),"日","月","火","水","木","金","土"))</f>
        <v/>
      </c>
      <c r="E17" s="63"/>
      <c r="F17" s="63"/>
      <c r="G17" s="45"/>
      <c r="H17" s="61" t="str">
        <f aca="false">IF(OR($E17="",$F17=""),"",($F17-$E17)*24-N($G17))</f>
        <v/>
      </c>
      <c r="I17" s="8"/>
      <c r="J17" s="34"/>
      <c r="K17" s="34"/>
      <c r="L17" s="33"/>
      <c r="M17" s="8"/>
      <c r="N17" s="8"/>
    </row>
    <row r="18" customFormat="false" ht="18" hidden="false" customHeight="true" outlineLevel="0" collapsed="false">
      <c r="A18" s="33"/>
      <c r="B18" s="10" t="str">
        <f aca="false">IF($A18="","",IFERROR(INDEX(案件管理!$B$3:$B$202,MATCH($A18,案件管理!$A$3:$A$202,0)),"←IDが未登録です"))</f>
        <v/>
      </c>
      <c r="C18" s="37"/>
      <c r="D18" s="20" t="str">
        <f aca="false">IF($C18="","",CHOOSE(WEEKDAY($C18,1),"日","月","火","水","木","金","土"))</f>
        <v/>
      </c>
      <c r="E18" s="63"/>
      <c r="F18" s="63"/>
      <c r="G18" s="45"/>
      <c r="H18" s="61" t="str">
        <f aca="false">IF(OR($E18="",$F18=""),"",($F18-$E18)*24-N($G18))</f>
        <v/>
      </c>
      <c r="I18" s="8"/>
      <c r="J18" s="34"/>
      <c r="K18" s="34"/>
      <c r="L18" s="33"/>
      <c r="M18" s="8"/>
      <c r="N18" s="8"/>
    </row>
    <row r="19" customFormat="false" ht="18" hidden="false" customHeight="true" outlineLevel="0" collapsed="false">
      <c r="A19" s="33"/>
      <c r="B19" s="10" t="str">
        <f aca="false">IF($A19="","",IFERROR(INDEX(案件管理!$B$3:$B$202,MATCH($A19,案件管理!$A$3:$A$202,0)),"←IDが未登録です"))</f>
        <v/>
      </c>
      <c r="C19" s="37"/>
      <c r="D19" s="20" t="str">
        <f aca="false">IF($C19="","",CHOOSE(WEEKDAY($C19,1),"日","月","火","水","木","金","土"))</f>
        <v/>
      </c>
      <c r="E19" s="63"/>
      <c r="F19" s="63"/>
      <c r="G19" s="45"/>
      <c r="H19" s="61" t="str">
        <f aca="false">IF(OR($E19="",$F19=""),"",($F19-$E19)*24-N($G19))</f>
        <v/>
      </c>
      <c r="I19" s="8"/>
      <c r="J19" s="34"/>
      <c r="K19" s="34"/>
      <c r="L19" s="33"/>
      <c r="M19" s="8"/>
      <c r="N19" s="8"/>
    </row>
    <row r="20" customFormat="false" ht="18" hidden="false" customHeight="true" outlineLevel="0" collapsed="false">
      <c r="A20" s="33"/>
      <c r="B20" s="10" t="str">
        <f aca="false">IF($A20="","",IFERROR(INDEX(案件管理!$B$3:$B$202,MATCH($A20,案件管理!$A$3:$A$202,0)),"←IDが未登録です"))</f>
        <v/>
      </c>
      <c r="C20" s="37"/>
      <c r="D20" s="20" t="str">
        <f aca="false">IF($C20="","",CHOOSE(WEEKDAY($C20,1),"日","月","火","水","木","金","土"))</f>
        <v/>
      </c>
      <c r="E20" s="63"/>
      <c r="F20" s="63"/>
      <c r="G20" s="45"/>
      <c r="H20" s="61" t="str">
        <f aca="false">IF(OR($E20="",$F20=""),"",($F20-$E20)*24-N($G20))</f>
        <v/>
      </c>
      <c r="I20" s="8"/>
      <c r="J20" s="34"/>
      <c r="K20" s="34"/>
      <c r="L20" s="33"/>
      <c r="M20" s="8"/>
      <c r="N20" s="8"/>
    </row>
    <row r="21" customFormat="false" ht="18" hidden="false" customHeight="true" outlineLevel="0" collapsed="false">
      <c r="A21" s="33"/>
      <c r="B21" s="10" t="str">
        <f aca="false">IF($A21="","",IFERROR(INDEX(案件管理!$B$3:$B$202,MATCH($A21,案件管理!$A$3:$A$202,0)),"←IDが未登録です"))</f>
        <v/>
      </c>
      <c r="C21" s="37"/>
      <c r="D21" s="20" t="str">
        <f aca="false">IF($C21="","",CHOOSE(WEEKDAY($C21,1),"日","月","火","水","木","金","土"))</f>
        <v/>
      </c>
      <c r="E21" s="63"/>
      <c r="F21" s="63"/>
      <c r="G21" s="45"/>
      <c r="H21" s="61" t="str">
        <f aca="false">IF(OR($E21="",$F21=""),"",($F21-$E21)*24-N($G21))</f>
        <v/>
      </c>
      <c r="I21" s="8"/>
      <c r="J21" s="34"/>
      <c r="K21" s="34"/>
      <c r="L21" s="33"/>
      <c r="M21" s="8"/>
      <c r="N21" s="8"/>
    </row>
    <row r="22" customFormat="false" ht="18" hidden="false" customHeight="true" outlineLevel="0" collapsed="false">
      <c r="A22" s="33"/>
      <c r="B22" s="10" t="str">
        <f aca="false">IF($A22="","",IFERROR(INDEX(案件管理!$B$3:$B$202,MATCH($A22,案件管理!$A$3:$A$202,0)),"←IDが未登録です"))</f>
        <v/>
      </c>
      <c r="C22" s="37"/>
      <c r="D22" s="20" t="str">
        <f aca="false">IF($C22="","",CHOOSE(WEEKDAY($C22,1),"日","月","火","水","木","金","土"))</f>
        <v/>
      </c>
      <c r="E22" s="63"/>
      <c r="F22" s="63"/>
      <c r="G22" s="45"/>
      <c r="H22" s="61" t="str">
        <f aca="false">IF(OR($E22="",$F22=""),"",($F22-$E22)*24-N($G22))</f>
        <v/>
      </c>
      <c r="I22" s="8"/>
      <c r="J22" s="34"/>
      <c r="K22" s="34"/>
      <c r="L22" s="33"/>
      <c r="M22" s="8"/>
      <c r="N22" s="8"/>
    </row>
    <row r="23" customFormat="false" ht="18" hidden="false" customHeight="true" outlineLevel="0" collapsed="false">
      <c r="A23" s="33"/>
      <c r="B23" s="10" t="str">
        <f aca="false">IF($A23="","",IFERROR(INDEX(案件管理!$B$3:$B$202,MATCH($A23,案件管理!$A$3:$A$202,0)),"←IDが未登録です"))</f>
        <v/>
      </c>
      <c r="C23" s="37"/>
      <c r="D23" s="20" t="str">
        <f aca="false">IF($C23="","",CHOOSE(WEEKDAY($C23,1),"日","月","火","水","木","金","土"))</f>
        <v/>
      </c>
      <c r="E23" s="63"/>
      <c r="F23" s="63"/>
      <c r="G23" s="45"/>
      <c r="H23" s="61" t="str">
        <f aca="false">IF(OR($E23="",$F23=""),"",($F23-$E23)*24-N($G23))</f>
        <v/>
      </c>
      <c r="I23" s="8"/>
      <c r="J23" s="34"/>
      <c r="K23" s="34"/>
      <c r="L23" s="33"/>
      <c r="M23" s="8"/>
      <c r="N23" s="8"/>
    </row>
    <row r="24" customFormat="false" ht="18" hidden="false" customHeight="true" outlineLevel="0" collapsed="false">
      <c r="A24" s="33"/>
      <c r="B24" s="10" t="str">
        <f aca="false">IF($A24="","",IFERROR(INDEX(案件管理!$B$3:$B$202,MATCH($A24,案件管理!$A$3:$A$202,0)),"←IDが未登録です"))</f>
        <v/>
      </c>
      <c r="C24" s="37"/>
      <c r="D24" s="20" t="str">
        <f aca="false">IF($C24="","",CHOOSE(WEEKDAY($C24,1),"日","月","火","水","木","金","土"))</f>
        <v/>
      </c>
      <c r="E24" s="63"/>
      <c r="F24" s="63"/>
      <c r="G24" s="45"/>
      <c r="H24" s="61" t="str">
        <f aca="false">IF(OR($E24="",$F24=""),"",($F24-$E24)*24-N($G24))</f>
        <v/>
      </c>
      <c r="I24" s="8"/>
      <c r="J24" s="34"/>
      <c r="K24" s="34"/>
      <c r="L24" s="33"/>
      <c r="M24" s="8"/>
      <c r="N24" s="8"/>
    </row>
    <row r="25" customFormat="false" ht="18" hidden="false" customHeight="true" outlineLevel="0" collapsed="false">
      <c r="A25" s="33"/>
      <c r="B25" s="10" t="str">
        <f aca="false">IF($A25="","",IFERROR(INDEX(案件管理!$B$3:$B$202,MATCH($A25,案件管理!$A$3:$A$202,0)),"←IDが未登録です"))</f>
        <v/>
      </c>
      <c r="C25" s="37"/>
      <c r="D25" s="20" t="str">
        <f aca="false">IF($C25="","",CHOOSE(WEEKDAY($C25,1),"日","月","火","水","木","金","土"))</f>
        <v/>
      </c>
      <c r="E25" s="63"/>
      <c r="F25" s="63"/>
      <c r="G25" s="45"/>
      <c r="H25" s="61" t="str">
        <f aca="false">IF(OR($E25="",$F25=""),"",($F25-$E25)*24-N($G25))</f>
        <v/>
      </c>
      <c r="I25" s="8"/>
      <c r="J25" s="34"/>
      <c r="K25" s="34"/>
      <c r="L25" s="33"/>
      <c r="M25" s="8"/>
      <c r="N25" s="8"/>
    </row>
    <row r="26" customFormat="false" ht="18" hidden="false" customHeight="true" outlineLevel="0" collapsed="false">
      <c r="A26" s="33"/>
      <c r="B26" s="10" t="str">
        <f aca="false">IF($A26="","",IFERROR(INDEX(案件管理!$B$3:$B$202,MATCH($A26,案件管理!$A$3:$A$202,0)),"←IDが未登録です"))</f>
        <v/>
      </c>
      <c r="C26" s="37"/>
      <c r="D26" s="20" t="str">
        <f aca="false">IF($C26="","",CHOOSE(WEEKDAY($C26,1),"日","月","火","水","木","金","土"))</f>
        <v/>
      </c>
      <c r="E26" s="63"/>
      <c r="F26" s="63"/>
      <c r="G26" s="45"/>
      <c r="H26" s="61" t="str">
        <f aca="false">IF(OR($E26="",$F26=""),"",($F26-$E26)*24-N($G26))</f>
        <v/>
      </c>
      <c r="I26" s="8"/>
      <c r="J26" s="34"/>
      <c r="K26" s="34"/>
      <c r="L26" s="33"/>
      <c r="M26" s="8"/>
      <c r="N26" s="8"/>
    </row>
    <row r="27" customFormat="false" ht="18" hidden="false" customHeight="true" outlineLevel="0" collapsed="false">
      <c r="A27" s="33"/>
      <c r="B27" s="10" t="str">
        <f aca="false">IF($A27="","",IFERROR(INDEX(案件管理!$B$3:$B$202,MATCH($A27,案件管理!$A$3:$A$202,0)),"←IDが未登録です"))</f>
        <v/>
      </c>
      <c r="C27" s="37"/>
      <c r="D27" s="20" t="str">
        <f aca="false">IF($C27="","",CHOOSE(WEEKDAY($C27,1),"日","月","火","水","木","金","土"))</f>
        <v/>
      </c>
      <c r="E27" s="63"/>
      <c r="F27" s="63"/>
      <c r="G27" s="45"/>
      <c r="H27" s="61" t="str">
        <f aca="false">IF(OR($E27="",$F27=""),"",($F27-$E27)*24-N($G27))</f>
        <v/>
      </c>
      <c r="I27" s="8"/>
      <c r="J27" s="34"/>
      <c r="K27" s="34"/>
      <c r="L27" s="33"/>
      <c r="M27" s="8"/>
      <c r="N27" s="8"/>
    </row>
    <row r="28" customFormat="false" ht="18" hidden="false" customHeight="true" outlineLevel="0" collapsed="false">
      <c r="A28" s="33"/>
      <c r="B28" s="10" t="str">
        <f aca="false">IF($A28="","",IFERROR(INDEX(案件管理!$B$3:$B$202,MATCH($A28,案件管理!$A$3:$A$202,0)),"←IDが未登録です"))</f>
        <v/>
      </c>
      <c r="C28" s="37"/>
      <c r="D28" s="20" t="str">
        <f aca="false">IF($C28="","",CHOOSE(WEEKDAY($C28,1),"日","月","火","水","木","金","土"))</f>
        <v/>
      </c>
      <c r="E28" s="63"/>
      <c r="F28" s="63"/>
      <c r="G28" s="45"/>
      <c r="H28" s="61" t="str">
        <f aca="false">IF(OR($E28="",$F28=""),"",($F28-$E28)*24-N($G28))</f>
        <v/>
      </c>
      <c r="I28" s="8"/>
      <c r="J28" s="34"/>
      <c r="K28" s="34"/>
      <c r="L28" s="33"/>
      <c r="M28" s="8"/>
      <c r="N28" s="8"/>
    </row>
    <row r="29" customFormat="false" ht="18" hidden="false" customHeight="true" outlineLevel="0" collapsed="false">
      <c r="A29" s="33"/>
      <c r="B29" s="10" t="str">
        <f aca="false">IF($A29="","",IFERROR(INDEX(案件管理!$B$3:$B$202,MATCH($A29,案件管理!$A$3:$A$202,0)),"←IDが未登録です"))</f>
        <v/>
      </c>
      <c r="C29" s="37"/>
      <c r="D29" s="20" t="str">
        <f aca="false">IF($C29="","",CHOOSE(WEEKDAY($C29,1),"日","月","火","水","木","金","土"))</f>
        <v/>
      </c>
      <c r="E29" s="63"/>
      <c r="F29" s="63"/>
      <c r="G29" s="45"/>
      <c r="H29" s="61" t="str">
        <f aca="false">IF(OR($E29="",$F29=""),"",($F29-$E29)*24-N($G29))</f>
        <v/>
      </c>
      <c r="I29" s="8"/>
      <c r="J29" s="34"/>
      <c r="K29" s="34"/>
      <c r="L29" s="33"/>
      <c r="M29" s="8"/>
      <c r="N29" s="8"/>
    </row>
    <row r="30" customFormat="false" ht="18" hidden="false" customHeight="true" outlineLevel="0" collapsed="false">
      <c r="A30" s="33"/>
      <c r="B30" s="10" t="str">
        <f aca="false">IF($A30="","",IFERROR(INDEX(案件管理!$B$3:$B$202,MATCH($A30,案件管理!$A$3:$A$202,0)),"←IDが未登録です"))</f>
        <v/>
      </c>
      <c r="C30" s="37"/>
      <c r="D30" s="20" t="str">
        <f aca="false">IF($C30="","",CHOOSE(WEEKDAY($C30,1),"日","月","火","水","木","金","土"))</f>
        <v/>
      </c>
      <c r="E30" s="63"/>
      <c r="F30" s="63"/>
      <c r="G30" s="45"/>
      <c r="H30" s="61" t="str">
        <f aca="false">IF(OR($E30="",$F30=""),"",($F30-$E30)*24-N($G30))</f>
        <v/>
      </c>
      <c r="I30" s="8"/>
      <c r="J30" s="34"/>
      <c r="K30" s="34"/>
      <c r="L30" s="33"/>
      <c r="M30" s="8"/>
      <c r="N30" s="8"/>
    </row>
    <row r="31" customFormat="false" ht="18" hidden="false" customHeight="true" outlineLevel="0" collapsed="false">
      <c r="A31" s="33"/>
      <c r="B31" s="10" t="str">
        <f aca="false">IF($A31="","",IFERROR(INDEX(案件管理!$B$3:$B$202,MATCH($A31,案件管理!$A$3:$A$202,0)),"←IDが未登録です"))</f>
        <v/>
      </c>
      <c r="C31" s="37"/>
      <c r="D31" s="20" t="str">
        <f aca="false">IF($C31="","",CHOOSE(WEEKDAY($C31,1),"日","月","火","水","木","金","土"))</f>
        <v/>
      </c>
      <c r="E31" s="63"/>
      <c r="F31" s="63"/>
      <c r="G31" s="45"/>
      <c r="H31" s="61" t="str">
        <f aca="false">IF(OR($E31="",$F31=""),"",($F31-$E31)*24-N($G31))</f>
        <v/>
      </c>
      <c r="I31" s="8"/>
      <c r="J31" s="34"/>
      <c r="K31" s="34"/>
      <c r="L31" s="33"/>
      <c r="M31" s="8"/>
      <c r="N31" s="8"/>
    </row>
    <row r="32" customFormat="false" ht="18" hidden="false" customHeight="true" outlineLevel="0" collapsed="false">
      <c r="A32" s="33"/>
      <c r="B32" s="10" t="str">
        <f aca="false">IF($A32="","",IFERROR(INDEX(案件管理!$B$3:$B$202,MATCH($A32,案件管理!$A$3:$A$202,0)),"←IDが未登録です"))</f>
        <v/>
      </c>
      <c r="C32" s="37"/>
      <c r="D32" s="20" t="str">
        <f aca="false">IF($C32="","",CHOOSE(WEEKDAY($C32,1),"日","月","火","水","木","金","土"))</f>
        <v/>
      </c>
      <c r="E32" s="63"/>
      <c r="F32" s="63"/>
      <c r="G32" s="45"/>
      <c r="H32" s="61" t="str">
        <f aca="false">IF(OR($E32="",$F32=""),"",($F32-$E32)*24-N($G32))</f>
        <v/>
      </c>
      <c r="I32" s="8"/>
      <c r="J32" s="34"/>
      <c r="K32" s="34"/>
      <c r="L32" s="33"/>
      <c r="M32" s="8"/>
      <c r="N32" s="8"/>
    </row>
    <row r="33" customFormat="false" ht="18" hidden="false" customHeight="true" outlineLevel="0" collapsed="false">
      <c r="A33" s="33"/>
      <c r="B33" s="10" t="str">
        <f aca="false">IF($A33="","",IFERROR(INDEX(案件管理!$B$3:$B$202,MATCH($A33,案件管理!$A$3:$A$202,0)),"←IDが未登録です"))</f>
        <v/>
      </c>
      <c r="C33" s="37"/>
      <c r="D33" s="20" t="str">
        <f aca="false">IF($C33="","",CHOOSE(WEEKDAY($C33,1),"日","月","火","水","木","金","土"))</f>
        <v/>
      </c>
      <c r="E33" s="63"/>
      <c r="F33" s="63"/>
      <c r="G33" s="45"/>
      <c r="H33" s="61" t="str">
        <f aca="false">IF(OR($E33="",$F33=""),"",($F33-$E33)*24-N($G33))</f>
        <v/>
      </c>
      <c r="I33" s="8"/>
      <c r="J33" s="34"/>
      <c r="K33" s="34"/>
      <c r="L33" s="33"/>
      <c r="M33" s="8"/>
      <c r="N33" s="8"/>
    </row>
    <row r="34" customFormat="false" ht="18" hidden="false" customHeight="true" outlineLevel="0" collapsed="false">
      <c r="A34" s="33"/>
      <c r="B34" s="10" t="str">
        <f aca="false">IF($A34="","",IFERROR(INDEX(案件管理!$B$3:$B$202,MATCH($A34,案件管理!$A$3:$A$202,0)),"←IDが未登録です"))</f>
        <v/>
      </c>
      <c r="C34" s="37"/>
      <c r="D34" s="20" t="str">
        <f aca="false">IF($C34="","",CHOOSE(WEEKDAY($C34,1),"日","月","火","水","木","金","土"))</f>
        <v/>
      </c>
      <c r="E34" s="63"/>
      <c r="F34" s="63"/>
      <c r="G34" s="45"/>
      <c r="H34" s="61" t="str">
        <f aca="false">IF(OR($E34="",$F34=""),"",($F34-$E34)*24-N($G34))</f>
        <v/>
      </c>
      <c r="I34" s="8"/>
      <c r="J34" s="34"/>
      <c r="K34" s="34"/>
      <c r="L34" s="33"/>
      <c r="M34" s="8"/>
      <c r="N34" s="8"/>
    </row>
    <row r="35" customFormat="false" ht="18" hidden="false" customHeight="true" outlineLevel="0" collapsed="false">
      <c r="A35" s="33"/>
      <c r="B35" s="10" t="str">
        <f aca="false">IF($A35="","",IFERROR(INDEX(案件管理!$B$3:$B$202,MATCH($A35,案件管理!$A$3:$A$202,0)),"←IDが未登録です"))</f>
        <v/>
      </c>
      <c r="C35" s="37"/>
      <c r="D35" s="20" t="str">
        <f aca="false">IF($C35="","",CHOOSE(WEEKDAY($C35,1),"日","月","火","水","木","金","土"))</f>
        <v/>
      </c>
      <c r="E35" s="63"/>
      <c r="F35" s="63"/>
      <c r="G35" s="45"/>
      <c r="H35" s="61" t="str">
        <f aca="false">IF(OR($E35="",$F35=""),"",($F35-$E35)*24-N($G35))</f>
        <v/>
      </c>
      <c r="I35" s="8"/>
      <c r="J35" s="34"/>
      <c r="K35" s="34"/>
      <c r="L35" s="33"/>
      <c r="M35" s="8"/>
      <c r="N35" s="8"/>
    </row>
    <row r="36" customFormat="false" ht="18" hidden="false" customHeight="true" outlineLevel="0" collapsed="false">
      <c r="A36" s="33"/>
      <c r="B36" s="10" t="str">
        <f aca="false">IF($A36="","",IFERROR(INDEX(案件管理!$B$3:$B$202,MATCH($A36,案件管理!$A$3:$A$202,0)),"←IDが未登録です"))</f>
        <v/>
      </c>
      <c r="C36" s="37"/>
      <c r="D36" s="20" t="str">
        <f aca="false">IF($C36="","",CHOOSE(WEEKDAY($C36,1),"日","月","火","水","木","金","土"))</f>
        <v/>
      </c>
      <c r="E36" s="63"/>
      <c r="F36" s="63"/>
      <c r="G36" s="45"/>
      <c r="H36" s="61" t="str">
        <f aca="false">IF(OR($E36="",$F36=""),"",($F36-$E36)*24-N($G36))</f>
        <v/>
      </c>
      <c r="I36" s="8"/>
      <c r="J36" s="34"/>
      <c r="K36" s="34"/>
      <c r="L36" s="33"/>
      <c r="M36" s="8"/>
      <c r="N36" s="8"/>
    </row>
    <row r="37" customFormat="false" ht="18" hidden="false" customHeight="true" outlineLevel="0" collapsed="false">
      <c r="A37" s="33"/>
      <c r="B37" s="10" t="str">
        <f aca="false">IF($A37="","",IFERROR(INDEX(案件管理!$B$3:$B$202,MATCH($A37,案件管理!$A$3:$A$202,0)),"←IDが未登録です"))</f>
        <v/>
      </c>
      <c r="C37" s="37"/>
      <c r="D37" s="20" t="str">
        <f aca="false">IF($C37="","",CHOOSE(WEEKDAY($C37,1),"日","月","火","水","木","金","土"))</f>
        <v/>
      </c>
      <c r="E37" s="63"/>
      <c r="F37" s="63"/>
      <c r="G37" s="45"/>
      <c r="H37" s="61" t="str">
        <f aca="false">IF(OR($E37="",$F37=""),"",($F37-$E37)*24-N($G37))</f>
        <v/>
      </c>
      <c r="I37" s="8"/>
      <c r="J37" s="34"/>
      <c r="K37" s="34"/>
      <c r="L37" s="33"/>
      <c r="M37" s="8"/>
      <c r="N37" s="8"/>
    </row>
    <row r="38" customFormat="false" ht="18" hidden="false" customHeight="true" outlineLevel="0" collapsed="false">
      <c r="A38" s="33"/>
      <c r="B38" s="10" t="str">
        <f aca="false">IF($A38="","",IFERROR(INDEX(案件管理!$B$3:$B$202,MATCH($A38,案件管理!$A$3:$A$202,0)),"←IDが未登録です"))</f>
        <v/>
      </c>
      <c r="C38" s="37"/>
      <c r="D38" s="20" t="str">
        <f aca="false">IF($C38="","",CHOOSE(WEEKDAY($C38,1),"日","月","火","水","木","金","土"))</f>
        <v/>
      </c>
      <c r="E38" s="63"/>
      <c r="F38" s="63"/>
      <c r="G38" s="45"/>
      <c r="H38" s="61" t="str">
        <f aca="false">IF(OR($E38="",$F38=""),"",($F38-$E38)*24-N($G38))</f>
        <v/>
      </c>
      <c r="I38" s="8"/>
      <c r="J38" s="34"/>
      <c r="K38" s="34"/>
      <c r="L38" s="33"/>
      <c r="M38" s="8"/>
      <c r="N38" s="8"/>
    </row>
    <row r="39" customFormat="false" ht="18" hidden="false" customHeight="true" outlineLevel="0" collapsed="false">
      <c r="A39" s="33"/>
      <c r="B39" s="10" t="str">
        <f aca="false">IF($A39="","",IFERROR(INDEX(案件管理!$B$3:$B$202,MATCH($A39,案件管理!$A$3:$A$202,0)),"←IDが未登録です"))</f>
        <v/>
      </c>
      <c r="C39" s="37"/>
      <c r="D39" s="20" t="str">
        <f aca="false">IF($C39="","",CHOOSE(WEEKDAY($C39,1),"日","月","火","水","木","金","土"))</f>
        <v/>
      </c>
      <c r="E39" s="63"/>
      <c r="F39" s="63"/>
      <c r="G39" s="45"/>
      <c r="H39" s="61" t="str">
        <f aca="false">IF(OR($E39="",$F39=""),"",($F39-$E39)*24-N($G39))</f>
        <v/>
      </c>
      <c r="I39" s="8"/>
      <c r="J39" s="34"/>
      <c r="K39" s="34"/>
      <c r="L39" s="33"/>
      <c r="M39" s="8"/>
      <c r="N39" s="8"/>
    </row>
    <row r="40" customFormat="false" ht="18" hidden="false" customHeight="true" outlineLevel="0" collapsed="false">
      <c r="A40" s="33"/>
      <c r="B40" s="10" t="str">
        <f aca="false">IF($A40="","",IFERROR(INDEX(案件管理!$B$3:$B$202,MATCH($A40,案件管理!$A$3:$A$202,0)),"←IDが未登録です"))</f>
        <v/>
      </c>
      <c r="C40" s="37"/>
      <c r="D40" s="20" t="str">
        <f aca="false">IF($C40="","",CHOOSE(WEEKDAY($C40,1),"日","月","火","水","木","金","土"))</f>
        <v/>
      </c>
      <c r="E40" s="63"/>
      <c r="F40" s="63"/>
      <c r="G40" s="45"/>
      <c r="H40" s="61" t="str">
        <f aca="false">IF(OR($E40="",$F40=""),"",($F40-$E40)*24-N($G40))</f>
        <v/>
      </c>
      <c r="I40" s="8"/>
      <c r="J40" s="34"/>
      <c r="K40" s="34"/>
      <c r="L40" s="33"/>
      <c r="M40" s="8"/>
      <c r="N40" s="8"/>
    </row>
    <row r="41" customFormat="false" ht="18" hidden="false" customHeight="true" outlineLevel="0" collapsed="false">
      <c r="A41" s="33"/>
      <c r="B41" s="10" t="str">
        <f aca="false">IF($A41="","",IFERROR(INDEX(案件管理!$B$3:$B$202,MATCH($A41,案件管理!$A$3:$A$202,0)),"←IDが未登録です"))</f>
        <v/>
      </c>
      <c r="C41" s="37"/>
      <c r="D41" s="20" t="str">
        <f aca="false">IF($C41="","",CHOOSE(WEEKDAY($C41,1),"日","月","火","水","木","金","土"))</f>
        <v/>
      </c>
      <c r="E41" s="63"/>
      <c r="F41" s="63"/>
      <c r="G41" s="45"/>
      <c r="H41" s="61" t="str">
        <f aca="false">IF(OR($E41="",$F41=""),"",($F41-$E41)*24-N($G41))</f>
        <v/>
      </c>
      <c r="I41" s="8"/>
      <c r="J41" s="34"/>
      <c r="K41" s="34"/>
      <c r="L41" s="33"/>
      <c r="M41" s="8"/>
      <c r="N41" s="8"/>
    </row>
    <row r="42" customFormat="false" ht="18" hidden="false" customHeight="true" outlineLevel="0" collapsed="false">
      <c r="A42" s="33"/>
      <c r="B42" s="10" t="str">
        <f aca="false">IF($A42="","",IFERROR(INDEX(案件管理!$B$3:$B$202,MATCH($A42,案件管理!$A$3:$A$202,0)),"←IDが未登録です"))</f>
        <v/>
      </c>
      <c r="C42" s="37"/>
      <c r="D42" s="20" t="str">
        <f aca="false">IF($C42="","",CHOOSE(WEEKDAY($C42,1),"日","月","火","水","木","金","土"))</f>
        <v/>
      </c>
      <c r="E42" s="63"/>
      <c r="F42" s="63"/>
      <c r="G42" s="45"/>
      <c r="H42" s="61" t="str">
        <f aca="false">IF(OR($E42="",$F42=""),"",($F42-$E42)*24-N($G42))</f>
        <v/>
      </c>
      <c r="I42" s="8"/>
      <c r="J42" s="34"/>
      <c r="K42" s="34"/>
      <c r="L42" s="33"/>
      <c r="M42" s="8"/>
      <c r="N42" s="8"/>
    </row>
    <row r="43" customFormat="false" ht="18" hidden="false" customHeight="true" outlineLevel="0" collapsed="false">
      <c r="A43" s="33"/>
      <c r="B43" s="10" t="str">
        <f aca="false">IF($A43="","",IFERROR(INDEX(案件管理!$B$3:$B$202,MATCH($A43,案件管理!$A$3:$A$202,0)),"←IDが未登録です"))</f>
        <v/>
      </c>
      <c r="C43" s="37"/>
      <c r="D43" s="20" t="str">
        <f aca="false">IF($C43="","",CHOOSE(WEEKDAY($C43,1),"日","月","火","水","木","金","土"))</f>
        <v/>
      </c>
      <c r="E43" s="63"/>
      <c r="F43" s="63"/>
      <c r="G43" s="45"/>
      <c r="H43" s="61" t="str">
        <f aca="false">IF(OR($E43="",$F43=""),"",($F43-$E43)*24-N($G43))</f>
        <v/>
      </c>
      <c r="I43" s="8"/>
      <c r="J43" s="34"/>
      <c r="K43" s="34"/>
      <c r="L43" s="33"/>
      <c r="M43" s="8"/>
      <c r="N43" s="8"/>
    </row>
    <row r="44" customFormat="false" ht="18" hidden="false" customHeight="true" outlineLevel="0" collapsed="false">
      <c r="A44" s="33"/>
      <c r="B44" s="10" t="str">
        <f aca="false">IF($A44="","",IFERROR(INDEX(案件管理!$B$3:$B$202,MATCH($A44,案件管理!$A$3:$A$202,0)),"←IDが未登録です"))</f>
        <v/>
      </c>
      <c r="C44" s="37"/>
      <c r="D44" s="20" t="str">
        <f aca="false">IF($C44="","",CHOOSE(WEEKDAY($C44,1),"日","月","火","水","木","金","土"))</f>
        <v/>
      </c>
      <c r="E44" s="63"/>
      <c r="F44" s="63"/>
      <c r="G44" s="45"/>
      <c r="H44" s="61" t="str">
        <f aca="false">IF(OR($E44="",$F44=""),"",($F44-$E44)*24-N($G44))</f>
        <v/>
      </c>
      <c r="I44" s="8"/>
      <c r="J44" s="34"/>
      <c r="K44" s="34"/>
      <c r="L44" s="33"/>
      <c r="M44" s="8"/>
      <c r="N44" s="8"/>
    </row>
    <row r="45" customFormat="false" ht="18" hidden="false" customHeight="true" outlineLevel="0" collapsed="false">
      <c r="A45" s="33"/>
      <c r="B45" s="10" t="str">
        <f aca="false">IF($A45="","",IFERROR(INDEX(案件管理!$B$3:$B$202,MATCH($A45,案件管理!$A$3:$A$202,0)),"←IDが未登録です"))</f>
        <v/>
      </c>
      <c r="C45" s="37"/>
      <c r="D45" s="20" t="str">
        <f aca="false">IF($C45="","",CHOOSE(WEEKDAY($C45,1),"日","月","火","水","木","金","土"))</f>
        <v/>
      </c>
      <c r="E45" s="63"/>
      <c r="F45" s="63"/>
      <c r="G45" s="45"/>
      <c r="H45" s="61" t="str">
        <f aca="false">IF(OR($E45="",$F45=""),"",($F45-$E45)*24-N($G45))</f>
        <v/>
      </c>
      <c r="I45" s="8"/>
      <c r="J45" s="34"/>
      <c r="K45" s="34"/>
      <c r="L45" s="33"/>
      <c r="M45" s="8"/>
      <c r="N45" s="8"/>
    </row>
    <row r="46" customFormat="false" ht="18" hidden="false" customHeight="true" outlineLevel="0" collapsed="false">
      <c r="A46" s="33"/>
      <c r="B46" s="10" t="str">
        <f aca="false">IF($A46="","",IFERROR(INDEX(案件管理!$B$3:$B$202,MATCH($A46,案件管理!$A$3:$A$202,0)),"←IDが未登録です"))</f>
        <v/>
      </c>
      <c r="C46" s="37"/>
      <c r="D46" s="20" t="str">
        <f aca="false">IF($C46="","",CHOOSE(WEEKDAY($C46,1),"日","月","火","水","木","金","土"))</f>
        <v/>
      </c>
      <c r="E46" s="63"/>
      <c r="F46" s="63"/>
      <c r="G46" s="45"/>
      <c r="H46" s="61" t="str">
        <f aca="false">IF(OR($E46="",$F46=""),"",($F46-$E46)*24-N($G46))</f>
        <v/>
      </c>
      <c r="I46" s="8"/>
      <c r="J46" s="34"/>
      <c r="K46" s="34"/>
      <c r="L46" s="33"/>
      <c r="M46" s="8"/>
      <c r="N46" s="8"/>
    </row>
    <row r="47" customFormat="false" ht="18" hidden="false" customHeight="true" outlineLevel="0" collapsed="false">
      <c r="A47" s="33"/>
      <c r="B47" s="10" t="str">
        <f aca="false">IF($A47="","",IFERROR(INDEX(案件管理!$B$3:$B$202,MATCH($A47,案件管理!$A$3:$A$202,0)),"←IDが未登録です"))</f>
        <v/>
      </c>
      <c r="C47" s="37"/>
      <c r="D47" s="20" t="str">
        <f aca="false">IF($C47="","",CHOOSE(WEEKDAY($C47,1),"日","月","火","水","木","金","土"))</f>
        <v/>
      </c>
      <c r="E47" s="63"/>
      <c r="F47" s="63"/>
      <c r="G47" s="45"/>
      <c r="H47" s="61" t="str">
        <f aca="false">IF(OR($E47="",$F47=""),"",($F47-$E47)*24-N($G47))</f>
        <v/>
      </c>
      <c r="I47" s="8"/>
      <c r="J47" s="34"/>
      <c r="K47" s="34"/>
      <c r="L47" s="33"/>
      <c r="M47" s="8"/>
      <c r="N47" s="8"/>
    </row>
    <row r="48" customFormat="false" ht="18" hidden="false" customHeight="true" outlineLevel="0" collapsed="false">
      <c r="A48" s="33"/>
      <c r="B48" s="10" t="str">
        <f aca="false">IF($A48="","",IFERROR(INDEX(案件管理!$B$3:$B$202,MATCH($A48,案件管理!$A$3:$A$202,0)),"←IDが未登録です"))</f>
        <v/>
      </c>
      <c r="C48" s="37"/>
      <c r="D48" s="20" t="str">
        <f aca="false">IF($C48="","",CHOOSE(WEEKDAY($C48,1),"日","月","火","水","木","金","土"))</f>
        <v/>
      </c>
      <c r="E48" s="63"/>
      <c r="F48" s="63"/>
      <c r="G48" s="45"/>
      <c r="H48" s="61" t="str">
        <f aca="false">IF(OR($E48="",$F48=""),"",($F48-$E48)*24-N($G48))</f>
        <v/>
      </c>
      <c r="I48" s="8"/>
      <c r="J48" s="34"/>
      <c r="K48" s="34"/>
      <c r="L48" s="33"/>
      <c r="M48" s="8"/>
      <c r="N48" s="8"/>
    </row>
    <row r="49" customFormat="false" ht="18" hidden="false" customHeight="true" outlineLevel="0" collapsed="false">
      <c r="A49" s="33"/>
      <c r="B49" s="10" t="str">
        <f aca="false">IF($A49="","",IFERROR(INDEX(案件管理!$B$3:$B$202,MATCH($A49,案件管理!$A$3:$A$202,0)),"←IDが未登録です"))</f>
        <v/>
      </c>
      <c r="C49" s="37"/>
      <c r="D49" s="20" t="str">
        <f aca="false">IF($C49="","",CHOOSE(WEEKDAY($C49,1),"日","月","火","水","木","金","土"))</f>
        <v/>
      </c>
      <c r="E49" s="63"/>
      <c r="F49" s="63"/>
      <c r="G49" s="45"/>
      <c r="H49" s="61" t="str">
        <f aca="false">IF(OR($E49="",$F49=""),"",($F49-$E49)*24-N($G49))</f>
        <v/>
      </c>
      <c r="I49" s="8"/>
      <c r="J49" s="34"/>
      <c r="K49" s="34"/>
      <c r="L49" s="33"/>
      <c r="M49" s="8"/>
      <c r="N49" s="8"/>
    </row>
    <row r="50" customFormat="false" ht="18" hidden="false" customHeight="true" outlineLevel="0" collapsed="false">
      <c r="A50" s="33"/>
      <c r="B50" s="10" t="str">
        <f aca="false">IF($A50="","",IFERROR(INDEX(案件管理!$B$3:$B$202,MATCH($A50,案件管理!$A$3:$A$202,0)),"←IDが未登録です"))</f>
        <v/>
      </c>
      <c r="C50" s="37"/>
      <c r="D50" s="20" t="str">
        <f aca="false">IF($C50="","",CHOOSE(WEEKDAY($C50,1),"日","月","火","水","木","金","土"))</f>
        <v/>
      </c>
      <c r="E50" s="63"/>
      <c r="F50" s="63"/>
      <c r="G50" s="45"/>
      <c r="H50" s="61" t="str">
        <f aca="false">IF(OR($E50="",$F50=""),"",($F50-$E50)*24-N($G50))</f>
        <v/>
      </c>
      <c r="I50" s="8"/>
      <c r="J50" s="34"/>
      <c r="K50" s="34"/>
      <c r="L50" s="33"/>
      <c r="M50" s="8"/>
      <c r="N50" s="8"/>
    </row>
    <row r="51" customFormat="false" ht="18" hidden="false" customHeight="true" outlineLevel="0" collapsed="false">
      <c r="A51" s="33"/>
      <c r="B51" s="10" t="str">
        <f aca="false">IF($A51="","",IFERROR(INDEX(案件管理!$B$3:$B$202,MATCH($A51,案件管理!$A$3:$A$202,0)),"←IDが未登録です"))</f>
        <v/>
      </c>
      <c r="C51" s="37"/>
      <c r="D51" s="20" t="str">
        <f aca="false">IF($C51="","",CHOOSE(WEEKDAY($C51,1),"日","月","火","水","木","金","土"))</f>
        <v/>
      </c>
      <c r="E51" s="63"/>
      <c r="F51" s="63"/>
      <c r="G51" s="45"/>
      <c r="H51" s="61" t="str">
        <f aca="false">IF(OR($E51="",$F51=""),"",($F51-$E51)*24-N($G51))</f>
        <v/>
      </c>
      <c r="I51" s="8"/>
      <c r="J51" s="34"/>
      <c r="K51" s="34"/>
      <c r="L51" s="33"/>
      <c r="M51" s="8"/>
      <c r="N51" s="8"/>
    </row>
    <row r="52" customFormat="false" ht="18" hidden="false" customHeight="true" outlineLevel="0" collapsed="false">
      <c r="A52" s="33"/>
      <c r="B52" s="10" t="str">
        <f aca="false">IF($A52="","",IFERROR(INDEX(案件管理!$B$3:$B$202,MATCH($A52,案件管理!$A$3:$A$202,0)),"←IDが未登録です"))</f>
        <v/>
      </c>
      <c r="C52" s="37"/>
      <c r="D52" s="20" t="str">
        <f aca="false">IF($C52="","",CHOOSE(WEEKDAY($C52,1),"日","月","火","水","木","金","土"))</f>
        <v/>
      </c>
      <c r="E52" s="63"/>
      <c r="F52" s="63"/>
      <c r="G52" s="45"/>
      <c r="H52" s="61" t="str">
        <f aca="false">IF(OR($E52="",$F52=""),"",($F52-$E52)*24-N($G52))</f>
        <v/>
      </c>
      <c r="I52" s="8"/>
      <c r="J52" s="34"/>
      <c r="K52" s="34"/>
      <c r="L52" s="33"/>
      <c r="M52" s="8"/>
      <c r="N52" s="8"/>
    </row>
    <row r="53" customFormat="false" ht="18" hidden="false" customHeight="true" outlineLevel="0" collapsed="false">
      <c r="A53" s="33"/>
      <c r="B53" s="10" t="str">
        <f aca="false">IF($A53="","",IFERROR(INDEX(案件管理!$B$3:$B$202,MATCH($A53,案件管理!$A$3:$A$202,0)),"←IDが未登録です"))</f>
        <v/>
      </c>
      <c r="C53" s="37"/>
      <c r="D53" s="20" t="str">
        <f aca="false">IF($C53="","",CHOOSE(WEEKDAY($C53,1),"日","月","火","水","木","金","土"))</f>
        <v/>
      </c>
      <c r="E53" s="63"/>
      <c r="F53" s="63"/>
      <c r="G53" s="45"/>
      <c r="H53" s="61" t="str">
        <f aca="false">IF(OR($E53="",$F53=""),"",($F53-$E53)*24-N($G53))</f>
        <v/>
      </c>
      <c r="I53" s="8"/>
      <c r="J53" s="34"/>
      <c r="K53" s="34"/>
      <c r="L53" s="33"/>
      <c r="M53" s="8"/>
      <c r="N53" s="8"/>
    </row>
    <row r="54" customFormat="false" ht="18" hidden="false" customHeight="true" outlineLevel="0" collapsed="false">
      <c r="A54" s="33"/>
      <c r="B54" s="10" t="str">
        <f aca="false">IF($A54="","",IFERROR(INDEX(案件管理!$B$3:$B$202,MATCH($A54,案件管理!$A$3:$A$202,0)),"←IDが未登録です"))</f>
        <v/>
      </c>
      <c r="C54" s="37"/>
      <c r="D54" s="20" t="str">
        <f aca="false">IF($C54="","",CHOOSE(WEEKDAY($C54,1),"日","月","火","水","木","金","土"))</f>
        <v/>
      </c>
      <c r="E54" s="63"/>
      <c r="F54" s="63"/>
      <c r="G54" s="45"/>
      <c r="H54" s="61" t="str">
        <f aca="false">IF(OR($E54="",$F54=""),"",($F54-$E54)*24-N($G54))</f>
        <v/>
      </c>
      <c r="I54" s="8"/>
      <c r="J54" s="34"/>
      <c r="K54" s="34"/>
      <c r="L54" s="33"/>
      <c r="M54" s="8"/>
      <c r="N54" s="8"/>
    </row>
    <row r="55" customFormat="false" ht="18" hidden="false" customHeight="true" outlineLevel="0" collapsed="false">
      <c r="A55" s="33"/>
      <c r="B55" s="10" t="str">
        <f aca="false">IF($A55="","",IFERROR(INDEX(案件管理!$B$3:$B$202,MATCH($A55,案件管理!$A$3:$A$202,0)),"←IDが未登録です"))</f>
        <v/>
      </c>
      <c r="C55" s="37"/>
      <c r="D55" s="20" t="str">
        <f aca="false">IF($C55="","",CHOOSE(WEEKDAY($C55,1),"日","月","火","水","木","金","土"))</f>
        <v/>
      </c>
      <c r="E55" s="63"/>
      <c r="F55" s="63"/>
      <c r="G55" s="45"/>
      <c r="H55" s="61" t="str">
        <f aca="false">IF(OR($E55="",$F55=""),"",($F55-$E55)*24-N($G55))</f>
        <v/>
      </c>
      <c r="I55" s="8"/>
      <c r="J55" s="34"/>
      <c r="K55" s="34"/>
      <c r="L55" s="33"/>
      <c r="M55" s="8"/>
      <c r="N55" s="8"/>
    </row>
    <row r="56" customFormat="false" ht="18" hidden="false" customHeight="true" outlineLevel="0" collapsed="false">
      <c r="A56" s="33"/>
      <c r="B56" s="10" t="str">
        <f aca="false">IF($A56="","",IFERROR(INDEX(案件管理!$B$3:$B$202,MATCH($A56,案件管理!$A$3:$A$202,0)),"←IDが未登録です"))</f>
        <v/>
      </c>
      <c r="C56" s="37"/>
      <c r="D56" s="20" t="str">
        <f aca="false">IF($C56="","",CHOOSE(WEEKDAY($C56,1),"日","月","火","水","木","金","土"))</f>
        <v/>
      </c>
      <c r="E56" s="63"/>
      <c r="F56" s="63"/>
      <c r="G56" s="45"/>
      <c r="H56" s="61" t="str">
        <f aca="false">IF(OR($E56="",$F56=""),"",($F56-$E56)*24-N($G56))</f>
        <v/>
      </c>
      <c r="I56" s="8"/>
      <c r="J56" s="34"/>
      <c r="K56" s="34"/>
      <c r="L56" s="33"/>
      <c r="M56" s="8"/>
      <c r="N56" s="8"/>
    </row>
    <row r="57" customFormat="false" ht="18" hidden="false" customHeight="true" outlineLevel="0" collapsed="false">
      <c r="A57" s="33"/>
      <c r="B57" s="10" t="str">
        <f aca="false">IF($A57="","",IFERROR(INDEX(案件管理!$B$3:$B$202,MATCH($A57,案件管理!$A$3:$A$202,0)),"←IDが未登録です"))</f>
        <v/>
      </c>
      <c r="C57" s="37"/>
      <c r="D57" s="20" t="str">
        <f aca="false">IF($C57="","",CHOOSE(WEEKDAY($C57,1),"日","月","火","水","木","金","土"))</f>
        <v/>
      </c>
      <c r="E57" s="63"/>
      <c r="F57" s="63"/>
      <c r="G57" s="45"/>
      <c r="H57" s="61" t="str">
        <f aca="false">IF(OR($E57="",$F57=""),"",($F57-$E57)*24-N($G57))</f>
        <v/>
      </c>
      <c r="I57" s="8"/>
      <c r="J57" s="34"/>
      <c r="K57" s="34"/>
      <c r="L57" s="33"/>
      <c r="M57" s="8"/>
      <c r="N57" s="8"/>
    </row>
    <row r="58" customFormat="false" ht="18" hidden="false" customHeight="true" outlineLevel="0" collapsed="false">
      <c r="A58" s="33"/>
      <c r="B58" s="10" t="str">
        <f aca="false">IF($A58="","",IFERROR(INDEX(案件管理!$B$3:$B$202,MATCH($A58,案件管理!$A$3:$A$202,0)),"←IDが未登録です"))</f>
        <v/>
      </c>
      <c r="C58" s="37"/>
      <c r="D58" s="20" t="str">
        <f aca="false">IF($C58="","",CHOOSE(WEEKDAY($C58,1),"日","月","火","水","木","金","土"))</f>
        <v/>
      </c>
      <c r="E58" s="63"/>
      <c r="F58" s="63"/>
      <c r="G58" s="45"/>
      <c r="H58" s="61" t="str">
        <f aca="false">IF(OR($E58="",$F58=""),"",($F58-$E58)*24-N($G58))</f>
        <v/>
      </c>
      <c r="I58" s="8"/>
      <c r="J58" s="34"/>
      <c r="K58" s="34"/>
      <c r="L58" s="33"/>
      <c r="M58" s="8"/>
      <c r="N58" s="8"/>
    </row>
    <row r="59" customFormat="false" ht="18" hidden="false" customHeight="true" outlineLevel="0" collapsed="false">
      <c r="A59" s="33"/>
      <c r="B59" s="10" t="str">
        <f aca="false">IF($A59="","",IFERROR(INDEX(案件管理!$B$3:$B$202,MATCH($A59,案件管理!$A$3:$A$202,0)),"←IDが未登録です"))</f>
        <v/>
      </c>
      <c r="C59" s="37"/>
      <c r="D59" s="20" t="str">
        <f aca="false">IF($C59="","",CHOOSE(WEEKDAY($C59,1),"日","月","火","水","木","金","土"))</f>
        <v/>
      </c>
      <c r="E59" s="63"/>
      <c r="F59" s="63"/>
      <c r="G59" s="45"/>
      <c r="H59" s="61" t="str">
        <f aca="false">IF(OR($E59="",$F59=""),"",($F59-$E59)*24-N($G59))</f>
        <v/>
      </c>
      <c r="I59" s="8"/>
      <c r="J59" s="34"/>
      <c r="K59" s="34"/>
      <c r="L59" s="33"/>
      <c r="M59" s="8"/>
      <c r="N59" s="8"/>
    </row>
    <row r="60" customFormat="false" ht="18" hidden="false" customHeight="true" outlineLevel="0" collapsed="false">
      <c r="A60" s="33"/>
      <c r="B60" s="10" t="str">
        <f aca="false">IF($A60="","",IFERROR(INDEX(案件管理!$B$3:$B$202,MATCH($A60,案件管理!$A$3:$A$202,0)),"←IDが未登録です"))</f>
        <v/>
      </c>
      <c r="C60" s="37"/>
      <c r="D60" s="20" t="str">
        <f aca="false">IF($C60="","",CHOOSE(WEEKDAY($C60,1),"日","月","火","水","木","金","土"))</f>
        <v/>
      </c>
      <c r="E60" s="63"/>
      <c r="F60" s="63"/>
      <c r="G60" s="45"/>
      <c r="H60" s="61" t="str">
        <f aca="false">IF(OR($E60="",$F60=""),"",($F60-$E60)*24-N($G60))</f>
        <v/>
      </c>
      <c r="I60" s="8"/>
      <c r="J60" s="34"/>
      <c r="K60" s="34"/>
      <c r="L60" s="33"/>
      <c r="M60" s="8"/>
      <c r="N60" s="8"/>
    </row>
    <row r="61" customFormat="false" ht="18" hidden="false" customHeight="true" outlineLevel="0" collapsed="false">
      <c r="A61" s="33"/>
      <c r="B61" s="10" t="str">
        <f aca="false">IF($A61="","",IFERROR(INDEX(案件管理!$B$3:$B$202,MATCH($A61,案件管理!$A$3:$A$202,0)),"←IDが未登録です"))</f>
        <v/>
      </c>
      <c r="C61" s="37"/>
      <c r="D61" s="20" t="str">
        <f aca="false">IF($C61="","",CHOOSE(WEEKDAY($C61,1),"日","月","火","水","木","金","土"))</f>
        <v/>
      </c>
      <c r="E61" s="63"/>
      <c r="F61" s="63"/>
      <c r="G61" s="45"/>
      <c r="H61" s="61" t="str">
        <f aca="false">IF(OR($E61="",$F61=""),"",($F61-$E61)*24-N($G61))</f>
        <v/>
      </c>
      <c r="I61" s="8"/>
      <c r="J61" s="34"/>
      <c r="K61" s="34"/>
      <c r="L61" s="33"/>
      <c r="M61" s="8"/>
      <c r="N61" s="8"/>
    </row>
    <row r="62" customFormat="false" ht="18" hidden="false" customHeight="true" outlineLevel="0" collapsed="false">
      <c r="A62" s="33"/>
      <c r="B62" s="10" t="str">
        <f aca="false">IF($A62="","",IFERROR(INDEX(案件管理!$B$3:$B$202,MATCH($A62,案件管理!$A$3:$A$202,0)),"←IDが未登録です"))</f>
        <v/>
      </c>
      <c r="C62" s="37"/>
      <c r="D62" s="20" t="str">
        <f aca="false">IF($C62="","",CHOOSE(WEEKDAY($C62,1),"日","月","火","水","木","金","土"))</f>
        <v/>
      </c>
      <c r="E62" s="63"/>
      <c r="F62" s="63"/>
      <c r="G62" s="45"/>
      <c r="H62" s="61" t="str">
        <f aca="false">IF(OR($E62="",$F62=""),"",($F62-$E62)*24-N($G62))</f>
        <v/>
      </c>
      <c r="I62" s="8"/>
      <c r="J62" s="34"/>
      <c r="K62" s="34"/>
      <c r="L62" s="33"/>
      <c r="M62" s="8"/>
      <c r="N62" s="8"/>
    </row>
    <row r="63" customFormat="false" ht="18" hidden="false" customHeight="true" outlineLevel="0" collapsed="false">
      <c r="A63" s="33"/>
      <c r="B63" s="10" t="str">
        <f aca="false">IF($A63="","",IFERROR(INDEX(案件管理!$B$3:$B$202,MATCH($A63,案件管理!$A$3:$A$202,0)),"←IDが未登録です"))</f>
        <v/>
      </c>
      <c r="C63" s="37"/>
      <c r="D63" s="20" t="str">
        <f aca="false">IF($C63="","",CHOOSE(WEEKDAY($C63,1),"日","月","火","水","木","金","土"))</f>
        <v/>
      </c>
      <c r="E63" s="63"/>
      <c r="F63" s="63"/>
      <c r="G63" s="45"/>
      <c r="H63" s="61" t="str">
        <f aca="false">IF(OR($E63="",$F63=""),"",($F63-$E63)*24-N($G63))</f>
        <v/>
      </c>
      <c r="I63" s="8"/>
      <c r="J63" s="34"/>
      <c r="K63" s="34"/>
      <c r="L63" s="33"/>
      <c r="M63" s="8"/>
      <c r="N63" s="8"/>
    </row>
    <row r="64" customFormat="false" ht="18" hidden="false" customHeight="true" outlineLevel="0" collapsed="false">
      <c r="A64" s="33"/>
      <c r="B64" s="10" t="str">
        <f aca="false">IF($A64="","",IFERROR(INDEX(案件管理!$B$3:$B$202,MATCH($A64,案件管理!$A$3:$A$202,0)),"←IDが未登録です"))</f>
        <v/>
      </c>
      <c r="C64" s="37"/>
      <c r="D64" s="20" t="str">
        <f aca="false">IF($C64="","",CHOOSE(WEEKDAY($C64,1),"日","月","火","水","木","金","土"))</f>
        <v/>
      </c>
      <c r="E64" s="63"/>
      <c r="F64" s="63"/>
      <c r="G64" s="45"/>
      <c r="H64" s="61" t="str">
        <f aca="false">IF(OR($E64="",$F64=""),"",($F64-$E64)*24-N($G64))</f>
        <v/>
      </c>
      <c r="I64" s="8"/>
      <c r="J64" s="34"/>
      <c r="K64" s="34"/>
      <c r="L64" s="33"/>
      <c r="M64" s="8"/>
      <c r="N64" s="8"/>
    </row>
    <row r="65" customFormat="false" ht="18" hidden="false" customHeight="true" outlineLevel="0" collapsed="false">
      <c r="A65" s="33"/>
      <c r="B65" s="10" t="str">
        <f aca="false">IF($A65="","",IFERROR(INDEX(案件管理!$B$3:$B$202,MATCH($A65,案件管理!$A$3:$A$202,0)),"←IDが未登録です"))</f>
        <v/>
      </c>
      <c r="C65" s="37"/>
      <c r="D65" s="20" t="str">
        <f aca="false">IF($C65="","",CHOOSE(WEEKDAY($C65,1),"日","月","火","水","木","金","土"))</f>
        <v/>
      </c>
      <c r="E65" s="63"/>
      <c r="F65" s="63"/>
      <c r="G65" s="45"/>
      <c r="H65" s="61" t="str">
        <f aca="false">IF(OR($E65="",$F65=""),"",($F65-$E65)*24-N($G65))</f>
        <v/>
      </c>
      <c r="I65" s="8"/>
      <c r="J65" s="34"/>
      <c r="K65" s="34"/>
      <c r="L65" s="33"/>
      <c r="M65" s="8"/>
      <c r="N65" s="8"/>
    </row>
    <row r="66" customFormat="false" ht="18" hidden="false" customHeight="true" outlineLevel="0" collapsed="false">
      <c r="A66" s="33"/>
      <c r="B66" s="10" t="str">
        <f aca="false">IF($A66="","",IFERROR(INDEX(案件管理!$B$3:$B$202,MATCH($A66,案件管理!$A$3:$A$202,0)),"←IDが未登録です"))</f>
        <v/>
      </c>
      <c r="C66" s="37"/>
      <c r="D66" s="20" t="str">
        <f aca="false">IF($C66="","",CHOOSE(WEEKDAY($C66,1),"日","月","火","水","木","金","土"))</f>
        <v/>
      </c>
      <c r="E66" s="63"/>
      <c r="F66" s="63"/>
      <c r="G66" s="45"/>
      <c r="H66" s="61" t="str">
        <f aca="false">IF(OR($E66="",$F66=""),"",($F66-$E66)*24-N($G66))</f>
        <v/>
      </c>
      <c r="I66" s="8"/>
      <c r="J66" s="34"/>
      <c r="K66" s="34"/>
      <c r="L66" s="33"/>
      <c r="M66" s="8"/>
      <c r="N66" s="8"/>
    </row>
    <row r="67" customFormat="false" ht="18" hidden="false" customHeight="true" outlineLevel="0" collapsed="false">
      <c r="A67" s="33"/>
      <c r="B67" s="10" t="str">
        <f aca="false">IF($A67="","",IFERROR(INDEX(案件管理!$B$3:$B$202,MATCH($A67,案件管理!$A$3:$A$202,0)),"←IDが未登録です"))</f>
        <v/>
      </c>
      <c r="C67" s="37"/>
      <c r="D67" s="20" t="str">
        <f aca="false">IF($C67="","",CHOOSE(WEEKDAY($C67,1),"日","月","火","水","木","金","土"))</f>
        <v/>
      </c>
      <c r="E67" s="63"/>
      <c r="F67" s="63"/>
      <c r="G67" s="45"/>
      <c r="H67" s="61" t="str">
        <f aca="false">IF(OR($E67="",$F67=""),"",($F67-$E67)*24-N($G67))</f>
        <v/>
      </c>
      <c r="I67" s="8"/>
      <c r="J67" s="34"/>
      <c r="K67" s="34"/>
      <c r="L67" s="33"/>
      <c r="M67" s="8"/>
      <c r="N67" s="8"/>
    </row>
    <row r="68" customFormat="false" ht="18" hidden="false" customHeight="true" outlineLevel="0" collapsed="false">
      <c r="A68" s="33"/>
      <c r="B68" s="10" t="str">
        <f aca="false">IF($A68="","",IFERROR(INDEX(案件管理!$B$3:$B$202,MATCH($A68,案件管理!$A$3:$A$202,0)),"←IDが未登録です"))</f>
        <v/>
      </c>
      <c r="C68" s="37"/>
      <c r="D68" s="20" t="str">
        <f aca="false">IF($C68="","",CHOOSE(WEEKDAY($C68,1),"日","月","火","水","木","金","土"))</f>
        <v/>
      </c>
      <c r="E68" s="63"/>
      <c r="F68" s="63"/>
      <c r="G68" s="45"/>
      <c r="H68" s="61" t="str">
        <f aca="false">IF(OR($E68="",$F68=""),"",($F68-$E68)*24-N($G68))</f>
        <v/>
      </c>
      <c r="I68" s="8"/>
      <c r="J68" s="34"/>
      <c r="K68" s="34"/>
      <c r="L68" s="33"/>
      <c r="M68" s="8"/>
      <c r="N68" s="8"/>
    </row>
    <row r="69" customFormat="false" ht="18" hidden="false" customHeight="true" outlineLevel="0" collapsed="false">
      <c r="A69" s="33"/>
      <c r="B69" s="10" t="str">
        <f aca="false">IF($A69="","",IFERROR(INDEX(案件管理!$B$3:$B$202,MATCH($A69,案件管理!$A$3:$A$202,0)),"←IDが未登録です"))</f>
        <v/>
      </c>
      <c r="C69" s="37"/>
      <c r="D69" s="20" t="str">
        <f aca="false">IF($C69="","",CHOOSE(WEEKDAY($C69,1),"日","月","火","水","木","金","土"))</f>
        <v/>
      </c>
      <c r="E69" s="63"/>
      <c r="F69" s="63"/>
      <c r="G69" s="45"/>
      <c r="H69" s="61" t="str">
        <f aca="false">IF(OR($E69="",$F69=""),"",($F69-$E69)*24-N($G69))</f>
        <v/>
      </c>
      <c r="I69" s="8"/>
      <c r="J69" s="34"/>
      <c r="K69" s="34"/>
      <c r="L69" s="33"/>
      <c r="M69" s="8"/>
      <c r="N69" s="8"/>
    </row>
    <row r="70" customFormat="false" ht="18" hidden="false" customHeight="true" outlineLevel="0" collapsed="false">
      <c r="A70" s="33"/>
      <c r="B70" s="10" t="str">
        <f aca="false">IF($A70="","",IFERROR(INDEX(案件管理!$B$3:$B$202,MATCH($A70,案件管理!$A$3:$A$202,0)),"←IDが未登録です"))</f>
        <v/>
      </c>
      <c r="C70" s="37"/>
      <c r="D70" s="20" t="str">
        <f aca="false">IF($C70="","",CHOOSE(WEEKDAY($C70,1),"日","月","火","水","木","金","土"))</f>
        <v/>
      </c>
      <c r="E70" s="63"/>
      <c r="F70" s="63"/>
      <c r="G70" s="45"/>
      <c r="H70" s="61" t="str">
        <f aca="false">IF(OR($E70="",$F70=""),"",($F70-$E70)*24-N($G70))</f>
        <v/>
      </c>
      <c r="I70" s="8"/>
      <c r="J70" s="34"/>
      <c r="K70" s="34"/>
      <c r="L70" s="33"/>
      <c r="M70" s="8"/>
      <c r="N70" s="8"/>
    </row>
    <row r="71" customFormat="false" ht="18" hidden="false" customHeight="true" outlineLevel="0" collapsed="false">
      <c r="A71" s="33"/>
      <c r="B71" s="10" t="str">
        <f aca="false">IF($A71="","",IFERROR(INDEX(案件管理!$B$3:$B$202,MATCH($A71,案件管理!$A$3:$A$202,0)),"←IDが未登録です"))</f>
        <v/>
      </c>
      <c r="C71" s="37"/>
      <c r="D71" s="20" t="str">
        <f aca="false">IF($C71="","",CHOOSE(WEEKDAY($C71,1),"日","月","火","水","木","金","土"))</f>
        <v/>
      </c>
      <c r="E71" s="63"/>
      <c r="F71" s="63"/>
      <c r="G71" s="45"/>
      <c r="H71" s="61" t="str">
        <f aca="false">IF(OR($E71="",$F71=""),"",($F71-$E71)*24-N($G71))</f>
        <v/>
      </c>
      <c r="I71" s="8"/>
      <c r="J71" s="34"/>
      <c r="K71" s="34"/>
      <c r="L71" s="33"/>
      <c r="M71" s="8"/>
      <c r="N71" s="8"/>
    </row>
    <row r="72" customFormat="false" ht="18" hidden="false" customHeight="true" outlineLevel="0" collapsed="false">
      <c r="A72" s="33"/>
      <c r="B72" s="10" t="str">
        <f aca="false">IF($A72="","",IFERROR(INDEX(案件管理!$B$3:$B$202,MATCH($A72,案件管理!$A$3:$A$202,0)),"←IDが未登録です"))</f>
        <v/>
      </c>
      <c r="C72" s="37"/>
      <c r="D72" s="20" t="str">
        <f aca="false">IF($C72="","",CHOOSE(WEEKDAY($C72,1),"日","月","火","水","木","金","土"))</f>
        <v/>
      </c>
      <c r="E72" s="63"/>
      <c r="F72" s="63"/>
      <c r="G72" s="45"/>
      <c r="H72" s="61" t="str">
        <f aca="false">IF(OR($E72="",$F72=""),"",($F72-$E72)*24-N($G72))</f>
        <v/>
      </c>
      <c r="I72" s="8"/>
      <c r="J72" s="34"/>
      <c r="K72" s="34"/>
      <c r="L72" s="33"/>
      <c r="M72" s="8"/>
      <c r="N72" s="8"/>
    </row>
    <row r="73" customFormat="false" ht="18" hidden="false" customHeight="true" outlineLevel="0" collapsed="false">
      <c r="A73" s="33"/>
      <c r="B73" s="10" t="str">
        <f aca="false">IF($A73="","",IFERROR(INDEX(案件管理!$B$3:$B$202,MATCH($A73,案件管理!$A$3:$A$202,0)),"←IDが未登録です"))</f>
        <v/>
      </c>
      <c r="C73" s="37"/>
      <c r="D73" s="20" t="str">
        <f aca="false">IF($C73="","",CHOOSE(WEEKDAY($C73,1),"日","月","火","水","木","金","土"))</f>
        <v/>
      </c>
      <c r="E73" s="63"/>
      <c r="F73" s="63"/>
      <c r="G73" s="45"/>
      <c r="H73" s="61" t="str">
        <f aca="false">IF(OR($E73="",$F73=""),"",($F73-$E73)*24-N($G73))</f>
        <v/>
      </c>
      <c r="I73" s="8"/>
      <c r="J73" s="34"/>
      <c r="K73" s="34"/>
      <c r="L73" s="33"/>
      <c r="M73" s="8"/>
      <c r="N73" s="8"/>
    </row>
    <row r="74" customFormat="false" ht="18" hidden="false" customHeight="true" outlineLevel="0" collapsed="false">
      <c r="A74" s="33"/>
      <c r="B74" s="10" t="str">
        <f aca="false">IF($A74="","",IFERROR(INDEX(案件管理!$B$3:$B$202,MATCH($A74,案件管理!$A$3:$A$202,0)),"←IDが未登録です"))</f>
        <v/>
      </c>
      <c r="C74" s="37"/>
      <c r="D74" s="20" t="str">
        <f aca="false">IF($C74="","",CHOOSE(WEEKDAY($C74,1),"日","月","火","水","木","金","土"))</f>
        <v/>
      </c>
      <c r="E74" s="63"/>
      <c r="F74" s="63"/>
      <c r="G74" s="45"/>
      <c r="H74" s="61" t="str">
        <f aca="false">IF(OR($E74="",$F74=""),"",($F74-$E74)*24-N($G74))</f>
        <v/>
      </c>
      <c r="I74" s="8"/>
      <c r="J74" s="34"/>
      <c r="K74" s="34"/>
      <c r="L74" s="33"/>
      <c r="M74" s="8"/>
      <c r="N74" s="8"/>
    </row>
    <row r="75" customFormat="false" ht="18" hidden="false" customHeight="true" outlineLevel="0" collapsed="false">
      <c r="A75" s="33"/>
      <c r="B75" s="10" t="str">
        <f aca="false">IF($A75="","",IFERROR(INDEX(案件管理!$B$3:$B$202,MATCH($A75,案件管理!$A$3:$A$202,0)),"←IDが未登録です"))</f>
        <v/>
      </c>
      <c r="C75" s="37"/>
      <c r="D75" s="20" t="str">
        <f aca="false">IF($C75="","",CHOOSE(WEEKDAY($C75,1),"日","月","火","水","木","金","土"))</f>
        <v/>
      </c>
      <c r="E75" s="63"/>
      <c r="F75" s="63"/>
      <c r="G75" s="45"/>
      <c r="H75" s="61" t="str">
        <f aca="false">IF(OR($E75="",$F75=""),"",($F75-$E75)*24-N($G75))</f>
        <v/>
      </c>
      <c r="I75" s="8"/>
      <c r="J75" s="34"/>
      <c r="K75" s="34"/>
      <c r="L75" s="33"/>
      <c r="M75" s="8"/>
      <c r="N75" s="8"/>
    </row>
    <row r="76" customFormat="false" ht="18" hidden="false" customHeight="true" outlineLevel="0" collapsed="false">
      <c r="A76" s="33"/>
      <c r="B76" s="10" t="str">
        <f aca="false">IF($A76="","",IFERROR(INDEX(案件管理!$B$3:$B$202,MATCH($A76,案件管理!$A$3:$A$202,0)),"←IDが未登録です"))</f>
        <v/>
      </c>
      <c r="C76" s="37"/>
      <c r="D76" s="20" t="str">
        <f aca="false">IF($C76="","",CHOOSE(WEEKDAY($C76,1),"日","月","火","水","木","金","土"))</f>
        <v/>
      </c>
      <c r="E76" s="63"/>
      <c r="F76" s="63"/>
      <c r="G76" s="45"/>
      <c r="H76" s="61" t="str">
        <f aca="false">IF(OR($E76="",$F76=""),"",($F76-$E76)*24-N($G76))</f>
        <v/>
      </c>
      <c r="I76" s="8"/>
      <c r="J76" s="34"/>
      <c r="K76" s="34"/>
      <c r="L76" s="33"/>
      <c r="M76" s="8"/>
      <c r="N76" s="8"/>
    </row>
    <row r="77" customFormat="false" ht="18" hidden="false" customHeight="true" outlineLevel="0" collapsed="false">
      <c r="A77" s="33"/>
      <c r="B77" s="10" t="str">
        <f aca="false">IF($A77="","",IFERROR(INDEX(案件管理!$B$3:$B$202,MATCH($A77,案件管理!$A$3:$A$202,0)),"←IDが未登録です"))</f>
        <v/>
      </c>
      <c r="C77" s="37"/>
      <c r="D77" s="20" t="str">
        <f aca="false">IF($C77="","",CHOOSE(WEEKDAY($C77,1),"日","月","火","水","木","金","土"))</f>
        <v/>
      </c>
      <c r="E77" s="63"/>
      <c r="F77" s="63"/>
      <c r="G77" s="45"/>
      <c r="H77" s="61" t="str">
        <f aca="false">IF(OR($E77="",$F77=""),"",($F77-$E77)*24-N($G77))</f>
        <v/>
      </c>
      <c r="I77" s="8"/>
      <c r="J77" s="34"/>
      <c r="K77" s="34"/>
      <c r="L77" s="33"/>
      <c r="M77" s="8"/>
      <c r="N77" s="8"/>
    </row>
    <row r="78" customFormat="false" ht="18" hidden="false" customHeight="true" outlineLevel="0" collapsed="false">
      <c r="A78" s="33"/>
      <c r="B78" s="10" t="str">
        <f aca="false">IF($A78="","",IFERROR(INDEX(案件管理!$B$3:$B$202,MATCH($A78,案件管理!$A$3:$A$202,0)),"←IDが未登録です"))</f>
        <v/>
      </c>
      <c r="C78" s="37"/>
      <c r="D78" s="20" t="str">
        <f aca="false">IF($C78="","",CHOOSE(WEEKDAY($C78,1),"日","月","火","水","木","金","土"))</f>
        <v/>
      </c>
      <c r="E78" s="63"/>
      <c r="F78" s="63"/>
      <c r="G78" s="45"/>
      <c r="H78" s="61" t="str">
        <f aca="false">IF(OR($E78="",$F78=""),"",($F78-$E78)*24-N($G78))</f>
        <v/>
      </c>
      <c r="I78" s="8"/>
      <c r="J78" s="34"/>
      <c r="K78" s="34"/>
      <c r="L78" s="33"/>
      <c r="M78" s="8"/>
      <c r="N78" s="8"/>
    </row>
    <row r="79" customFormat="false" ht="18" hidden="false" customHeight="true" outlineLevel="0" collapsed="false">
      <c r="A79" s="33"/>
      <c r="B79" s="10" t="str">
        <f aca="false">IF($A79="","",IFERROR(INDEX(案件管理!$B$3:$B$202,MATCH($A79,案件管理!$A$3:$A$202,0)),"←IDが未登録です"))</f>
        <v/>
      </c>
      <c r="C79" s="37"/>
      <c r="D79" s="20" t="str">
        <f aca="false">IF($C79="","",CHOOSE(WEEKDAY($C79,1),"日","月","火","水","木","金","土"))</f>
        <v/>
      </c>
      <c r="E79" s="63"/>
      <c r="F79" s="63"/>
      <c r="G79" s="45"/>
      <c r="H79" s="61" t="str">
        <f aca="false">IF(OR($E79="",$F79=""),"",($F79-$E79)*24-N($G79))</f>
        <v/>
      </c>
      <c r="I79" s="8"/>
      <c r="J79" s="34"/>
      <c r="K79" s="34"/>
      <c r="L79" s="33"/>
      <c r="M79" s="8"/>
      <c r="N79" s="8"/>
    </row>
    <row r="80" customFormat="false" ht="18" hidden="false" customHeight="true" outlineLevel="0" collapsed="false">
      <c r="A80" s="33"/>
      <c r="B80" s="10" t="str">
        <f aca="false">IF($A80="","",IFERROR(INDEX(案件管理!$B$3:$B$202,MATCH($A80,案件管理!$A$3:$A$202,0)),"←IDが未登録です"))</f>
        <v/>
      </c>
      <c r="C80" s="37"/>
      <c r="D80" s="20" t="str">
        <f aca="false">IF($C80="","",CHOOSE(WEEKDAY($C80,1),"日","月","火","水","木","金","土"))</f>
        <v/>
      </c>
      <c r="E80" s="63"/>
      <c r="F80" s="63"/>
      <c r="G80" s="45"/>
      <c r="H80" s="61" t="str">
        <f aca="false">IF(OR($E80="",$F80=""),"",($F80-$E80)*24-N($G80))</f>
        <v/>
      </c>
      <c r="I80" s="8"/>
      <c r="J80" s="34"/>
      <c r="K80" s="34"/>
      <c r="L80" s="33"/>
      <c r="M80" s="8"/>
      <c r="N80" s="8"/>
    </row>
    <row r="81" customFormat="false" ht="18" hidden="false" customHeight="true" outlineLevel="0" collapsed="false">
      <c r="A81" s="33"/>
      <c r="B81" s="10" t="str">
        <f aca="false">IF($A81="","",IFERROR(INDEX(案件管理!$B$3:$B$202,MATCH($A81,案件管理!$A$3:$A$202,0)),"←IDが未登録です"))</f>
        <v/>
      </c>
      <c r="C81" s="37"/>
      <c r="D81" s="20" t="str">
        <f aca="false">IF($C81="","",CHOOSE(WEEKDAY($C81,1),"日","月","火","水","木","金","土"))</f>
        <v/>
      </c>
      <c r="E81" s="63"/>
      <c r="F81" s="63"/>
      <c r="G81" s="45"/>
      <c r="H81" s="61" t="str">
        <f aca="false">IF(OR($E81="",$F81=""),"",($F81-$E81)*24-N($G81))</f>
        <v/>
      </c>
      <c r="I81" s="8"/>
      <c r="J81" s="34"/>
      <c r="K81" s="34"/>
      <c r="L81" s="33"/>
      <c r="M81" s="8"/>
      <c r="N81" s="8"/>
    </row>
    <row r="82" customFormat="false" ht="18" hidden="false" customHeight="true" outlineLevel="0" collapsed="false">
      <c r="A82" s="33"/>
      <c r="B82" s="10" t="str">
        <f aca="false">IF($A82="","",IFERROR(INDEX(案件管理!$B$3:$B$202,MATCH($A82,案件管理!$A$3:$A$202,0)),"←IDが未登録です"))</f>
        <v/>
      </c>
      <c r="C82" s="37"/>
      <c r="D82" s="20" t="str">
        <f aca="false">IF($C82="","",CHOOSE(WEEKDAY($C82,1),"日","月","火","水","木","金","土"))</f>
        <v/>
      </c>
      <c r="E82" s="63"/>
      <c r="F82" s="63"/>
      <c r="G82" s="45"/>
      <c r="H82" s="61" t="str">
        <f aca="false">IF(OR($E82="",$F82=""),"",($F82-$E82)*24-N($G82))</f>
        <v/>
      </c>
      <c r="I82" s="8"/>
      <c r="J82" s="34"/>
      <c r="K82" s="34"/>
      <c r="L82" s="33"/>
      <c r="M82" s="8"/>
      <c r="N82" s="8"/>
    </row>
    <row r="83" customFormat="false" ht="18" hidden="false" customHeight="true" outlineLevel="0" collapsed="false">
      <c r="A83" s="33"/>
      <c r="B83" s="10" t="str">
        <f aca="false">IF($A83="","",IFERROR(INDEX(案件管理!$B$3:$B$202,MATCH($A83,案件管理!$A$3:$A$202,0)),"←IDが未登録です"))</f>
        <v/>
      </c>
      <c r="C83" s="37"/>
      <c r="D83" s="20" t="str">
        <f aca="false">IF($C83="","",CHOOSE(WEEKDAY($C83,1),"日","月","火","水","木","金","土"))</f>
        <v/>
      </c>
      <c r="E83" s="63"/>
      <c r="F83" s="63"/>
      <c r="G83" s="45"/>
      <c r="H83" s="61" t="str">
        <f aca="false">IF(OR($E83="",$F83=""),"",($F83-$E83)*24-N($G83))</f>
        <v/>
      </c>
      <c r="I83" s="8"/>
      <c r="J83" s="34"/>
      <c r="K83" s="34"/>
      <c r="L83" s="33"/>
      <c r="M83" s="8"/>
      <c r="N83" s="8"/>
    </row>
    <row r="84" customFormat="false" ht="18" hidden="false" customHeight="true" outlineLevel="0" collapsed="false">
      <c r="A84" s="33"/>
      <c r="B84" s="10" t="str">
        <f aca="false">IF($A84="","",IFERROR(INDEX(案件管理!$B$3:$B$202,MATCH($A84,案件管理!$A$3:$A$202,0)),"←IDが未登録です"))</f>
        <v/>
      </c>
      <c r="C84" s="37"/>
      <c r="D84" s="20" t="str">
        <f aca="false">IF($C84="","",CHOOSE(WEEKDAY($C84,1),"日","月","火","水","木","金","土"))</f>
        <v/>
      </c>
      <c r="E84" s="63"/>
      <c r="F84" s="63"/>
      <c r="G84" s="45"/>
      <c r="H84" s="61" t="str">
        <f aca="false">IF(OR($E84="",$F84=""),"",($F84-$E84)*24-N($G84))</f>
        <v/>
      </c>
      <c r="I84" s="8"/>
      <c r="J84" s="34"/>
      <c r="K84" s="34"/>
      <c r="L84" s="33"/>
      <c r="M84" s="8"/>
      <c r="N84" s="8"/>
    </row>
    <row r="85" customFormat="false" ht="18" hidden="false" customHeight="true" outlineLevel="0" collapsed="false">
      <c r="A85" s="33"/>
      <c r="B85" s="10" t="str">
        <f aca="false">IF($A85="","",IFERROR(INDEX(案件管理!$B$3:$B$202,MATCH($A85,案件管理!$A$3:$A$202,0)),"←IDが未登録です"))</f>
        <v/>
      </c>
      <c r="C85" s="37"/>
      <c r="D85" s="20" t="str">
        <f aca="false">IF($C85="","",CHOOSE(WEEKDAY($C85,1),"日","月","火","水","木","金","土"))</f>
        <v/>
      </c>
      <c r="E85" s="63"/>
      <c r="F85" s="63"/>
      <c r="G85" s="45"/>
      <c r="H85" s="61" t="str">
        <f aca="false">IF(OR($E85="",$F85=""),"",($F85-$E85)*24-N($G85))</f>
        <v/>
      </c>
      <c r="I85" s="8"/>
      <c r="J85" s="34"/>
      <c r="K85" s="34"/>
      <c r="L85" s="33"/>
      <c r="M85" s="8"/>
      <c r="N85" s="8"/>
    </row>
    <row r="86" customFormat="false" ht="18" hidden="false" customHeight="true" outlineLevel="0" collapsed="false">
      <c r="A86" s="33"/>
      <c r="B86" s="10" t="str">
        <f aca="false">IF($A86="","",IFERROR(INDEX(案件管理!$B$3:$B$202,MATCH($A86,案件管理!$A$3:$A$202,0)),"←IDが未登録です"))</f>
        <v/>
      </c>
      <c r="C86" s="37"/>
      <c r="D86" s="20" t="str">
        <f aca="false">IF($C86="","",CHOOSE(WEEKDAY($C86,1),"日","月","火","水","木","金","土"))</f>
        <v/>
      </c>
      <c r="E86" s="63"/>
      <c r="F86" s="63"/>
      <c r="G86" s="45"/>
      <c r="H86" s="61" t="str">
        <f aca="false">IF(OR($E86="",$F86=""),"",($F86-$E86)*24-N($G86))</f>
        <v/>
      </c>
      <c r="I86" s="8"/>
      <c r="J86" s="34"/>
      <c r="K86" s="34"/>
      <c r="L86" s="33"/>
      <c r="M86" s="8"/>
      <c r="N86" s="8"/>
    </row>
    <row r="87" customFormat="false" ht="18" hidden="false" customHeight="true" outlineLevel="0" collapsed="false">
      <c r="A87" s="33"/>
      <c r="B87" s="10" t="str">
        <f aca="false">IF($A87="","",IFERROR(INDEX(案件管理!$B$3:$B$202,MATCH($A87,案件管理!$A$3:$A$202,0)),"←IDが未登録です"))</f>
        <v/>
      </c>
      <c r="C87" s="37"/>
      <c r="D87" s="20" t="str">
        <f aca="false">IF($C87="","",CHOOSE(WEEKDAY($C87,1),"日","月","火","水","木","金","土"))</f>
        <v/>
      </c>
      <c r="E87" s="63"/>
      <c r="F87" s="63"/>
      <c r="G87" s="45"/>
      <c r="H87" s="61" t="str">
        <f aca="false">IF(OR($E87="",$F87=""),"",($F87-$E87)*24-N($G87))</f>
        <v/>
      </c>
      <c r="I87" s="8"/>
      <c r="J87" s="34"/>
      <c r="K87" s="34"/>
      <c r="L87" s="33"/>
      <c r="M87" s="8"/>
      <c r="N87" s="8"/>
    </row>
    <row r="88" customFormat="false" ht="18" hidden="false" customHeight="true" outlineLevel="0" collapsed="false">
      <c r="A88" s="33"/>
      <c r="B88" s="10" t="str">
        <f aca="false">IF($A88="","",IFERROR(INDEX(案件管理!$B$3:$B$202,MATCH($A88,案件管理!$A$3:$A$202,0)),"←IDが未登録です"))</f>
        <v/>
      </c>
      <c r="C88" s="37"/>
      <c r="D88" s="20" t="str">
        <f aca="false">IF($C88="","",CHOOSE(WEEKDAY($C88,1),"日","月","火","水","木","金","土"))</f>
        <v/>
      </c>
      <c r="E88" s="63"/>
      <c r="F88" s="63"/>
      <c r="G88" s="45"/>
      <c r="H88" s="61" t="str">
        <f aca="false">IF(OR($E88="",$F88=""),"",($F88-$E88)*24-N($G88))</f>
        <v/>
      </c>
      <c r="I88" s="8"/>
      <c r="J88" s="34"/>
      <c r="K88" s="34"/>
      <c r="L88" s="33"/>
      <c r="M88" s="8"/>
      <c r="N88" s="8"/>
    </row>
    <row r="89" customFormat="false" ht="18" hidden="false" customHeight="true" outlineLevel="0" collapsed="false">
      <c r="A89" s="33"/>
      <c r="B89" s="10" t="str">
        <f aca="false">IF($A89="","",IFERROR(INDEX(案件管理!$B$3:$B$202,MATCH($A89,案件管理!$A$3:$A$202,0)),"←IDが未登録です"))</f>
        <v/>
      </c>
      <c r="C89" s="37"/>
      <c r="D89" s="20" t="str">
        <f aca="false">IF($C89="","",CHOOSE(WEEKDAY($C89,1),"日","月","火","水","木","金","土"))</f>
        <v/>
      </c>
      <c r="E89" s="63"/>
      <c r="F89" s="63"/>
      <c r="G89" s="45"/>
      <c r="H89" s="61" t="str">
        <f aca="false">IF(OR($E89="",$F89=""),"",($F89-$E89)*24-N($G89))</f>
        <v/>
      </c>
      <c r="I89" s="8"/>
      <c r="J89" s="34"/>
      <c r="K89" s="34"/>
      <c r="L89" s="33"/>
      <c r="M89" s="8"/>
      <c r="N89" s="8"/>
    </row>
    <row r="90" customFormat="false" ht="18" hidden="false" customHeight="true" outlineLevel="0" collapsed="false">
      <c r="A90" s="33"/>
      <c r="B90" s="10" t="str">
        <f aca="false">IF($A90="","",IFERROR(INDEX(案件管理!$B$3:$B$202,MATCH($A90,案件管理!$A$3:$A$202,0)),"←IDが未登録です"))</f>
        <v/>
      </c>
      <c r="C90" s="37"/>
      <c r="D90" s="20" t="str">
        <f aca="false">IF($C90="","",CHOOSE(WEEKDAY($C90,1),"日","月","火","水","木","金","土"))</f>
        <v/>
      </c>
      <c r="E90" s="63"/>
      <c r="F90" s="63"/>
      <c r="G90" s="45"/>
      <c r="H90" s="61" t="str">
        <f aca="false">IF(OR($E90="",$F90=""),"",($F90-$E90)*24-N($G90))</f>
        <v/>
      </c>
      <c r="I90" s="8"/>
      <c r="J90" s="34"/>
      <c r="K90" s="34"/>
      <c r="L90" s="33"/>
      <c r="M90" s="8"/>
      <c r="N90" s="8"/>
    </row>
    <row r="91" customFormat="false" ht="18" hidden="false" customHeight="true" outlineLevel="0" collapsed="false">
      <c r="A91" s="33"/>
      <c r="B91" s="10" t="str">
        <f aca="false">IF($A91="","",IFERROR(INDEX(案件管理!$B$3:$B$202,MATCH($A91,案件管理!$A$3:$A$202,0)),"←IDが未登録です"))</f>
        <v/>
      </c>
      <c r="C91" s="37"/>
      <c r="D91" s="20" t="str">
        <f aca="false">IF($C91="","",CHOOSE(WEEKDAY($C91,1),"日","月","火","水","木","金","土"))</f>
        <v/>
      </c>
      <c r="E91" s="63"/>
      <c r="F91" s="63"/>
      <c r="G91" s="45"/>
      <c r="H91" s="61" t="str">
        <f aca="false">IF(OR($E91="",$F91=""),"",($F91-$E91)*24-N($G91))</f>
        <v/>
      </c>
      <c r="I91" s="8"/>
      <c r="J91" s="34"/>
      <c r="K91" s="34"/>
      <c r="L91" s="33"/>
      <c r="M91" s="8"/>
      <c r="N91" s="8"/>
    </row>
    <row r="92" customFormat="false" ht="18" hidden="false" customHeight="true" outlineLevel="0" collapsed="false">
      <c r="A92" s="33"/>
      <c r="B92" s="10" t="str">
        <f aca="false">IF($A92="","",IFERROR(INDEX(案件管理!$B$3:$B$202,MATCH($A92,案件管理!$A$3:$A$202,0)),"←IDが未登録です"))</f>
        <v/>
      </c>
      <c r="C92" s="37"/>
      <c r="D92" s="20" t="str">
        <f aca="false">IF($C92="","",CHOOSE(WEEKDAY($C92,1),"日","月","火","水","木","金","土"))</f>
        <v/>
      </c>
      <c r="E92" s="63"/>
      <c r="F92" s="63"/>
      <c r="G92" s="45"/>
      <c r="H92" s="61" t="str">
        <f aca="false">IF(OR($E92="",$F92=""),"",($F92-$E92)*24-N($G92))</f>
        <v/>
      </c>
      <c r="I92" s="8"/>
      <c r="J92" s="34"/>
      <c r="K92" s="34"/>
      <c r="L92" s="33"/>
      <c r="M92" s="8"/>
      <c r="N92" s="8"/>
    </row>
    <row r="93" customFormat="false" ht="18" hidden="false" customHeight="true" outlineLevel="0" collapsed="false">
      <c r="A93" s="33"/>
      <c r="B93" s="10" t="str">
        <f aca="false">IF($A93="","",IFERROR(INDEX(案件管理!$B$3:$B$202,MATCH($A93,案件管理!$A$3:$A$202,0)),"←IDが未登録です"))</f>
        <v/>
      </c>
      <c r="C93" s="37"/>
      <c r="D93" s="20" t="str">
        <f aca="false">IF($C93="","",CHOOSE(WEEKDAY($C93,1),"日","月","火","水","木","金","土"))</f>
        <v/>
      </c>
      <c r="E93" s="63"/>
      <c r="F93" s="63"/>
      <c r="G93" s="45"/>
      <c r="H93" s="61" t="str">
        <f aca="false">IF(OR($E93="",$F93=""),"",($F93-$E93)*24-N($G93))</f>
        <v/>
      </c>
      <c r="I93" s="8"/>
      <c r="J93" s="34"/>
      <c r="K93" s="34"/>
      <c r="L93" s="33"/>
      <c r="M93" s="8"/>
      <c r="N93" s="8"/>
    </row>
    <row r="94" customFormat="false" ht="18" hidden="false" customHeight="true" outlineLevel="0" collapsed="false">
      <c r="A94" s="33"/>
      <c r="B94" s="10" t="str">
        <f aca="false">IF($A94="","",IFERROR(INDEX(案件管理!$B$3:$B$202,MATCH($A94,案件管理!$A$3:$A$202,0)),"←IDが未登録です"))</f>
        <v/>
      </c>
      <c r="C94" s="37"/>
      <c r="D94" s="20" t="str">
        <f aca="false">IF($C94="","",CHOOSE(WEEKDAY($C94,1),"日","月","火","水","木","金","土"))</f>
        <v/>
      </c>
      <c r="E94" s="63"/>
      <c r="F94" s="63"/>
      <c r="G94" s="45"/>
      <c r="H94" s="61" t="str">
        <f aca="false">IF(OR($E94="",$F94=""),"",($F94-$E94)*24-N($G94))</f>
        <v/>
      </c>
      <c r="I94" s="8"/>
      <c r="J94" s="34"/>
      <c r="K94" s="34"/>
      <c r="L94" s="33"/>
      <c r="M94" s="8"/>
      <c r="N94" s="8"/>
    </row>
    <row r="95" customFormat="false" ht="18" hidden="false" customHeight="true" outlineLevel="0" collapsed="false">
      <c r="A95" s="33"/>
      <c r="B95" s="10" t="str">
        <f aca="false">IF($A95="","",IFERROR(INDEX(案件管理!$B$3:$B$202,MATCH($A95,案件管理!$A$3:$A$202,0)),"←IDが未登録です"))</f>
        <v/>
      </c>
      <c r="C95" s="37"/>
      <c r="D95" s="20" t="str">
        <f aca="false">IF($C95="","",CHOOSE(WEEKDAY($C95,1),"日","月","火","水","木","金","土"))</f>
        <v/>
      </c>
      <c r="E95" s="63"/>
      <c r="F95" s="63"/>
      <c r="G95" s="45"/>
      <c r="H95" s="61" t="str">
        <f aca="false">IF(OR($E95="",$F95=""),"",($F95-$E95)*24-N($G95))</f>
        <v/>
      </c>
      <c r="I95" s="8"/>
      <c r="J95" s="34"/>
      <c r="K95" s="34"/>
      <c r="L95" s="33"/>
      <c r="M95" s="8"/>
      <c r="N95" s="8"/>
    </row>
    <row r="96" customFormat="false" ht="18" hidden="false" customHeight="true" outlineLevel="0" collapsed="false">
      <c r="A96" s="33"/>
      <c r="B96" s="10" t="str">
        <f aca="false">IF($A96="","",IFERROR(INDEX(案件管理!$B$3:$B$202,MATCH($A96,案件管理!$A$3:$A$202,0)),"←IDが未登録です"))</f>
        <v/>
      </c>
      <c r="C96" s="37"/>
      <c r="D96" s="20" t="str">
        <f aca="false">IF($C96="","",CHOOSE(WEEKDAY($C96,1),"日","月","火","水","木","金","土"))</f>
        <v/>
      </c>
      <c r="E96" s="63"/>
      <c r="F96" s="63"/>
      <c r="G96" s="45"/>
      <c r="H96" s="61" t="str">
        <f aca="false">IF(OR($E96="",$F96=""),"",($F96-$E96)*24-N($G96))</f>
        <v/>
      </c>
      <c r="I96" s="8"/>
      <c r="J96" s="34"/>
      <c r="K96" s="34"/>
      <c r="L96" s="33"/>
      <c r="M96" s="8"/>
      <c r="N96" s="8"/>
    </row>
    <row r="97" customFormat="false" ht="18" hidden="false" customHeight="true" outlineLevel="0" collapsed="false">
      <c r="A97" s="33"/>
      <c r="B97" s="10" t="str">
        <f aca="false">IF($A97="","",IFERROR(INDEX(案件管理!$B$3:$B$202,MATCH($A97,案件管理!$A$3:$A$202,0)),"←IDが未登録です"))</f>
        <v/>
      </c>
      <c r="C97" s="37"/>
      <c r="D97" s="20" t="str">
        <f aca="false">IF($C97="","",CHOOSE(WEEKDAY($C97,1),"日","月","火","水","木","金","土"))</f>
        <v/>
      </c>
      <c r="E97" s="63"/>
      <c r="F97" s="63"/>
      <c r="G97" s="45"/>
      <c r="H97" s="61" t="str">
        <f aca="false">IF(OR($E97="",$F97=""),"",($F97-$E97)*24-N($G97))</f>
        <v/>
      </c>
      <c r="I97" s="8"/>
      <c r="J97" s="34"/>
      <c r="K97" s="34"/>
      <c r="L97" s="33"/>
      <c r="M97" s="8"/>
      <c r="N97" s="8"/>
    </row>
    <row r="98" customFormat="false" ht="18" hidden="false" customHeight="true" outlineLevel="0" collapsed="false">
      <c r="A98" s="33"/>
      <c r="B98" s="10" t="str">
        <f aca="false">IF($A98="","",IFERROR(INDEX(案件管理!$B$3:$B$202,MATCH($A98,案件管理!$A$3:$A$202,0)),"←IDが未登録です"))</f>
        <v/>
      </c>
      <c r="C98" s="37"/>
      <c r="D98" s="20" t="str">
        <f aca="false">IF($C98="","",CHOOSE(WEEKDAY($C98,1),"日","月","火","水","木","金","土"))</f>
        <v/>
      </c>
      <c r="E98" s="63"/>
      <c r="F98" s="63"/>
      <c r="G98" s="45"/>
      <c r="H98" s="61" t="str">
        <f aca="false">IF(OR($E98="",$F98=""),"",($F98-$E98)*24-N($G98))</f>
        <v/>
      </c>
      <c r="I98" s="8"/>
      <c r="J98" s="34"/>
      <c r="K98" s="34"/>
      <c r="L98" s="33"/>
      <c r="M98" s="8"/>
      <c r="N98" s="8"/>
    </row>
    <row r="99" customFormat="false" ht="18" hidden="false" customHeight="true" outlineLevel="0" collapsed="false">
      <c r="A99" s="33"/>
      <c r="B99" s="10" t="str">
        <f aca="false">IF($A99="","",IFERROR(INDEX(案件管理!$B$3:$B$202,MATCH($A99,案件管理!$A$3:$A$202,0)),"←IDが未登録です"))</f>
        <v/>
      </c>
      <c r="C99" s="37"/>
      <c r="D99" s="20" t="str">
        <f aca="false">IF($C99="","",CHOOSE(WEEKDAY($C99,1),"日","月","火","水","木","金","土"))</f>
        <v/>
      </c>
      <c r="E99" s="63"/>
      <c r="F99" s="63"/>
      <c r="G99" s="45"/>
      <c r="H99" s="61" t="str">
        <f aca="false">IF(OR($E99="",$F99=""),"",($F99-$E99)*24-N($G99))</f>
        <v/>
      </c>
      <c r="I99" s="8"/>
      <c r="J99" s="34"/>
      <c r="K99" s="34"/>
      <c r="L99" s="33"/>
      <c r="M99" s="8"/>
      <c r="N99" s="8"/>
    </row>
    <row r="100" customFormat="false" ht="18" hidden="false" customHeight="true" outlineLevel="0" collapsed="false">
      <c r="A100" s="33"/>
      <c r="B100" s="10" t="str">
        <f aca="false">IF($A100="","",IFERROR(INDEX(案件管理!$B$3:$B$202,MATCH($A100,案件管理!$A$3:$A$202,0)),"←IDが未登録です"))</f>
        <v/>
      </c>
      <c r="C100" s="37"/>
      <c r="D100" s="20" t="str">
        <f aca="false">IF($C100="","",CHOOSE(WEEKDAY($C100,1),"日","月","火","水","木","金","土"))</f>
        <v/>
      </c>
      <c r="E100" s="63"/>
      <c r="F100" s="63"/>
      <c r="G100" s="45"/>
      <c r="H100" s="61" t="str">
        <f aca="false">IF(OR($E100="",$F100=""),"",($F100-$E100)*24-N($G100))</f>
        <v/>
      </c>
      <c r="I100" s="8"/>
      <c r="J100" s="34"/>
      <c r="K100" s="34"/>
      <c r="L100" s="33"/>
      <c r="M100" s="8"/>
      <c r="N100" s="8"/>
    </row>
    <row r="101" customFormat="false" ht="18" hidden="false" customHeight="true" outlineLevel="0" collapsed="false">
      <c r="A101" s="33"/>
      <c r="B101" s="10" t="str">
        <f aca="false">IF($A101="","",IFERROR(INDEX(案件管理!$B$3:$B$202,MATCH($A101,案件管理!$A$3:$A$202,0)),"←IDが未登録です"))</f>
        <v/>
      </c>
      <c r="C101" s="37"/>
      <c r="D101" s="20" t="str">
        <f aca="false">IF($C101="","",CHOOSE(WEEKDAY($C101,1),"日","月","火","水","木","金","土"))</f>
        <v/>
      </c>
      <c r="E101" s="63"/>
      <c r="F101" s="63"/>
      <c r="G101" s="45"/>
      <c r="H101" s="61" t="str">
        <f aca="false">IF(OR($E101="",$F101=""),"",($F101-$E101)*24-N($G101))</f>
        <v/>
      </c>
      <c r="I101" s="8"/>
      <c r="J101" s="34"/>
      <c r="K101" s="34"/>
      <c r="L101" s="33"/>
      <c r="M101" s="8"/>
      <c r="N101" s="8"/>
    </row>
    <row r="102" customFormat="false" ht="18" hidden="false" customHeight="true" outlineLevel="0" collapsed="false">
      <c r="A102" s="33"/>
      <c r="B102" s="10" t="str">
        <f aca="false">IF($A102="","",IFERROR(INDEX(案件管理!$B$3:$B$202,MATCH($A102,案件管理!$A$3:$A$202,0)),"←IDが未登録です"))</f>
        <v/>
      </c>
      <c r="C102" s="37"/>
      <c r="D102" s="20" t="str">
        <f aca="false">IF($C102="","",CHOOSE(WEEKDAY($C102,1),"日","月","火","水","木","金","土"))</f>
        <v/>
      </c>
      <c r="E102" s="63"/>
      <c r="F102" s="63"/>
      <c r="G102" s="45"/>
      <c r="H102" s="61" t="str">
        <f aca="false">IF(OR($E102="",$F102=""),"",($F102-$E102)*24-N($G102))</f>
        <v/>
      </c>
      <c r="I102" s="8"/>
      <c r="J102" s="34"/>
      <c r="K102" s="34"/>
      <c r="L102" s="33"/>
      <c r="M102" s="8"/>
      <c r="N102" s="8"/>
    </row>
    <row r="103" customFormat="false" ht="18" hidden="false" customHeight="true" outlineLevel="0" collapsed="false">
      <c r="A103" s="33"/>
      <c r="B103" s="10" t="str">
        <f aca="false">IF($A103="","",IFERROR(INDEX(案件管理!$B$3:$B$202,MATCH($A103,案件管理!$A$3:$A$202,0)),"←IDが未登録です"))</f>
        <v/>
      </c>
      <c r="C103" s="37"/>
      <c r="D103" s="20" t="str">
        <f aca="false">IF($C103="","",CHOOSE(WEEKDAY($C103,1),"日","月","火","水","木","金","土"))</f>
        <v/>
      </c>
      <c r="E103" s="63"/>
      <c r="F103" s="63"/>
      <c r="G103" s="45"/>
      <c r="H103" s="61" t="str">
        <f aca="false">IF(OR($E103="",$F103=""),"",($F103-$E103)*24-N($G103))</f>
        <v/>
      </c>
      <c r="I103" s="8"/>
      <c r="J103" s="34"/>
      <c r="K103" s="34"/>
      <c r="L103" s="33"/>
      <c r="M103" s="8"/>
      <c r="N103" s="8"/>
    </row>
    <row r="104" customFormat="false" ht="18" hidden="false" customHeight="true" outlineLevel="0" collapsed="false">
      <c r="A104" s="33"/>
      <c r="B104" s="10" t="str">
        <f aca="false">IF($A104="","",IFERROR(INDEX(案件管理!$B$3:$B$202,MATCH($A104,案件管理!$A$3:$A$202,0)),"←IDが未登録です"))</f>
        <v/>
      </c>
      <c r="C104" s="37"/>
      <c r="D104" s="20" t="str">
        <f aca="false">IF($C104="","",CHOOSE(WEEKDAY($C104,1),"日","月","火","水","木","金","土"))</f>
        <v/>
      </c>
      <c r="E104" s="63"/>
      <c r="F104" s="63"/>
      <c r="G104" s="45"/>
      <c r="H104" s="61" t="str">
        <f aca="false">IF(OR($E104="",$F104=""),"",($F104-$E104)*24-N($G104))</f>
        <v/>
      </c>
      <c r="I104" s="8"/>
      <c r="J104" s="34"/>
      <c r="K104" s="34"/>
      <c r="L104" s="33"/>
      <c r="M104" s="8"/>
      <c r="N104" s="8"/>
    </row>
    <row r="105" customFormat="false" ht="18" hidden="false" customHeight="true" outlineLevel="0" collapsed="false">
      <c r="A105" s="33"/>
      <c r="B105" s="10" t="str">
        <f aca="false">IF($A105="","",IFERROR(INDEX(案件管理!$B$3:$B$202,MATCH($A105,案件管理!$A$3:$A$202,0)),"←IDが未登録です"))</f>
        <v/>
      </c>
      <c r="C105" s="37"/>
      <c r="D105" s="20" t="str">
        <f aca="false">IF($C105="","",CHOOSE(WEEKDAY($C105,1),"日","月","火","水","木","金","土"))</f>
        <v/>
      </c>
      <c r="E105" s="63"/>
      <c r="F105" s="63"/>
      <c r="G105" s="45"/>
      <c r="H105" s="61" t="str">
        <f aca="false">IF(OR($E105="",$F105=""),"",($F105-$E105)*24-N($G105))</f>
        <v/>
      </c>
      <c r="I105" s="8"/>
      <c r="J105" s="34"/>
      <c r="K105" s="34"/>
      <c r="L105" s="33"/>
      <c r="M105" s="8"/>
      <c r="N105" s="8"/>
    </row>
    <row r="106" customFormat="false" ht="18" hidden="false" customHeight="true" outlineLevel="0" collapsed="false">
      <c r="A106" s="33"/>
      <c r="B106" s="10" t="str">
        <f aca="false">IF($A106="","",IFERROR(INDEX(案件管理!$B$3:$B$202,MATCH($A106,案件管理!$A$3:$A$202,0)),"←IDが未登録です"))</f>
        <v/>
      </c>
      <c r="C106" s="37"/>
      <c r="D106" s="20" t="str">
        <f aca="false">IF($C106="","",CHOOSE(WEEKDAY($C106,1),"日","月","火","水","木","金","土"))</f>
        <v/>
      </c>
      <c r="E106" s="63"/>
      <c r="F106" s="63"/>
      <c r="G106" s="45"/>
      <c r="H106" s="61" t="str">
        <f aca="false">IF(OR($E106="",$F106=""),"",($F106-$E106)*24-N($G106))</f>
        <v/>
      </c>
      <c r="I106" s="8"/>
      <c r="J106" s="34"/>
      <c r="K106" s="34"/>
      <c r="L106" s="33"/>
      <c r="M106" s="8"/>
      <c r="N106" s="8"/>
    </row>
    <row r="107" customFormat="false" ht="18" hidden="false" customHeight="true" outlineLevel="0" collapsed="false">
      <c r="A107" s="33"/>
      <c r="B107" s="10" t="str">
        <f aca="false">IF($A107="","",IFERROR(INDEX(案件管理!$B$3:$B$202,MATCH($A107,案件管理!$A$3:$A$202,0)),"←IDが未登録です"))</f>
        <v/>
      </c>
      <c r="C107" s="37"/>
      <c r="D107" s="20" t="str">
        <f aca="false">IF($C107="","",CHOOSE(WEEKDAY($C107,1),"日","月","火","水","木","金","土"))</f>
        <v/>
      </c>
      <c r="E107" s="63"/>
      <c r="F107" s="63"/>
      <c r="G107" s="45"/>
      <c r="H107" s="61" t="str">
        <f aca="false">IF(OR($E107="",$F107=""),"",($F107-$E107)*24-N($G107))</f>
        <v/>
      </c>
      <c r="I107" s="8"/>
      <c r="J107" s="34"/>
      <c r="K107" s="34"/>
      <c r="L107" s="33"/>
      <c r="M107" s="8"/>
      <c r="N107" s="8"/>
    </row>
    <row r="108" customFormat="false" ht="18" hidden="false" customHeight="true" outlineLevel="0" collapsed="false">
      <c r="A108" s="33"/>
      <c r="B108" s="10" t="str">
        <f aca="false">IF($A108="","",IFERROR(INDEX(案件管理!$B$3:$B$202,MATCH($A108,案件管理!$A$3:$A$202,0)),"←IDが未登録です"))</f>
        <v/>
      </c>
      <c r="C108" s="37"/>
      <c r="D108" s="20" t="str">
        <f aca="false">IF($C108="","",CHOOSE(WEEKDAY($C108,1),"日","月","火","水","木","金","土"))</f>
        <v/>
      </c>
      <c r="E108" s="63"/>
      <c r="F108" s="63"/>
      <c r="G108" s="45"/>
      <c r="H108" s="61" t="str">
        <f aca="false">IF(OR($E108="",$F108=""),"",($F108-$E108)*24-N($G108))</f>
        <v/>
      </c>
      <c r="I108" s="8"/>
      <c r="J108" s="34"/>
      <c r="K108" s="34"/>
      <c r="L108" s="33"/>
      <c r="M108" s="8"/>
      <c r="N108" s="8"/>
    </row>
    <row r="109" customFormat="false" ht="18" hidden="false" customHeight="true" outlineLevel="0" collapsed="false">
      <c r="A109" s="33"/>
      <c r="B109" s="10" t="str">
        <f aca="false">IF($A109="","",IFERROR(INDEX(案件管理!$B$3:$B$202,MATCH($A109,案件管理!$A$3:$A$202,0)),"←IDが未登録です"))</f>
        <v/>
      </c>
      <c r="C109" s="37"/>
      <c r="D109" s="20" t="str">
        <f aca="false">IF($C109="","",CHOOSE(WEEKDAY($C109,1),"日","月","火","水","木","金","土"))</f>
        <v/>
      </c>
      <c r="E109" s="63"/>
      <c r="F109" s="63"/>
      <c r="G109" s="45"/>
      <c r="H109" s="61" t="str">
        <f aca="false">IF(OR($E109="",$F109=""),"",($F109-$E109)*24-N($G109))</f>
        <v/>
      </c>
      <c r="I109" s="8"/>
      <c r="J109" s="34"/>
      <c r="K109" s="34"/>
      <c r="L109" s="33"/>
      <c r="M109" s="8"/>
      <c r="N109" s="8"/>
    </row>
    <row r="110" customFormat="false" ht="18" hidden="false" customHeight="true" outlineLevel="0" collapsed="false">
      <c r="A110" s="33"/>
      <c r="B110" s="10" t="str">
        <f aca="false">IF($A110="","",IFERROR(INDEX(案件管理!$B$3:$B$202,MATCH($A110,案件管理!$A$3:$A$202,0)),"←IDが未登録です"))</f>
        <v/>
      </c>
      <c r="C110" s="37"/>
      <c r="D110" s="20" t="str">
        <f aca="false">IF($C110="","",CHOOSE(WEEKDAY($C110,1),"日","月","火","水","木","金","土"))</f>
        <v/>
      </c>
      <c r="E110" s="63"/>
      <c r="F110" s="63"/>
      <c r="G110" s="45"/>
      <c r="H110" s="61" t="str">
        <f aca="false">IF(OR($E110="",$F110=""),"",($F110-$E110)*24-N($G110))</f>
        <v/>
      </c>
      <c r="I110" s="8"/>
      <c r="J110" s="34"/>
      <c r="K110" s="34"/>
      <c r="L110" s="33"/>
      <c r="M110" s="8"/>
      <c r="N110" s="8"/>
    </row>
    <row r="111" customFormat="false" ht="18" hidden="false" customHeight="true" outlineLevel="0" collapsed="false">
      <c r="A111" s="33"/>
      <c r="B111" s="10" t="str">
        <f aca="false">IF($A111="","",IFERROR(INDEX(案件管理!$B$3:$B$202,MATCH($A111,案件管理!$A$3:$A$202,0)),"←IDが未登録です"))</f>
        <v/>
      </c>
      <c r="C111" s="37"/>
      <c r="D111" s="20" t="str">
        <f aca="false">IF($C111="","",CHOOSE(WEEKDAY($C111,1),"日","月","火","水","木","金","土"))</f>
        <v/>
      </c>
      <c r="E111" s="63"/>
      <c r="F111" s="63"/>
      <c r="G111" s="45"/>
      <c r="H111" s="61" t="str">
        <f aca="false">IF(OR($E111="",$F111=""),"",($F111-$E111)*24-N($G111))</f>
        <v/>
      </c>
      <c r="I111" s="8"/>
      <c r="J111" s="34"/>
      <c r="K111" s="34"/>
      <c r="L111" s="33"/>
      <c r="M111" s="8"/>
      <c r="N111" s="8"/>
    </row>
    <row r="112" customFormat="false" ht="18" hidden="false" customHeight="true" outlineLevel="0" collapsed="false">
      <c r="A112" s="33"/>
      <c r="B112" s="10" t="str">
        <f aca="false">IF($A112="","",IFERROR(INDEX(案件管理!$B$3:$B$202,MATCH($A112,案件管理!$A$3:$A$202,0)),"←IDが未登録です"))</f>
        <v/>
      </c>
      <c r="C112" s="37"/>
      <c r="D112" s="20" t="str">
        <f aca="false">IF($C112="","",CHOOSE(WEEKDAY($C112,1),"日","月","火","水","木","金","土"))</f>
        <v/>
      </c>
      <c r="E112" s="63"/>
      <c r="F112" s="63"/>
      <c r="G112" s="45"/>
      <c r="H112" s="61" t="str">
        <f aca="false">IF(OR($E112="",$F112=""),"",($F112-$E112)*24-N($G112))</f>
        <v/>
      </c>
      <c r="I112" s="8"/>
      <c r="J112" s="34"/>
      <c r="K112" s="34"/>
      <c r="L112" s="33"/>
      <c r="M112" s="8"/>
      <c r="N112" s="8"/>
    </row>
    <row r="113" customFormat="false" ht="18" hidden="false" customHeight="true" outlineLevel="0" collapsed="false">
      <c r="A113" s="33"/>
      <c r="B113" s="10" t="str">
        <f aca="false">IF($A113="","",IFERROR(INDEX(案件管理!$B$3:$B$202,MATCH($A113,案件管理!$A$3:$A$202,0)),"←IDが未登録です"))</f>
        <v/>
      </c>
      <c r="C113" s="37"/>
      <c r="D113" s="20" t="str">
        <f aca="false">IF($C113="","",CHOOSE(WEEKDAY($C113,1),"日","月","火","水","木","金","土"))</f>
        <v/>
      </c>
      <c r="E113" s="63"/>
      <c r="F113" s="63"/>
      <c r="G113" s="45"/>
      <c r="H113" s="61" t="str">
        <f aca="false">IF(OR($E113="",$F113=""),"",($F113-$E113)*24-N($G113))</f>
        <v/>
      </c>
      <c r="I113" s="8"/>
      <c r="J113" s="34"/>
      <c r="K113" s="34"/>
      <c r="L113" s="33"/>
      <c r="M113" s="8"/>
      <c r="N113" s="8"/>
    </row>
    <row r="114" customFormat="false" ht="18" hidden="false" customHeight="true" outlineLevel="0" collapsed="false">
      <c r="A114" s="33"/>
      <c r="B114" s="10" t="str">
        <f aca="false">IF($A114="","",IFERROR(INDEX(案件管理!$B$3:$B$202,MATCH($A114,案件管理!$A$3:$A$202,0)),"←IDが未登録です"))</f>
        <v/>
      </c>
      <c r="C114" s="37"/>
      <c r="D114" s="20" t="str">
        <f aca="false">IF($C114="","",CHOOSE(WEEKDAY($C114,1),"日","月","火","水","木","金","土"))</f>
        <v/>
      </c>
      <c r="E114" s="63"/>
      <c r="F114" s="63"/>
      <c r="G114" s="45"/>
      <c r="H114" s="61" t="str">
        <f aca="false">IF(OR($E114="",$F114=""),"",($F114-$E114)*24-N($G114))</f>
        <v/>
      </c>
      <c r="I114" s="8"/>
      <c r="J114" s="34"/>
      <c r="K114" s="34"/>
      <c r="L114" s="33"/>
      <c r="M114" s="8"/>
      <c r="N114" s="8"/>
    </row>
    <row r="115" customFormat="false" ht="18" hidden="false" customHeight="true" outlineLevel="0" collapsed="false">
      <c r="A115" s="33"/>
      <c r="B115" s="10" t="str">
        <f aca="false">IF($A115="","",IFERROR(INDEX(案件管理!$B$3:$B$202,MATCH($A115,案件管理!$A$3:$A$202,0)),"←IDが未登録です"))</f>
        <v/>
      </c>
      <c r="C115" s="37"/>
      <c r="D115" s="20" t="str">
        <f aca="false">IF($C115="","",CHOOSE(WEEKDAY($C115,1),"日","月","火","水","木","金","土"))</f>
        <v/>
      </c>
      <c r="E115" s="63"/>
      <c r="F115" s="63"/>
      <c r="G115" s="45"/>
      <c r="H115" s="61" t="str">
        <f aca="false">IF(OR($E115="",$F115=""),"",($F115-$E115)*24-N($G115))</f>
        <v/>
      </c>
      <c r="I115" s="8"/>
      <c r="J115" s="34"/>
      <c r="K115" s="34"/>
      <c r="L115" s="33"/>
      <c r="M115" s="8"/>
      <c r="N115" s="8"/>
    </row>
    <row r="116" customFormat="false" ht="18" hidden="false" customHeight="true" outlineLevel="0" collapsed="false">
      <c r="A116" s="33"/>
      <c r="B116" s="10" t="str">
        <f aca="false">IF($A116="","",IFERROR(INDEX(案件管理!$B$3:$B$202,MATCH($A116,案件管理!$A$3:$A$202,0)),"←IDが未登録です"))</f>
        <v/>
      </c>
      <c r="C116" s="37"/>
      <c r="D116" s="20" t="str">
        <f aca="false">IF($C116="","",CHOOSE(WEEKDAY($C116,1),"日","月","火","水","木","金","土"))</f>
        <v/>
      </c>
      <c r="E116" s="63"/>
      <c r="F116" s="63"/>
      <c r="G116" s="45"/>
      <c r="H116" s="61" t="str">
        <f aca="false">IF(OR($E116="",$F116=""),"",($F116-$E116)*24-N($G116))</f>
        <v/>
      </c>
      <c r="I116" s="8"/>
      <c r="J116" s="34"/>
      <c r="K116" s="34"/>
      <c r="L116" s="33"/>
      <c r="M116" s="8"/>
      <c r="N116" s="8"/>
    </row>
    <row r="117" customFormat="false" ht="18" hidden="false" customHeight="true" outlineLevel="0" collapsed="false">
      <c r="A117" s="33"/>
      <c r="B117" s="10" t="str">
        <f aca="false">IF($A117="","",IFERROR(INDEX(案件管理!$B$3:$B$202,MATCH($A117,案件管理!$A$3:$A$202,0)),"←IDが未登録です"))</f>
        <v/>
      </c>
      <c r="C117" s="37"/>
      <c r="D117" s="20" t="str">
        <f aca="false">IF($C117="","",CHOOSE(WEEKDAY($C117,1),"日","月","火","水","木","金","土"))</f>
        <v/>
      </c>
      <c r="E117" s="63"/>
      <c r="F117" s="63"/>
      <c r="G117" s="45"/>
      <c r="H117" s="61" t="str">
        <f aca="false">IF(OR($E117="",$F117=""),"",($F117-$E117)*24-N($G117))</f>
        <v/>
      </c>
      <c r="I117" s="8"/>
      <c r="J117" s="34"/>
      <c r="K117" s="34"/>
      <c r="L117" s="33"/>
      <c r="M117" s="8"/>
      <c r="N117" s="8"/>
    </row>
    <row r="118" customFormat="false" ht="18" hidden="false" customHeight="true" outlineLevel="0" collapsed="false">
      <c r="A118" s="33"/>
      <c r="B118" s="10" t="str">
        <f aca="false">IF($A118="","",IFERROR(INDEX(案件管理!$B$3:$B$202,MATCH($A118,案件管理!$A$3:$A$202,0)),"←IDが未登録です"))</f>
        <v/>
      </c>
      <c r="C118" s="37"/>
      <c r="D118" s="20" t="str">
        <f aca="false">IF($C118="","",CHOOSE(WEEKDAY($C118,1),"日","月","火","水","木","金","土"))</f>
        <v/>
      </c>
      <c r="E118" s="63"/>
      <c r="F118" s="63"/>
      <c r="G118" s="45"/>
      <c r="H118" s="61" t="str">
        <f aca="false">IF(OR($E118="",$F118=""),"",($F118-$E118)*24-N($G118))</f>
        <v/>
      </c>
      <c r="I118" s="8"/>
      <c r="J118" s="34"/>
      <c r="K118" s="34"/>
      <c r="L118" s="33"/>
      <c r="M118" s="8"/>
      <c r="N118" s="8"/>
    </row>
    <row r="119" customFormat="false" ht="18" hidden="false" customHeight="true" outlineLevel="0" collapsed="false">
      <c r="A119" s="33"/>
      <c r="B119" s="10" t="str">
        <f aca="false">IF($A119="","",IFERROR(INDEX(案件管理!$B$3:$B$202,MATCH($A119,案件管理!$A$3:$A$202,0)),"←IDが未登録です"))</f>
        <v/>
      </c>
      <c r="C119" s="37"/>
      <c r="D119" s="20" t="str">
        <f aca="false">IF($C119="","",CHOOSE(WEEKDAY($C119,1),"日","月","火","水","木","金","土"))</f>
        <v/>
      </c>
      <c r="E119" s="63"/>
      <c r="F119" s="63"/>
      <c r="G119" s="45"/>
      <c r="H119" s="61" t="str">
        <f aca="false">IF(OR($E119="",$F119=""),"",($F119-$E119)*24-N($G119))</f>
        <v/>
      </c>
      <c r="I119" s="8"/>
      <c r="J119" s="34"/>
      <c r="K119" s="34"/>
      <c r="L119" s="33"/>
      <c r="M119" s="8"/>
      <c r="N119" s="8"/>
    </row>
    <row r="120" customFormat="false" ht="18" hidden="false" customHeight="true" outlineLevel="0" collapsed="false">
      <c r="A120" s="33"/>
      <c r="B120" s="10" t="str">
        <f aca="false">IF($A120="","",IFERROR(INDEX(案件管理!$B$3:$B$202,MATCH($A120,案件管理!$A$3:$A$202,0)),"←IDが未登録です"))</f>
        <v/>
      </c>
      <c r="C120" s="37"/>
      <c r="D120" s="20" t="str">
        <f aca="false">IF($C120="","",CHOOSE(WEEKDAY($C120,1),"日","月","火","水","木","金","土"))</f>
        <v/>
      </c>
      <c r="E120" s="63"/>
      <c r="F120" s="63"/>
      <c r="G120" s="45"/>
      <c r="H120" s="61" t="str">
        <f aca="false">IF(OR($E120="",$F120=""),"",($F120-$E120)*24-N($G120))</f>
        <v/>
      </c>
      <c r="I120" s="8"/>
      <c r="J120" s="34"/>
      <c r="K120" s="34"/>
      <c r="L120" s="33"/>
      <c r="M120" s="8"/>
      <c r="N120" s="8"/>
    </row>
    <row r="121" customFormat="false" ht="18" hidden="false" customHeight="true" outlineLevel="0" collapsed="false">
      <c r="A121" s="33"/>
      <c r="B121" s="10" t="str">
        <f aca="false">IF($A121="","",IFERROR(INDEX(案件管理!$B$3:$B$202,MATCH($A121,案件管理!$A$3:$A$202,0)),"←IDが未登録です"))</f>
        <v/>
      </c>
      <c r="C121" s="37"/>
      <c r="D121" s="20" t="str">
        <f aca="false">IF($C121="","",CHOOSE(WEEKDAY($C121,1),"日","月","火","水","木","金","土"))</f>
        <v/>
      </c>
      <c r="E121" s="63"/>
      <c r="F121" s="63"/>
      <c r="G121" s="45"/>
      <c r="H121" s="61" t="str">
        <f aca="false">IF(OR($E121="",$F121=""),"",($F121-$E121)*24-N($G121))</f>
        <v/>
      </c>
      <c r="I121" s="8"/>
      <c r="J121" s="34"/>
      <c r="K121" s="34"/>
      <c r="L121" s="33"/>
      <c r="M121" s="8"/>
      <c r="N121" s="8"/>
    </row>
    <row r="122" customFormat="false" ht="18" hidden="false" customHeight="true" outlineLevel="0" collapsed="false">
      <c r="A122" s="33"/>
      <c r="B122" s="10" t="str">
        <f aca="false">IF($A122="","",IFERROR(INDEX(案件管理!$B$3:$B$202,MATCH($A122,案件管理!$A$3:$A$202,0)),"←IDが未登録です"))</f>
        <v/>
      </c>
      <c r="C122" s="37"/>
      <c r="D122" s="20" t="str">
        <f aca="false">IF($C122="","",CHOOSE(WEEKDAY($C122,1),"日","月","火","水","木","金","土"))</f>
        <v/>
      </c>
      <c r="E122" s="63"/>
      <c r="F122" s="63"/>
      <c r="G122" s="45"/>
      <c r="H122" s="61" t="str">
        <f aca="false">IF(OR($E122="",$F122=""),"",($F122-$E122)*24-N($G122))</f>
        <v/>
      </c>
      <c r="I122" s="8"/>
      <c r="J122" s="34"/>
      <c r="K122" s="34"/>
      <c r="L122" s="33"/>
      <c r="M122" s="8"/>
      <c r="N122" s="8"/>
    </row>
    <row r="123" customFormat="false" ht="18" hidden="false" customHeight="true" outlineLevel="0" collapsed="false">
      <c r="A123" s="33"/>
      <c r="B123" s="10" t="str">
        <f aca="false">IF($A123="","",IFERROR(INDEX(案件管理!$B$3:$B$202,MATCH($A123,案件管理!$A$3:$A$202,0)),"←IDが未登録です"))</f>
        <v/>
      </c>
      <c r="C123" s="37"/>
      <c r="D123" s="20" t="str">
        <f aca="false">IF($C123="","",CHOOSE(WEEKDAY($C123,1),"日","月","火","水","木","金","土"))</f>
        <v/>
      </c>
      <c r="E123" s="63"/>
      <c r="F123" s="63"/>
      <c r="G123" s="45"/>
      <c r="H123" s="61" t="str">
        <f aca="false">IF(OR($E123="",$F123=""),"",($F123-$E123)*24-N($G123))</f>
        <v/>
      </c>
      <c r="I123" s="8"/>
      <c r="J123" s="34"/>
      <c r="K123" s="34"/>
      <c r="L123" s="33"/>
      <c r="M123" s="8"/>
      <c r="N123" s="8"/>
    </row>
    <row r="124" customFormat="false" ht="18" hidden="false" customHeight="true" outlineLevel="0" collapsed="false">
      <c r="A124" s="33"/>
      <c r="B124" s="10" t="str">
        <f aca="false">IF($A124="","",IFERROR(INDEX(案件管理!$B$3:$B$202,MATCH($A124,案件管理!$A$3:$A$202,0)),"←IDが未登録です"))</f>
        <v/>
      </c>
      <c r="C124" s="37"/>
      <c r="D124" s="20" t="str">
        <f aca="false">IF($C124="","",CHOOSE(WEEKDAY($C124,1),"日","月","火","水","木","金","土"))</f>
        <v/>
      </c>
      <c r="E124" s="63"/>
      <c r="F124" s="63"/>
      <c r="G124" s="45"/>
      <c r="H124" s="61" t="str">
        <f aca="false">IF(OR($E124="",$F124=""),"",($F124-$E124)*24-N($G124))</f>
        <v/>
      </c>
      <c r="I124" s="8"/>
      <c r="J124" s="34"/>
      <c r="K124" s="34"/>
      <c r="L124" s="33"/>
      <c r="M124" s="8"/>
      <c r="N124" s="8"/>
    </row>
    <row r="125" customFormat="false" ht="18" hidden="false" customHeight="true" outlineLevel="0" collapsed="false">
      <c r="A125" s="33"/>
      <c r="B125" s="10" t="str">
        <f aca="false">IF($A125="","",IFERROR(INDEX(案件管理!$B$3:$B$202,MATCH($A125,案件管理!$A$3:$A$202,0)),"←IDが未登録です"))</f>
        <v/>
      </c>
      <c r="C125" s="37"/>
      <c r="D125" s="20" t="str">
        <f aca="false">IF($C125="","",CHOOSE(WEEKDAY($C125,1),"日","月","火","水","木","金","土"))</f>
        <v/>
      </c>
      <c r="E125" s="63"/>
      <c r="F125" s="63"/>
      <c r="G125" s="45"/>
      <c r="H125" s="61" t="str">
        <f aca="false">IF(OR($E125="",$F125=""),"",($F125-$E125)*24-N($G125))</f>
        <v/>
      </c>
      <c r="I125" s="8"/>
      <c r="J125" s="34"/>
      <c r="K125" s="34"/>
      <c r="L125" s="33"/>
      <c r="M125" s="8"/>
      <c r="N125" s="8"/>
    </row>
    <row r="126" customFormat="false" ht="18" hidden="false" customHeight="true" outlineLevel="0" collapsed="false">
      <c r="A126" s="33"/>
      <c r="B126" s="10" t="str">
        <f aca="false">IF($A126="","",IFERROR(INDEX(案件管理!$B$3:$B$202,MATCH($A126,案件管理!$A$3:$A$202,0)),"←IDが未登録です"))</f>
        <v/>
      </c>
      <c r="C126" s="37"/>
      <c r="D126" s="20" t="str">
        <f aca="false">IF($C126="","",CHOOSE(WEEKDAY($C126,1),"日","月","火","水","木","金","土"))</f>
        <v/>
      </c>
      <c r="E126" s="63"/>
      <c r="F126" s="63"/>
      <c r="G126" s="45"/>
      <c r="H126" s="61" t="str">
        <f aca="false">IF(OR($E126="",$F126=""),"",($F126-$E126)*24-N($G126))</f>
        <v/>
      </c>
      <c r="I126" s="8"/>
      <c r="J126" s="34"/>
      <c r="K126" s="34"/>
      <c r="L126" s="33"/>
      <c r="M126" s="8"/>
      <c r="N126" s="8"/>
    </row>
    <row r="127" customFormat="false" ht="18" hidden="false" customHeight="true" outlineLevel="0" collapsed="false">
      <c r="A127" s="33"/>
      <c r="B127" s="10" t="str">
        <f aca="false">IF($A127="","",IFERROR(INDEX(案件管理!$B$3:$B$202,MATCH($A127,案件管理!$A$3:$A$202,0)),"←IDが未登録です"))</f>
        <v/>
      </c>
      <c r="C127" s="37"/>
      <c r="D127" s="20" t="str">
        <f aca="false">IF($C127="","",CHOOSE(WEEKDAY($C127,1),"日","月","火","水","木","金","土"))</f>
        <v/>
      </c>
      <c r="E127" s="63"/>
      <c r="F127" s="63"/>
      <c r="G127" s="45"/>
      <c r="H127" s="61" t="str">
        <f aca="false">IF(OR($E127="",$F127=""),"",($F127-$E127)*24-N($G127))</f>
        <v/>
      </c>
      <c r="I127" s="8"/>
      <c r="J127" s="34"/>
      <c r="K127" s="34"/>
      <c r="L127" s="33"/>
      <c r="M127" s="8"/>
      <c r="N127" s="8"/>
    </row>
    <row r="128" customFormat="false" ht="18" hidden="false" customHeight="true" outlineLevel="0" collapsed="false">
      <c r="A128" s="33"/>
      <c r="B128" s="10" t="str">
        <f aca="false">IF($A128="","",IFERROR(INDEX(案件管理!$B$3:$B$202,MATCH($A128,案件管理!$A$3:$A$202,0)),"←IDが未登録です"))</f>
        <v/>
      </c>
      <c r="C128" s="37"/>
      <c r="D128" s="20" t="str">
        <f aca="false">IF($C128="","",CHOOSE(WEEKDAY($C128,1),"日","月","火","水","木","金","土"))</f>
        <v/>
      </c>
      <c r="E128" s="63"/>
      <c r="F128" s="63"/>
      <c r="G128" s="45"/>
      <c r="H128" s="61" t="str">
        <f aca="false">IF(OR($E128="",$F128=""),"",($F128-$E128)*24-N($G128))</f>
        <v/>
      </c>
      <c r="I128" s="8"/>
      <c r="J128" s="34"/>
      <c r="K128" s="34"/>
      <c r="L128" s="33"/>
      <c r="M128" s="8"/>
      <c r="N128" s="8"/>
    </row>
    <row r="129" customFormat="false" ht="18" hidden="false" customHeight="true" outlineLevel="0" collapsed="false">
      <c r="A129" s="33"/>
      <c r="B129" s="10" t="str">
        <f aca="false">IF($A129="","",IFERROR(INDEX(案件管理!$B$3:$B$202,MATCH($A129,案件管理!$A$3:$A$202,0)),"←IDが未登録です"))</f>
        <v/>
      </c>
      <c r="C129" s="37"/>
      <c r="D129" s="20" t="str">
        <f aca="false">IF($C129="","",CHOOSE(WEEKDAY($C129,1),"日","月","火","水","木","金","土"))</f>
        <v/>
      </c>
      <c r="E129" s="63"/>
      <c r="F129" s="63"/>
      <c r="G129" s="45"/>
      <c r="H129" s="61" t="str">
        <f aca="false">IF(OR($E129="",$F129=""),"",($F129-$E129)*24-N($G129))</f>
        <v/>
      </c>
      <c r="I129" s="8"/>
      <c r="J129" s="34"/>
      <c r="K129" s="34"/>
      <c r="L129" s="33"/>
      <c r="M129" s="8"/>
      <c r="N129" s="8"/>
    </row>
    <row r="130" customFormat="false" ht="18" hidden="false" customHeight="true" outlineLevel="0" collapsed="false">
      <c r="A130" s="33"/>
      <c r="B130" s="10" t="str">
        <f aca="false">IF($A130="","",IFERROR(INDEX(案件管理!$B$3:$B$202,MATCH($A130,案件管理!$A$3:$A$202,0)),"←IDが未登録です"))</f>
        <v/>
      </c>
      <c r="C130" s="37"/>
      <c r="D130" s="20" t="str">
        <f aca="false">IF($C130="","",CHOOSE(WEEKDAY($C130,1),"日","月","火","水","木","金","土"))</f>
        <v/>
      </c>
      <c r="E130" s="63"/>
      <c r="F130" s="63"/>
      <c r="G130" s="45"/>
      <c r="H130" s="61" t="str">
        <f aca="false">IF(OR($E130="",$F130=""),"",($F130-$E130)*24-N($G130))</f>
        <v/>
      </c>
      <c r="I130" s="8"/>
      <c r="J130" s="34"/>
      <c r="K130" s="34"/>
      <c r="L130" s="33"/>
      <c r="M130" s="8"/>
      <c r="N130" s="8"/>
    </row>
    <row r="131" customFormat="false" ht="18" hidden="false" customHeight="true" outlineLevel="0" collapsed="false">
      <c r="A131" s="33"/>
      <c r="B131" s="10" t="str">
        <f aca="false">IF($A131="","",IFERROR(INDEX(案件管理!$B$3:$B$202,MATCH($A131,案件管理!$A$3:$A$202,0)),"←IDが未登録です"))</f>
        <v/>
      </c>
      <c r="C131" s="37"/>
      <c r="D131" s="20" t="str">
        <f aca="false">IF($C131="","",CHOOSE(WEEKDAY($C131,1),"日","月","火","水","木","金","土"))</f>
        <v/>
      </c>
      <c r="E131" s="63"/>
      <c r="F131" s="63"/>
      <c r="G131" s="45"/>
      <c r="H131" s="61" t="str">
        <f aca="false">IF(OR($E131="",$F131=""),"",($F131-$E131)*24-N($G131))</f>
        <v/>
      </c>
      <c r="I131" s="8"/>
      <c r="J131" s="34"/>
      <c r="K131" s="34"/>
      <c r="L131" s="33"/>
      <c r="M131" s="8"/>
      <c r="N131" s="8"/>
    </row>
    <row r="132" customFormat="false" ht="18" hidden="false" customHeight="true" outlineLevel="0" collapsed="false">
      <c r="A132" s="33"/>
      <c r="B132" s="10" t="str">
        <f aca="false">IF($A132="","",IFERROR(INDEX(案件管理!$B$3:$B$202,MATCH($A132,案件管理!$A$3:$A$202,0)),"←IDが未登録です"))</f>
        <v/>
      </c>
      <c r="C132" s="37"/>
      <c r="D132" s="20" t="str">
        <f aca="false">IF($C132="","",CHOOSE(WEEKDAY($C132,1),"日","月","火","水","木","金","土"))</f>
        <v/>
      </c>
      <c r="E132" s="63"/>
      <c r="F132" s="63"/>
      <c r="G132" s="45"/>
      <c r="H132" s="61" t="str">
        <f aca="false">IF(OR($E132="",$F132=""),"",($F132-$E132)*24-N($G132))</f>
        <v/>
      </c>
      <c r="I132" s="8"/>
      <c r="J132" s="34"/>
      <c r="K132" s="34"/>
      <c r="L132" s="33"/>
      <c r="M132" s="8"/>
      <c r="N132" s="8"/>
    </row>
    <row r="133" customFormat="false" ht="18" hidden="false" customHeight="true" outlineLevel="0" collapsed="false">
      <c r="A133" s="33"/>
      <c r="B133" s="10" t="str">
        <f aca="false">IF($A133="","",IFERROR(INDEX(案件管理!$B$3:$B$202,MATCH($A133,案件管理!$A$3:$A$202,0)),"←IDが未登録です"))</f>
        <v/>
      </c>
      <c r="C133" s="37"/>
      <c r="D133" s="20" t="str">
        <f aca="false">IF($C133="","",CHOOSE(WEEKDAY($C133,1),"日","月","火","水","木","金","土"))</f>
        <v/>
      </c>
      <c r="E133" s="63"/>
      <c r="F133" s="63"/>
      <c r="G133" s="45"/>
      <c r="H133" s="61" t="str">
        <f aca="false">IF(OR($E133="",$F133=""),"",($F133-$E133)*24-N($G133))</f>
        <v/>
      </c>
      <c r="I133" s="8"/>
      <c r="J133" s="34"/>
      <c r="K133" s="34"/>
      <c r="L133" s="33"/>
      <c r="M133" s="8"/>
      <c r="N133" s="8"/>
    </row>
    <row r="134" customFormat="false" ht="18" hidden="false" customHeight="true" outlineLevel="0" collapsed="false">
      <c r="A134" s="33"/>
      <c r="B134" s="10" t="str">
        <f aca="false">IF($A134="","",IFERROR(INDEX(案件管理!$B$3:$B$202,MATCH($A134,案件管理!$A$3:$A$202,0)),"←IDが未登録です"))</f>
        <v/>
      </c>
      <c r="C134" s="37"/>
      <c r="D134" s="20" t="str">
        <f aca="false">IF($C134="","",CHOOSE(WEEKDAY($C134,1),"日","月","火","水","木","金","土"))</f>
        <v/>
      </c>
      <c r="E134" s="63"/>
      <c r="F134" s="63"/>
      <c r="G134" s="45"/>
      <c r="H134" s="61" t="str">
        <f aca="false">IF(OR($E134="",$F134=""),"",($F134-$E134)*24-N($G134))</f>
        <v/>
      </c>
      <c r="I134" s="8"/>
      <c r="J134" s="34"/>
      <c r="K134" s="34"/>
      <c r="L134" s="33"/>
      <c r="M134" s="8"/>
      <c r="N134" s="8"/>
    </row>
    <row r="135" customFormat="false" ht="18" hidden="false" customHeight="true" outlineLevel="0" collapsed="false">
      <c r="A135" s="33"/>
      <c r="B135" s="10" t="str">
        <f aca="false">IF($A135="","",IFERROR(INDEX(案件管理!$B$3:$B$202,MATCH($A135,案件管理!$A$3:$A$202,0)),"←IDが未登録です"))</f>
        <v/>
      </c>
      <c r="C135" s="37"/>
      <c r="D135" s="20" t="str">
        <f aca="false">IF($C135="","",CHOOSE(WEEKDAY($C135,1),"日","月","火","水","木","金","土"))</f>
        <v/>
      </c>
      <c r="E135" s="63"/>
      <c r="F135" s="63"/>
      <c r="G135" s="45"/>
      <c r="H135" s="61" t="str">
        <f aca="false">IF(OR($E135="",$F135=""),"",($F135-$E135)*24-N($G135))</f>
        <v/>
      </c>
      <c r="I135" s="8"/>
      <c r="J135" s="34"/>
      <c r="K135" s="34"/>
      <c r="L135" s="33"/>
      <c r="M135" s="8"/>
      <c r="N135" s="8"/>
    </row>
    <row r="136" customFormat="false" ht="18" hidden="false" customHeight="true" outlineLevel="0" collapsed="false">
      <c r="A136" s="33"/>
      <c r="B136" s="10" t="str">
        <f aca="false">IF($A136="","",IFERROR(INDEX(案件管理!$B$3:$B$202,MATCH($A136,案件管理!$A$3:$A$202,0)),"←IDが未登録です"))</f>
        <v/>
      </c>
      <c r="C136" s="37"/>
      <c r="D136" s="20" t="str">
        <f aca="false">IF($C136="","",CHOOSE(WEEKDAY($C136,1),"日","月","火","水","木","金","土"))</f>
        <v/>
      </c>
      <c r="E136" s="63"/>
      <c r="F136" s="63"/>
      <c r="G136" s="45"/>
      <c r="H136" s="61" t="str">
        <f aca="false">IF(OR($E136="",$F136=""),"",($F136-$E136)*24-N($G136))</f>
        <v/>
      </c>
      <c r="I136" s="8"/>
      <c r="J136" s="34"/>
      <c r="K136" s="34"/>
      <c r="L136" s="33"/>
      <c r="M136" s="8"/>
      <c r="N136" s="8"/>
    </row>
    <row r="137" customFormat="false" ht="18" hidden="false" customHeight="true" outlineLevel="0" collapsed="false">
      <c r="A137" s="33"/>
      <c r="B137" s="10" t="str">
        <f aca="false">IF($A137="","",IFERROR(INDEX(案件管理!$B$3:$B$202,MATCH($A137,案件管理!$A$3:$A$202,0)),"←IDが未登録です"))</f>
        <v/>
      </c>
      <c r="C137" s="37"/>
      <c r="D137" s="20" t="str">
        <f aca="false">IF($C137="","",CHOOSE(WEEKDAY($C137,1),"日","月","火","水","木","金","土"))</f>
        <v/>
      </c>
      <c r="E137" s="63"/>
      <c r="F137" s="63"/>
      <c r="G137" s="45"/>
      <c r="H137" s="61" t="str">
        <f aca="false">IF(OR($E137="",$F137=""),"",($F137-$E137)*24-N($G137))</f>
        <v/>
      </c>
      <c r="I137" s="8"/>
      <c r="J137" s="34"/>
      <c r="K137" s="34"/>
      <c r="L137" s="33"/>
      <c r="M137" s="8"/>
      <c r="N137" s="8"/>
    </row>
    <row r="138" customFormat="false" ht="18" hidden="false" customHeight="true" outlineLevel="0" collapsed="false">
      <c r="A138" s="33"/>
      <c r="B138" s="10" t="str">
        <f aca="false">IF($A138="","",IFERROR(INDEX(案件管理!$B$3:$B$202,MATCH($A138,案件管理!$A$3:$A$202,0)),"←IDが未登録です"))</f>
        <v/>
      </c>
      <c r="C138" s="37"/>
      <c r="D138" s="20" t="str">
        <f aca="false">IF($C138="","",CHOOSE(WEEKDAY($C138,1),"日","月","火","水","木","金","土"))</f>
        <v/>
      </c>
      <c r="E138" s="63"/>
      <c r="F138" s="63"/>
      <c r="G138" s="45"/>
      <c r="H138" s="61" t="str">
        <f aca="false">IF(OR($E138="",$F138=""),"",($F138-$E138)*24-N($G138))</f>
        <v/>
      </c>
      <c r="I138" s="8"/>
      <c r="J138" s="34"/>
      <c r="K138" s="34"/>
      <c r="L138" s="33"/>
      <c r="M138" s="8"/>
      <c r="N138" s="8"/>
    </row>
    <row r="139" customFormat="false" ht="18" hidden="false" customHeight="true" outlineLevel="0" collapsed="false">
      <c r="A139" s="33"/>
      <c r="B139" s="10" t="str">
        <f aca="false">IF($A139="","",IFERROR(INDEX(案件管理!$B$3:$B$202,MATCH($A139,案件管理!$A$3:$A$202,0)),"←IDが未登録です"))</f>
        <v/>
      </c>
      <c r="C139" s="37"/>
      <c r="D139" s="20" t="str">
        <f aca="false">IF($C139="","",CHOOSE(WEEKDAY($C139,1),"日","月","火","水","木","金","土"))</f>
        <v/>
      </c>
      <c r="E139" s="63"/>
      <c r="F139" s="63"/>
      <c r="G139" s="45"/>
      <c r="H139" s="61" t="str">
        <f aca="false">IF(OR($E139="",$F139=""),"",($F139-$E139)*24-N($G139))</f>
        <v/>
      </c>
      <c r="I139" s="8"/>
      <c r="J139" s="34"/>
      <c r="K139" s="34"/>
      <c r="L139" s="33"/>
      <c r="M139" s="8"/>
      <c r="N139" s="8"/>
    </row>
    <row r="140" customFormat="false" ht="18" hidden="false" customHeight="true" outlineLevel="0" collapsed="false">
      <c r="A140" s="33"/>
      <c r="B140" s="10" t="str">
        <f aca="false">IF($A140="","",IFERROR(INDEX(案件管理!$B$3:$B$202,MATCH($A140,案件管理!$A$3:$A$202,0)),"←IDが未登録です"))</f>
        <v/>
      </c>
      <c r="C140" s="37"/>
      <c r="D140" s="20" t="str">
        <f aca="false">IF($C140="","",CHOOSE(WEEKDAY($C140,1),"日","月","火","水","木","金","土"))</f>
        <v/>
      </c>
      <c r="E140" s="63"/>
      <c r="F140" s="63"/>
      <c r="G140" s="45"/>
      <c r="H140" s="61" t="str">
        <f aca="false">IF(OR($E140="",$F140=""),"",($F140-$E140)*24-N($G140))</f>
        <v/>
      </c>
      <c r="I140" s="8"/>
      <c r="J140" s="34"/>
      <c r="K140" s="34"/>
      <c r="L140" s="33"/>
      <c r="M140" s="8"/>
      <c r="N140" s="8"/>
    </row>
    <row r="141" customFormat="false" ht="18" hidden="false" customHeight="true" outlineLevel="0" collapsed="false">
      <c r="A141" s="33"/>
      <c r="B141" s="10" t="str">
        <f aca="false">IF($A141="","",IFERROR(INDEX(案件管理!$B$3:$B$202,MATCH($A141,案件管理!$A$3:$A$202,0)),"←IDが未登録です"))</f>
        <v/>
      </c>
      <c r="C141" s="37"/>
      <c r="D141" s="20" t="str">
        <f aca="false">IF($C141="","",CHOOSE(WEEKDAY($C141,1),"日","月","火","水","木","金","土"))</f>
        <v/>
      </c>
      <c r="E141" s="63"/>
      <c r="F141" s="63"/>
      <c r="G141" s="45"/>
      <c r="H141" s="61" t="str">
        <f aca="false">IF(OR($E141="",$F141=""),"",($F141-$E141)*24-N($G141))</f>
        <v/>
      </c>
      <c r="I141" s="8"/>
      <c r="J141" s="34"/>
      <c r="K141" s="34"/>
      <c r="L141" s="33"/>
      <c r="M141" s="8"/>
      <c r="N141" s="8"/>
    </row>
    <row r="142" customFormat="false" ht="18" hidden="false" customHeight="true" outlineLevel="0" collapsed="false">
      <c r="A142" s="33"/>
      <c r="B142" s="10" t="str">
        <f aca="false">IF($A142="","",IFERROR(INDEX(案件管理!$B$3:$B$202,MATCH($A142,案件管理!$A$3:$A$202,0)),"←IDが未登録です"))</f>
        <v/>
      </c>
      <c r="C142" s="37"/>
      <c r="D142" s="20" t="str">
        <f aca="false">IF($C142="","",CHOOSE(WEEKDAY($C142,1),"日","月","火","水","木","金","土"))</f>
        <v/>
      </c>
      <c r="E142" s="63"/>
      <c r="F142" s="63"/>
      <c r="G142" s="45"/>
      <c r="H142" s="61" t="str">
        <f aca="false">IF(OR($E142="",$F142=""),"",($F142-$E142)*24-N($G142))</f>
        <v/>
      </c>
      <c r="I142" s="8"/>
      <c r="J142" s="34"/>
      <c r="K142" s="34"/>
      <c r="L142" s="33"/>
      <c r="M142" s="8"/>
      <c r="N142" s="8"/>
    </row>
    <row r="143" customFormat="false" ht="18" hidden="false" customHeight="true" outlineLevel="0" collapsed="false">
      <c r="A143" s="33"/>
      <c r="B143" s="10" t="str">
        <f aca="false">IF($A143="","",IFERROR(INDEX(案件管理!$B$3:$B$202,MATCH($A143,案件管理!$A$3:$A$202,0)),"←IDが未登録です"))</f>
        <v/>
      </c>
      <c r="C143" s="37"/>
      <c r="D143" s="20" t="str">
        <f aca="false">IF($C143="","",CHOOSE(WEEKDAY($C143,1),"日","月","火","水","木","金","土"))</f>
        <v/>
      </c>
      <c r="E143" s="63"/>
      <c r="F143" s="63"/>
      <c r="G143" s="45"/>
      <c r="H143" s="61" t="str">
        <f aca="false">IF(OR($E143="",$F143=""),"",($F143-$E143)*24-N($G143))</f>
        <v/>
      </c>
      <c r="I143" s="8"/>
      <c r="J143" s="34"/>
      <c r="K143" s="34"/>
      <c r="L143" s="33"/>
      <c r="M143" s="8"/>
      <c r="N143" s="8"/>
    </row>
    <row r="144" customFormat="false" ht="18" hidden="false" customHeight="true" outlineLevel="0" collapsed="false">
      <c r="A144" s="33"/>
      <c r="B144" s="10" t="str">
        <f aca="false">IF($A144="","",IFERROR(INDEX(案件管理!$B$3:$B$202,MATCH($A144,案件管理!$A$3:$A$202,0)),"←IDが未登録です"))</f>
        <v/>
      </c>
      <c r="C144" s="37"/>
      <c r="D144" s="20" t="str">
        <f aca="false">IF($C144="","",CHOOSE(WEEKDAY($C144,1),"日","月","火","水","木","金","土"))</f>
        <v/>
      </c>
      <c r="E144" s="63"/>
      <c r="F144" s="63"/>
      <c r="G144" s="45"/>
      <c r="H144" s="61" t="str">
        <f aca="false">IF(OR($E144="",$F144=""),"",($F144-$E144)*24-N($G144))</f>
        <v/>
      </c>
      <c r="I144" s="8"/>
      <c r="J144" s="34"/>
      <c r="K144" s="34"/>
      <c r="L144" s="33"/>
      <c r="M144" s="8"/>
      <c r="N144" s="8"/>
    </row>
    <row r="145" customFormat="false" ht="18" hidden="false" customHeight="true" outlineLevel="0" collapsed="false">
      <c r="A145" s="33"/>
      <c r="B145" s="10" t="str">
        <f aca="false">IF($A145="","",IFERROR(INDEX(案件管理!$B$3:$B$202,MATCH($A145,案件管理!$A$3:$A$202,0)),"←IDが未登録です"))</f>
        <v/>
      </c>
      <c r="C145" s="37"/>
      <c r="D145" s="20" t="str">
        <f aca="false">IF($C145="","",CHOOSE(WEEKDAY($C145,1),"日","月","火","水","木","金","土"))</f>
        <v/>
      </c>
      <c r="E145" s="63"/>
      <c r="F145" s="63"/>
      <c r="G145" s="45"/>
      <c r="H145" s="61" t="str">
        <f aca="false">IF(OR($E145="",$F145=""),"",($F145-$E145)*24-N($G145))</f>
        <v/>
      </c>
      <c r="I145" s="8"/>
      <c r="J145" s="34"/>
      <c r="K145" s="34"/>
      <c r="L145" s="33"/>
      <c r="M145" s="8"/>
      <c r="N145" s="8"/>
    </row>
    <row r="146" customFormat="false" ht="18" hidden="false" customHeight="true" outlineLevel="0" collapsed="false">
      <c r="A146" s="33"/>
      <c r="B146" s="10" t="str">
        <f aca="false">IF($A146="","",IFERROR(INDEX(案件管理!$B$3:$B$202,MATCH($A146,案件管理!$A$3:$A$202,0)),"←IDが未登録です"))</f>
        <v/>
      </c>
      <c r="C146" s="37"/>
      <c r="D146" s="20" t="str">
        <f aca="false">IF($C146="","",CHOOSE(WEEKDAY($C146,1),"日","月","火","水","木","金","土"))</f>
        <v/>
      </c>
      <c r="E146" s="63"/>
      <c r="F146" s="63"/>
      <c r="G146" s="45"/>
      <c r="H146" s="61" t="str">
        <f aca="false">IF(OR($E146="",$F146=""),"",($F146-$E146)*24-N($G146))</f>
        <v/>
      </c>
      <c r="I146" s="8"/>
      <c r="J146" s="34"/>
      <c r="K146" s="34"/>
      <c r="L146" s="33"/>
      <c r="M146" s="8"/>
      <c r="N146" s="8"/>
    </row>
    <row r="147" customFormat="false" ht="18" hidden="false" customHeight="true" outlineLevel="0" collapsed="false">
      <c r="A147" s="33"/>
      <c r="B147" s="10" t="str">
        <f aca="false">IF($A147="","",IFERROR(INDEX(案件管理!$B$3:$B$202,MATCH($A147,案件管理!$A$3:$A$202,0)),"←IDが未登録です"))</f>
        <v/>
      </c>
      <c r="C147" s="37"/>
      <c r="D147" s="20" t="str">
        <f aca="false">IF($C147="","",CHOOSE(WEEKDAY($C147,1),"日","月","火","水","木","金","土"))</f>
        <v/>
      </c>
      <c r="E147" s="63"/>
      <c r="F147" s="63"/>
      <c r="G147" s="45"/>
      <c r="H147" s="61" t="str">
        <f aca="false">IF(OR($E147="",$F147=""),"",($F147-$E147)*24-N($G147))</f>
        <v/>
      </c>
      <c r="I147" s="8"/>
      <c r="J147" s="34"/>
      <c r="K147" s="34"/>
      <c r="L147" s="33"/>
      <c r="M147" s="8"/>
      <c r="N147" s="8"/>
    </row>
    <row r="148" customFormat="false" ht="18" hidden="false" customHeight="true" outlineLevel="0" collapsed="false">
      <c r="A148" s="33"/>
      <c r="B148" s="10" t="str">
        <f aca="false">IF($A148="","",IFERROR(INDEX(案件管理!$B$3:$B$202,MATCH($A148,案件管理!$A$3:$A$202,0)),"←IDが未登録です"))</f>
        <v/>
      </c>
      <c r="C148" s="37"/>
      <c r="D148" s="20" t="str">
        <f aca="false">IF($C148="","",CHOOSE(WEEKDAY($C148,1),"日","月","火","水","木","金","土"))</f>
        <v/>
      </c>
      <c r="E148" s="63"/>
      <c r="F148" s="63"/>
      <c r="G148" s="45"/>
      <c r="H148" s="61" t="str">
        <f aca="false">IF(OR($E148="",$F148=""),"",($F148-$E148)*24-N($G148))</f>
        <v/>
      </c>
      <c r="I148" s="8"/>
      <c r="J148" s="34"/>
      <c r="K148" s="34"/>
      <c r="L148" s="33"/>
      <c r="M148" s="8"/>
      <c r="N148" s="8"/>
    </row>
    <row r="149" customFormat="false" ht="18" hidden="false" customHeight="true" outlineLevel="0" collapsed="false">
      <c r="A149" s="33"/>
      <c r="B149" s="10" t="str">
        <f aca="false">IF($A149="","",IFERROR(INDEX(案件管理!$B$3:$B$202,MATCH($A149,案件管理!$A$3:$A$202,0)),"←IDが未登録です"))</f>
        <v/>
      </c>
      <c r="C149" s="37"/>
      <c r="D149" s="20" t="str">
        <f aca="false">IF($C149="","",CHOOSE(WEEKDAY($C149,1),"日","月","火","水","木","金","土"))</f>
        <v/>
      </c>
      <c r="E149" s="63"/>
      <c r="F149" s="63"/>
      <c r="G149" s="45"/>
      <c r="H149" s="61" t="str">
        <f aca="false">IF(OR($E149="",$F149=""),"",($F149-$E149)*24-N($G149))</f>
        <v/>
      </c>
      <c r="I149" s="8"/>
      <c r="J149" s="34"/>
      <c r="K149" s="34"/>
      <c r="L149" s="33"/>
      <c r="M149" s="8"/>
      <c r="N149" s="8"/>
    </row>
    <row r="150" customFormat="false" ht="18" hidden="false" customHeight="true" outlineLevel="0" collapsed="false">
      <c r="A150" s="33"/>
      <c r="B150" s="10" t="str">
        <f aca="false">IF($A150="","",IFERROR(INDEX(案件管理!$B$3:$B$202,MATCH($A150,案件管理!$A$3:$A$202,0)),"←IDが未登録です"))</f>
        <v/>
      </c>
      <c r="C150" s="37"/>
      <c r="D150" s="20" t="str">
        <f aca="false">IF($C150="","",CHOOSE(WEEKDAY($C150,1),"日","月","火","水","木","金","土"))</f>
        <v/>
      </c>
      <c r="E150" s="63"/>
      <c r="F150" s="63"/>
      <c r="G150" s="45"/>
      <c r="H150" s="61" t="str">
        <f aca="false">IF(OR($E150="",$F150=""),"",($F150-$E150)*24-N($G150))</f>
        <v/>
      </c>
      <c r="I150" s="8"/>
      <c r="J150" s="34"/>
      <c r="K150" s="34"/>
      <c r="L150" s="33"/>
      <c r="M150" s="8"/>
      <c r="N150" s="8"/>
    </row>
    <row r="151" customFormat="false" ht="18" hidden="false" customHeight="true" outlineLevel="0" collapsed="false">
      <c r="A151" s="33"/>
      <c r="B151" s="10" t="str">
        <f aca="false">IF($A151="","",IFERROR(INDEX(案件管理!$B$3:$B$202,MATCH($A151,案件管理!$A$3:$A$202,0)),"←IDが未登録です"))</f>
        <v/>
      </c>
      <c r="C151" s="37"/>
      <c r="D151" s="20" t="str">
        <f aca="false">IF($C151="","",CHOOSE(WEEKDAY($C151,1),"日","月","火","水","木","金","土"))</f>
        <v/>
      </c>
      <c r="E151" s="63"/>
      <c r="F151" s="63"/>
      <c r="G151" s="45"/>
      <c r="H151" s="61" t="str">
        <f aca="false">IF(OR($E151="",$F151=""),"",($F151-$E151)*24-N($G151))</f>
        <v/>
      </c>
      <c r="I151" s="8"/>
      <c r="J151" s="34"/>
      <c r="K151" s="34"/>
      <c r="L151" s="33"/>
      <c r="M151" s="8"/>
      <c r="N151" s="8"/>
    </row>
    <row r="152" customFormat="false" ht="18" hidden="false" customHeight="true" outlineLevel="0" collapsed="false">
      <c r="A152" s="33"/>
      <c r="B152" s="10" t="str">
        <f aca="false">IF($A152="","",IFERROR(INDEX(案件管理!$B$3:$B$202,MATCH($A152,案件管理!$A$3:$A$202,0)),"←IDが未登録です"))</f>
        <v/>
      </c>
      <c r="C152" s="37"/>
      <c r="D152" s="20" t="str">
        <f aca="false">IF($C152="","",CHOOSE(WEEKDAY($C152,1),"日","月","火","水","木","金","土"))</f>
        <v/>
      </c>
      <c r="E152" s="63"/>
      <c r="F152" s="63"/>
      <c r="G152" s="45"/>
      <c r="H152" s="61" t="str">
        <f aca="false">IF(OR($E152="",$F152=""),"",($F152-$E152)*24-N($G152))</f>
        <v/>
      </c>
      <c r="I152" s="8"/>
      <c r="J152" s="34"/>
      <c r="K152" s="34"/>
      <c r="L152" s="33"/>
      <c r="M152" s="8"/>
      <c r="N152" s="8"/>
    </row>
    <row r="153" customFormat="false" ht="18" hidden="false" customHeight="true" outlineLevel="0" collapsed="false">
      <c r="A153" s="33"/>
      <c r="B153" s="10" t="str">
        <f aca="false">IF($A153="","",IFERROR(INDEX(案件管理!$B$3:$B$202,MATCH($A153,案件管理!$A$3:$A$202,0)),"←IDが未登録です"))</f>
        <v/>
      </c>
      <c r="C153" s="37"/>
      <c r="D153" s="20" t="str">
        <f aca="false">IF($C153="","",CHOOSE(WEEKDAY($C153,1),"日","月","火","水","木","金","土"))</f>
        <v/>
      </c>
      <c r="E153" s="63"/>
      <c r="F153" s="63"/>
      <c r="G153" s="45"/>
      <c r="H153" s="61" t="str">
        <f aca="false">IF(OR($E153="",$F153=""),"",($F153-$E153)*24-N($G153))</f>
        <v/>
      </c>
      <c r="I153" s="8"/>
      <c r="J153" s="34"/>
      <c r="K153" s="34"/>
      <c r="L153" s="33"/>
      <c r="M153" s="8"/>
      <c r="N153" s="8"/>
    </row>
    <row r="154" customFormat="false" ht="18" hidden="false" customHeight="true" outlineLevel="0" collapsed="false">
      <c r="A154" s="33"/>
      <c r="B154" s="10" t="str">
        <f aca="false">IF($A154="","",IFERROR(INDEX(案件管理!$B$3:$B$202,MATCH($A154,案件管理!$A$3:$A$202,0)),"←IDが未登録です"))</f>
        <v/>
      </c>
      <c r="C154" s="37"/>
      <c r="D154" s="20" t="str">
        <f aca="false">IF($C154="","",CHOOSE(WEEKDAY($C154,1),"日","月","火","水","木","金","土"))</f>
        <v/>
      </c>
      <c r="E154" s="63"/>
      <c r="F154" s="63"/>
      <c r="G154" s="45"/>
      <c r="H154" s="61" t="str">
        <f aca="false">IF(OR($E154="",$F154=""),"",($F154-$E154)*24-N($G154))</f>
        <v/>
      </c>
      <c r="I154" s="8"/>
      <c r="J154" s="34"/>
      <c r="K154" s="34"/>
      <c r="L154" s="33"/>
      <c r="M154" s="8"/>
      <c r="N154" s="8"/>
    </row>
    <row r="155" customFormat="false" ht="18" hidden="false" customHeight="true" outlineLevel="0" collapsed="false">
      <c r="A155" s="33"/>
      <c r="B155" s="10" t="str">
        <f aca="false">IF($A155="","",IFERROR(INDEX(案件管理!$B$3:$B$202,MATCH($A155,案件管理!$A$3:$A$202,0)),"←IDが未登録です"))</f>
        <v/>
      </c>
      <c r="C155" s="37"/>
      <c r="D155" s="20" t="str">
        <f aca="false">IF($C155="","",CHOOSE(WEEKDAY($C155,1),"日","月","火","水","木","金","土"))</f>
        <v/>
      </c>
      <c r="E155" s="63"/>
      <c r="F155" s="63"/>
      <c r="G155" s="45"/>
      <c r="H155" s="61" t="str">
        <f aca="false">IF(OR($E155="",$F155=""),"",($F155-$E155)*24-N($G155))</f>
        <v/>
      </c>
      <c r="I155" s="8"/>
      <c r="J155" s="34"/>
      <c r="K155" s="34"/>
      <c r="L155" s="33"/>
      <c r="M155" s="8"/>
      <c r="N155" s="8"/>
    </row>
    <row r="156" customFormat="false" ht="18" hidden="false" customHeight="true" outlineLevel="0" collapsed="false">
      <c r="A156" s="33"/>
      <c r="B156" s="10" t="str">
        <f aca="false">IF($A156="","",IFERROR(INDEX(案件管理!$B$3:$B$202,MATCH($A156,案件管理!$A$3:$A$202,0)),"←IDが未登録です"))</f>
        <v/>
      </c>
      <c r="C156" s="37"/>
      <c r="D156" s="20" t="str">
        <f aca="false">IF($C156="","",CHOOSE(WEEKDAY($C156,1),"日","月","火","水","木","金","土"))</f>
        <v/>
      </c>
      <c r="E156" s="63"/>
      <c r="F156" s="63"/>
      <c r="G156" s="45"/>
      <c r="H156" s="61" t="str">
        <f aca="false">IF(OR($E156="",$F156=""),"",($F156-$E156)*24-N($G156))</f>
        <v/>
      </c>
      <c r="I156" s="8"/>
      <c r="J156" s="34"/>
      <c r="K156" s="34"/>
      <c r="L156" s="33"/>
      <c r="M156" s="8"/>
      <c r="N156" s="8"/>
    </row>
    <row r="157" customFormat="false" ht="18" hidden="false" customHeight="true" outlineLevel="0" collapsed="false">
      <c r="A157" s="33"/>
      <c r="B157" s="10" t="str">
        <f aca="false">IF($A157="","",IFERROR(INDEX(案件管理!$B$3:$B$202,MATCH($A157,案件管理!$A$3:$A$202,0)),"←IDが未登録です"))</f>
        <v/>
      </c>
      <c r="C157" s="37"/>
      <c r="D157" s="20" t="str">
        <f aca="false">IF($C157="","",CHOOSE(WEEKDAY($C157,1),"日","月","火","水","木","金","土"))</f>
        <v/>
      </c>
      <c r="E157" s="63"/>
      <c r="F157" s="63"/>
      <c r="G157" s="45"/>
      <c r="H157" s="61" t="str">
        <f aca="false">IF(OR($E157="",$F157=""),"",($F157-$E157)*24-N($G157))</f>
        <v/>
      </c>
      <c r="I157" s="8"/>
      <c r="J157" s="34"/>
      <c r="K157" s="34"/>
      <c r="L157" s="33"/>
      <c r="M157" s="8"/>
      <c r="N157" s="8"/>
    </row>
    <row r="158" customFormat="false" ht="18" hidden="false" customHeight="true" outlineLevel="0" collapsed="false">
      <c r="A158" s="33"/>
      <c r="B158" s="10" t="str">
        <f aca="false">IF($A158="","",IFERROR(INDEX(案件管理!$B$3:$B$202,MATCH($A158,案件管理!$A$3:$A$202,0)),"←IDが未登録です"))</f>
        <v/>
      </c>
      <c r="C158" s="37"/>
      <c r="D158" s="20" t="str">
        <f aca="false">IF($C158="","",CHOOSE(WEEKDAY($C158,1),"日","月","火","水","木","金","土"))</f>
        <v/>
      </c>
      <c r="E158" s="63"/>
      <c r="F158" s="63"/>
      <c r="G158" s="45"/>
      <c r="H158" s="61" t="str">
        <f aca="false">IF(OR($E158="",$F158=""),"",($F158-$E158)*24-N($G158))</f>
        <v/>
      </c>
      <c r="I158" s="8"/>
      <c r="J158" s="34"/>
      <c r="K158" s="34"/>
      <c r="L158" s="33"/>
      <c r="M158" s="8"/>
      <c r="N158" s="8"/>
    </row>
    <row r="159" customFormat="false" ht="18" hidden="false" customHeight="true" outlineLevel="0" collapsed="false">
      <c r="A159" s="33"/>
      <c r="B159" s="10" t="str">
        <f aca="false">IF($A159="","",IFERROR(INDEX(案件管理!$B$3:$B$202,MATCH($A159,案件管理!$A$3:$A$202,0)),"←IDが未登録です"))</f>
        <v/>
      </c>
      <c r="C159" s="37"/>
      <c r="D159" s="20" t="str">
        <f aca="false">IF($C159="","",CHOOSE(WEEKDAY($C159,1),"日","月","火","水","木","金","土"))</f>
        <v/>
      </c>
      <c r="E159" s="63"/>
      <c r="F159" s="63"/>
      <c r="G159" s="45"/>
      <c r="H159" s="61" t="str">
        <f aca="false">IF(OR($E159="",$F159=""),"",($F159-$E159)*24-N($G159))</f>
        <v/>
      </c>
      <c r="I159" s="8"/>
      <c r="J159" s="34"/>
      <c r="K159" s="34"/>
      <c r="L159" s="33"/>
      <c r="M159" s="8"/>
      <c r="N159" s="8"/>
    </row>
    <row r="160" customFormat="false" ht="18" hidden="false" customHeight="true" outlineLevel="0" collapsed="false">
      <c r="A160" s="33"/>
      <c r="B160" s="10" t="str">
        <f aca="false">IF($A160="","",IFERROR(INDEX(案件管理!$B$3:$B$202,MATCH($A160,案件管理!$A$3:$A$202,0)),"←IDが未登録です"))</f>
        <v/>
      </c>
      <c r="C160" s="37"/>
      <c r="D160" s="20" t="str">
        <f aca="false">IF($C160="","",CHOOSE(WEEKDAY($C160,1),"日","月","火","水","木","金","土"))</f>
        <v/>
      </c>
      <c r="E160" s="63"/>
      <c r="F160" s="63"/>
      <c r="G160" s="45"/>
      <c r="H160" s="61" t="str">
        <f aca="false">IF(OR($E160="",$F160=""),"",($F160-$E160)*24-N($G160))</f>
        <v/>
      </c>
      <c r="I160" s="8"/>
      <c r="J160" s="34"/>
      <c r="K160" s="34"/>
      <c r="L160" s="33"/>
      <c r="M160" s="8"/>
      <c r="N160" s="8"/>
    </row>
    <row r="161" customFormat="false" ht="18" hidden="false" customHeight="true" outlineLevel="0" collapsed="false">
      <c r="A161" s="33"/>
      <c r="B161" s="10" t="str">
        <f aca="false">IF($A161="","",IFERROR(INDEX(案件管理!$B$3:$B$202,MATCH($A161,案件管理!$A$3:$A$202,0)),"←IDが未登録です"))</f>
        <v/>
      </c>
      <c r="C161" s="37"/>
      <c r="D161" s="20" t="str">
        <f aca="false">IF($C161="","",CHOOSE(WEEKDAY($C161,1),"日","月","火","水","木","金","土"))</f>
        <v/>
      </c>
      <c r="E161" s="63"/>
      <c r="F161" s="63"/>
      <c r="G161" s="45"/>
      <c r="H161" s="61" t="str">
        <f aca="false">IF(OR($E161="",$F161=""),"",($F161-$E161)*24-N($G161))</f>
        <v/>
      </c>
      <c r="I161" s="8"/>
      <c r="J161" s="34"/>
      <c r="K161" s="34"/>
      <c r="L161" s="33"/>
      <c r="M161" s="8"/>
      <c r="N161" s="8"/>
    </row>
    <row r="162" customFormat="false" ht="18" hidden="false" customHeight="true" outlineLevel="0" collapsed="false">
      <c r="A162" s="33"/>
      <c r="B162" s="10" t="str">
        <f aca="false">IF($A162="","",IFERROR(INDEX(案件管理!$B$3:$B$202,MATCH($A162,案件管理!$A$3:$A$202,0)),"←IDが未登録です"))</f>
        <v/>
      </c>
      <c r="C162" s="37"/>
      <c r="D162" s="20" t="str">
        <f aca="false">IF($C162="","",CHOOSE(WEEKDAY($C162,1),"日","月","火","水","木","金","土"))</f>
        <v/>
      </c>
      <c r="E162" s="63"/>
      <c r="F162" s="63"/>
      <c r="G162" s="45"/>
      <c r="H162" s="61" t="str">
        <f aca="false">IF(OR($E162="",$F162=""),"",($F162-$E162)*24-N($G162))</f>
        <v/>
      </c>
      <c r="I162" s="8"/>
      <c r="J162" s="34"/>
      <c r="K162" s="34"/>
      <c r="L162" s="33"/>
      <c r="M162" s="8"/>
      <c r="N162" s="8"/>
    </row>
    <row r="163" customFormat="false" ht="18" hidden="false" customHeight="true" outlineLevel="0" collapsed="false">
      <c r="A163" s="33"/>
      <c r="B163" s="10" t="str">
        <f aca="false">IF($A163="","",IFERROR(INDEX(案件管理!$B$3:$B$202,MATCH($A163,案件管理!$A$3:$A$202,0)),"←IDが未登録です"))</f>
        <v/>
      </c>
      <c r="C163" s="37"/>
      <c r="D163" s="20" t="str">
        <f aca="false">IF($C163="","",CHOOSE(WEEKDAY($C163,1),"日","月","火","水","木","金","土"))</f>
        <v/>
      </c>
      <c r="E163" s="63"/>
      <c r="F163" s="63"/>
      <c r="G163" s="45"/>
      <c r="H163" s="61" t="str">
        <f aca="false">IF(OR($E163="",$F163=""),"",($F163-$E163)*24-N($G163))</f>
        <v/>
      </c>
      <c r="I163" s="8"/>
      <c r="J163" s="34"/>
      <c r="K163" s="34"/>
      <c r="L163" s="33"/>
      <c r="M163" s="8"/>
      <c r="N163" s="8"/>
    </row>
    <row r="164" customFormat="false" ht="18" hidden="false" customHeight="true" outlineLevel="0" collapsed="false">
      <c r="A164" s="33"/>
      <c r="B164" s="10" t="str">
        <f aca="false">IF($A164="","",IFERROR(INDEX(案件管理!$B$3:$B$202,MATCH($A164,案件管理!$A$3:$A$202,0)),"←IDが未登録です"))</f>
        <v/>
      </c>
      <c r="C164" s="37"/>
      <c r="D164" s="20" t="str">
        <f aca="false">IF($C164="","",CHOOSE(WEEKDAY($C164,1),"日","月","火","水","木","金","土"))</f>
        <v/>
      </c>
      <c r="E164" s="63"/>
      <c r="F164" s="63"/>
      <c r="G164" s="45"/>
      <c r="H164" s="61" t="str">
        <f aca="false">IF(OR($E164="",$F164=""),"",($F164-$E164)*24-N($G164))</f>
        <v/>
      </c>
      <c r="I164" s="8"/>
      <c r="J164" s="34"/>
      <c r="K164" s="34"/>
      <c r="L164" s="33"/>
      <c r="M164" s="8"/>
      <c r="N164" s="8"/>
    </row>
    <row r="165" customFormat="false" ht="18" hidden="false" customHeight="true" outlineLevel="0" collapsed="false">
      <c r="A165" s="33"/>
      <c r="B165" s="10" t="str">
        <f aca="false">IF($A165="","",IFERROR(INDEX(案件管理!$B$3:$B$202,MATCH($A165,案件管理!$A$3:$A$202,0)),"←IDが未登録です"))</f>
        <v/>
      </c>
      <c r="C165" s="37"/>
      <c r="D165" s="20" t="str">
        <f aca="false">IF($C165="","",CHOOSE(WEEKDAY($C165,1),"日","月","火","水","木","金","土"))</f>
        <v/>
      </c>
      <c r="E165" s="63"/>
      <c r="F165" s="63"/>
      <c r="G165" s="45"/>
      <c r="H165" s="61" t="str">
        <f aca="false">IF(OR($E165="",$F165=""),"",($F165-$E165)*24-N($G165))</f>
        <v/>
      </c>
      <c r="I165" s="8"/>
      <c r="J165" s="34"/>
      <c r="K165" s="34"/>
      <c r="L165" s="33"/>
      <c r="M165" s="8"/>
      <c r="N165" s="8"/>
    </row>
    <row r="166" customFormat="false" ht="18" hidden="false" customHeight="true" outlineLevel="0" collapsed="false">
      <c r="A166" s="33"/>
      <c r="B166" s="10" t="str">
        <f aca="false">IF($A166="","",IFERROR(INDEX(案件管理!$B$3:$B$202,MATCH($A166,案件管理!$A$3:$A$202,0)),"←IDが未登録です"))</f>
        <v/>
      </c>
      <c r="C166" s="37"/>
      <c r="D166" s="20" t="str">
        <f aca="false">IF($C166="","",CHOOSE(WEEKDAY($C166,1),"日","月","火","水","木","金","土"))</f>
        <v/>
      </c>
      <c r="E166" s="63"/>
      <c r="F166" s="63"/>
      <c r="G166" s="45"/>
      <c r="H166" s="61" t="str">
        <f aca="false">IF(OR($E166="",$F166=""),"",($F166-$E166)*24-N($G166))</f>
        <v/>
      </c>
      <c r="I166" s="8"/>
      <c r="J166" s="34"/>
      <c r="K166" s="34"/>
      <c r="L166" s="33"/>
      <c r="M166" s="8"/>
      <c r="N166" s="8"/>
    </row>
    <row r="167" customFormat="false" ht="18" hidden="false" customHeight="true" outlineLevel="0" collapsed="false">
      <c r="A167" s="33"/>
      <c r="B167" s="10" t="str">
        <f aca="false">IF($A167="","",IFERROR(INDEX(案件管理!$B$3:$B$202,MATCH($A167,案件管理!$A$3:$A$202,0)),"←IDが未登録です"))</f>
        <v/>
      </c>
      <c r="C167" s="37"/>
      <c r="D167" s="20" t="str">
        <f aca="false">IF($C167="","",CHOOSE(WEEKDAY($C167,1),"日","月","火","水","木","金","土"))</f>
        <v/>
      </c>
      <c r="E167" s="63"/>
      <c r="F167" s="63"/>
      <c r="G167" s="45"/>
      <c r="H167" s="61" t="str">
        <f aca="false">IF(OR($E167="",$F167=""),"",($F167-$E167)*24-N($G167))</f>
        <v/>
      </c>
      <c r="I167" s="8"/>
      <c r="J167" s="34"/>
      <c r="K167" s="34"/>
      <c r="L167" s="33"/>
      <c r="M167" s="8"/>
      <c r="N167" s="8"/>
    </row>
    <row r="168" customFormat="false" ht="18" hidden="false" customHeight="true" outlineLevel="0" collapsed="false">
      <c r="A168" s="33"/>
      <c r="B168" s="10" t="str">
        <f aca="false">IF($A168="","",IFERROR(INDEX(案件管理!$B$3:$B$202,MATCH($A168,案件管理!$A$3:$A$202,0)),"←IDが未登録です"))</f>
        <v/>
      </c>
      <c r="C168" s="37"/>
      <c r="D168" s="20" t="str">
        <f aca="false">IF($C168="","",CHOOSE(WEEKDAY($C168,1),"日","月","火","水","木","金","土"))</f>
        <v/>
      </c>
      <c r="E168" s="63"/>
      <c r="F168" s="63"/>
      <c r="G168" s="45"/>
      <c r="H168" s="61" t="str">
        <f aca="false">IF(OR($E168="",$F168=""),"",($F168-$E168)*24-N($G168))</f>
        <v/>
      </c>
      <c r="I168" s="8"/>
      <c r="J168" s="34"/>
      <c r="K168" s="34"/>
      <c r="L168" s="33"/>
      <c r="M168" s="8"/>
      <c r="N168" s="8"/>
    </row>
    <row r="169" customFormat="false" ht="18" hidden="false" customHeight="true" outlineLevel="0" collapsed="false">
      <c r="A169" s="33"/>
      <c r="B169" s="10" t="str">
        <f aca="false">IF($A169="","",IFERROR(INDEX(案件管理!$B$3:$B$202,MATCH($A169,案件管理!$A$3:$A$202,0)),"←IDが未登録です"))</f>
        <v/>
      </c>
      <c r="C169" s="37"/>
      <c r="D169" s="20" t="str">
        <f aca="false">IF($C169="","",CHOOSE(WEEKDAY($C169,1),"日","月","火","水","木","金","土"))</f>
        <v/>
      </c>
      <c r="E169" s="63"/>
      <c r="F169" s="63"/>
      <c r="G169" s="45"/>
      <c r="H169" s="61" t="str">
        <f aca="false">IF(OR($E169="",$F169=""),"",($F169-$E169)*24-N($G169))</f>
        <v/>
      </c>
      <c r="I169" s="8"/>
      <c r="J169" s="34"/>
      <c r="K169" s="34"/>
      <c r="L169" s="33"/>
      <c r="M169" s="8"/>
      <c r="N169" s="8"/>
    </row>
    <row r="170" customFormat="false" ht="18" hidden="false" customHeight="true" outlineLevel="0" collapsed="false">
      <c r="A170" s="33"/>
      <c r="B170" s="10" t="str">
        <f aca="false">IF($A170="","",IFERROR(INDEX(案件管理!$B$3:$B$202,MATCH($A170,案件管理!$A$3:$A$202,0)),"←IDが未登録です"))</f>
        <v/>
      </c>
      <c r="C170" s="37"/>
      <c r="D170" s="20" t="str">
        <f aca="false">IF($C170="","",CHOOSE(WEEKDAY($C170,1),"日","月","火","水","木","金","土"))</f>
        <v/>
      </c>
      <c r="E170" s="63"/>
      <c r="F170" s="63"/>
      <c r="G170" s="45"/>
      <c r="H170" s="61" t="str">
        <f aca="false">IF(OR($E170="",$F170=""),"",($F170-$E170)*24-N($G170))</f>
        <v/>
      </c>
      <c r="I170" s="8"/>
      <c r="J170" s="34"/>
      <c r="K170" s="34"/>
      <c r="L170" s="33"/>
      <c r="M170" s="8"/>
      <c r="N170" s="8"/>
    </row>
    <row r="171" customFormat="false" ht="18" hidden="false" customHeight="true" outlineLevel="0" collapsed="false">
      <c r="A171" s="33"/>
      <c r="B171" s="10" t="str">
        <f aca="false">IF($A171="","",IFERROR(INDEX(案件管理!$B$3:$B$202,MATCH($A171,案件管理!$A$3:$A$202,0)),"←IDが未登録です"))</f>
        <v/>
      </c>
      <c r="C171" s="37"/>
      <c r="D171" s="20" t="str">
        <f aca="false">IF($C171="","",CHOOSE(WEEKDAY($C171,1),"日","月","火","水","木","金","土"))</f>
        <v/>
      </c>
      <c r="E171" s="63"/>
      <c r="F171" s="63"/>
      <c r="G171" s="45"/>
      <c r="H171" s="61" t="str">
        <f aca="false">IF(OR($E171="",$F171=""),"",($F171-$E171)*24-N($G171))</f>
        <v/>
      </c>
      <c r="I171" s="8"/>
      <c r="J171" s="34"/>
      <c r="K171" s="34"/>
      <c r="L171" s="33"/>
      <c r="M171" s="8"/>
      <c r="N171" s="8"/>
    </row>
    <row r="172" customFormat="false" ht="18" hidden="false" customHeight="true" outlineLevel="0" collapsed="false">
      <c r="A172" s="33"/>
      <c r="B172" s="10" t="str">
        <f aca="false">IF($A172="","",IFERROR(INDEX(案件管理!$B$3:$B$202,MATCH($A172,案件管理!$A$3:$A$202,0)),"←IDが未登録です"))</f>
        <v/>
      </c>
      <c r="C172" s="37"/>
      <c r="D172" s="20" t="str">
        <f aca="false">IF($C172="","",CHOOSE(WEEKDAY($C172,1),"日","月","火","水","木","金","土"))</f>
        <v/>
      </c>
      <c r="E172" s="63"/>
      <c r="F172" s="63"/>
      <c r="G172" s="45"/>
      <c r="H172" s="61" t="str">
        <f aca="false">IF(OR($E172="",$F172=""),"",($F172-$E172)*24-N($G172))</f>
        <v/>
      </c>
      <c r="I172" s="8"/>
      <c r="J172" s="34"/>
      <c r="K172" s="34"/>
      <c r="L172" s="33"/>
      <c r="M172" s="8"/>
      <c r="N172" s="8"/>
    </row>
    <row r="173" customFormat="false" ht="18" hidden="false" customHeight="true" outlineLevel="0" collapsed="false">
      <c r="A173" s="33"/>
      <c r="B173" s="10" t="str">
        <f aca="false">IF($A173="","",IFERROR(INDEX(案件管理!$B$3:$B$202,MATCH($A173,案件管理!$A$3:$A$202,0)),"←IDが未登録です"))</f>
        <v/>
      </c>
      <c r="C173" s="37"/>
      <c r="D173" s="20" t="str">
        <f aca="false">IF($C173="","",CHOOSE(WEEKDAY($C173,1),"日","月","火","水","木","金","土"))</f>
        <v/>
      </c>
      <c r="E173" s="63"/>
      <c r="F173" s="63"/>
      <c r="G173" s="45"/>
      <c r="H173" s="61" t="str">
        <f aca="false">IF(OR($E173="",$F173=""),"",($F173-$E173)*24-N($G173))</f>
        <v/>
      </c>
      <c r="I173" s="8"/>
      <c r="J173" s="34"/>
      <c r="K173" s="34"/>
      <c r="L173" s="33"/>
      <c r="M173" s="8"/>
      <c r="N173" s="8"/>
    </row>
    <row r="174" customFormat="false" ht="18" hidden="false" customHeight="true" outlineLevel="0" collapsed="false">
      <c r="A174" s="33"/>
      <c r="B174" s="10" t="str">
        <f aca="false">IF($A174="","",IFERROR(INDEX(案件管理!$B$3:$B$202,MATCH($A174,案件管理!$A$3:$A$202,0)),"←IDが未登録です"))</f>
        <v/>
      </c>
      <c r="C174" s="37"/>
      <c r="D174" s="20" t="str">
        <f aca="false">IF($C174="","",CHOOSE(WEEKDAY($C174,1),"日","月","火","水","木","金","土"))</f>
        <v/>
      </c>
      <c r="E174" s="63"/>
      <c r="F174" s="63"/>
      <c r="G174" s="45"/>
      <c r="H174" s="61" t="str">
        <f aca="false">IF(OR($E174="",$F174=""),"",($F174-$E174)*24-N($G174))</f>
        <v/>
      </c>
      <c r="I174" s="8"/>
      <c r="J174" s="34"/>
      <c r="K174" s="34"/>
      <c r="L174" s="33"/>
      <c r="M174" s="8"/>
      <c r="N174" s="8"/>
    </row>
    <row r="175" customFormat="false" ht="18" hidden="false" customHeight="true" outlineLevel="0" collapsed="false">
      <c r="A175" s="33"/>
      <c r="B175" s="10" t="str">
        <f aca="false">IF($A175="","",IFERROR(INDEX(案件管理!$B$3:$B$202,MATCH($A175,案件管理!$A$3:$A$202,0)),"←IDが未登録です"))</f>
        <v/>
      </c>
      <c r="C175" s="37"/>
      <c r="D175" s="20" t="str">
        <f aca="false">IF($C175="","",CHOOSE(WEEKDAY($C175,1),"日","月","火","水","木","金","土"))</f>
        <v/>
      </c>
      <c r="E175" s="63"/>
      <c r="F175" s="63"/>
      <c r="G175" s="45"/>
      <c r="H175" s="61" t="str">
        <f aca="false">IF(OR($E175="",$F175=""),"",($F175-$E175)*24-N($G175))</f>
        <v/>
      </c>
      <c r="I175" s="8"/>
      <c r="J175" s="34"/>
      <c r="K175" s="34"/>
      <c r="L175" s="33"/>
      <c r="M175" s="8"/>
      <c r="N175" s="8"/>
    </row>
    <row r="176" customFormat="false" ht="18" hidden="false" customHeight="true" outlineLevel="0" collapsed="false">
      <c r="A176" s="33"/>
      <c r="B176" s="10" t="str">
        <f aca="false">IF($A176="","",IFERROR(INDEX(案件管理!$B$3:$B$202,MATCH($A176,案件管理!$A$3:$A$202,0)),"←IDが未登録です"))</f>
        <v/>
      </c>
      <c r="C176" s="37"/>
      <c r="D176" s="20" t="str">
        <f aca="false">IF($C176="","",CHOOSE(WEEKDAY($C176,1),"日","月","火","水","木","金","土"))</f>
        <v/>
      </c>
      <c r="E176" s="63"/>
      <c r="F176" s="63"/>
      <c r="G176" s="45"/>
      <c r="H176" s="61" t="str">
        <f aca="false">IF(OR($E176="",$F176=""),"",($F176-$E176)*24-N($G176))</f>
        <v/>
      </c>
      <c r="I176" s="8"/>
      <c r="J176" s="34"/>
      <c r="K176" s="34"/>
      <c r="L176" s="33"/>
      <c r="M176" s="8"/>
      <c r="N176" s="8"/>
    </row>
    <row r="177" customFormat="false" ht="18" hidden="false" customHeight="true" outlineLevel="0" collapsed="false">
      <c r="A177" s="33"/>
      <c r="B177" s="10" t="str">
        <f aca="false">IF($A177="","",IFERROR(INDEX(案件管理!$B$3:$B$202,MATCH($A177,案件管理!$A$3:$A$202,0)),"←IDが未登録です"))</f>
        <v/>
      </c>
      <c r="C177" s="37"/>
      <c r="D177" s="20" t="str">
        <f aca="false">IF($C177="","",CHOOSE(WEEKDAY($C177,1),"日","月","火","水","木","金","土"))</f>
        <v/>
      </c>
      <c r="E177" s="63"/>
      <c r="F177" s="63"/>
      <c r="G177" s="45"/>
      <c r="H177" s="61" t="str">
        <f aca="false">IF(OR($E177="",$F177=""),"",($F177-$E177)*24-N($G177))</f>
        <v/>
      </c>
      <c r="I177" s="8"/>
      <c r="J177" s="34"/>
      <c r="K177" s="34"/>
      <c r="L177" s="33"/>
      <c r="M177" s="8"/>
      <c r="N177" s="8"/>
    </row>
    <row r="178" customFormat="false" ht="18" hidden="false" customHeight="true" outlineLevel="0" collapsed="false">
      <c r="A178" s="33"/>
      <c r="B178" s="10" t="str">
        <f aca="false">IF($A178="","",IFERROR(INDEX(案件管理!$B$3:$B$202,MATCH($A178,案件管理!$A$3:$A$202,0)),"←IDが未登録です"))</f>
        <v/>
      </c>
      <c r="C178" s="37"/>
      <c r="D178" s="20" t="str">
        <f aca="false">IF($C178="","",CHOOSE(WEEKDAY($C178,1),"日","月","火","水","木","金","土"))</f>
        <v/>
      </c>
      <c r="E178" s="63"/>
      <c r="F178" s="63"/>
      <c r="G178" s="45"/>
      <c r="H178" s="61" t="str">
        <f aca="false">IF(OR($E178="",$F178=""),"",($F178-$E178)*24-N($G178))</f>
        <v/>
      </c>
      <c r="I178" s="8"/>
      <c r="J178" s="34"/>
      <c r="K178" s="34"/>
      <c r="L178" s="33"/>
      <c r="M178" s="8"/>
      <c r="N178" s="8"/>
    </row>
    <row r="179" customFormat="false" ht="18" hidden="false" customHeight="true" outlineLevel="0" collapsed="false">
      <c r="A179" s="33"/>
      <c r="B179" s="10" t="str">
        <f aca="false">IF($A179="","",IFERROR(INDEX(案件管理!$B$3:$B$202,MATCH($A179,案件管理!$A$3:$A$202,0)),"←IDが未登録です"))</f>
        <v/>
      </c>
      <c r="C179" s="37"/>
      <c r="D179" s="20" t="str">
        <f aca="false">IF($C179="","",CHOOSE(WEEKDAY($C179,1),"日","月","火","水","木","金","土"))</f>
        <v/>
      </c>
      <c r="E179" s="63"/>
      <c r="F179" s="63"/>
      <c r="G179" s="45"/>
      <c r="H179" s="61" t="str">
        <f aca="false">IF(OR($E179="",$F179=""),"",($F179-$E179)*24-N($G179))</f>
        <v/>
      </c>
      <c r="I179" s="8"/>
      <c r="J179" s="34"/>
      <c r="K179" s="34"/>
      <c r="L179" s="33"/>
      <c r="M179" s="8"/>
      <c r="N179" s="8"/>
    </row>
    <row r="180" customFormat="false" ht="18" hidden="false" customHeight="true" outlineLevel="0" collapsed="false">
      <c r="A180" s="33"/>
      <c r="B180" s="10" t="str">
        <f aca="false">IF($A180="","",IFERROR(INDEX(案件管理!$B$3:$B$202,MATCH($A180,案件管理!$A$3:$A$202,0)),"←IDが未登録です"))</f>
        <v/>
      </c>
      <c r="C180" s="37"/>
      <c r="D180" s="20" t="str">
        <f aca="false">IF($C180="","",CHOOSE(WEEKDAY($C180,1),"日","月","火","水","木","金","土"))</f>
        <v/>
      </c>
      <c r="E180" s="63"/>
      <c r="F180" s="63"/>
      <c r="G180" s="45"/>
      <c r="H180" s="61" t="str">
        <f aca="false">IF(OR($E180="",$F180=""),"",($F180-$E180)*24-N($G180))</f>
        <v/>
      </c>
      <c r="I180" s="8"/>
      <c r="J180" s="34"/>
      <c r="K180" s="34"/>
      <c r="L180" s="33"/>
      <c r="M180" s="8"/>
      <c r="N180" s="8"/>
    </row>
    <row r="181" customFormat="false" ht="18" hidden="false" customHeight="true" outlineLevel="0" collapsed="false">
      <c r="A181" s="33"/>
      <c r="B181" s="10" t="str">
        <f aca="false">IF($A181="","",IFERROR(INDEX(案件管理!$B$3:$B$202,MATCH($A181,案件管理!$A$3:$A$202,0)),"←IDが未登録です"))</f>
        <v/>
      </c>
      <c r="C181" s="37"/>
      <c r="D181" s="20" t="str">
        <f aca="false">IF($C181="","",CHOOSE(WEEKDAY($C181,1),"日","月","火","水","木","金","土"))</f>
        <v/>
      </c>
      <c r="E181" s="63"/>
      <c r="F181" s="63"/>
      <c r="G181" s="45"/>
      <c r="H181" s="61" t="str">
        <f aca="false">IF(OR($E181="",$F181=""),"",($F181-$E181)*24-N($G181))</f>
        <v/>
      </c>
      <c r="I181" s="8"/>
      <c r="J181" s="34"/>
      <c r="K181" s="34"/>
      <c r="L181" s="33"/>
      <c r="M181" s="8"/>
      <c r="N181" s="8"/>
    </row>
    <row r="182" customFormat="false" ht="18" hidden="false" customHeight="true" outlineLevel="0" collapsed="false">
      <c r="A182" s="33"/>
      <c r="B182" s="10" t="str">
        <f aca="false">IF($A182="","",IFERROR(INDEX(案件管理!$B$3:$B$202,MATCH($A182,案件管理!$A$3:$A$202,0)),"←IDが未登録です"))</f>
        <v/>
      </c>
      <c r="C182" s="37"/>
      <c r="D182" s="20" t="str">
        <f aca="false">IF($C182="","",CHOOSE(WEEKDAY($C182,1),"日","月","火","水","木","金","土"))</f>
        <v/>
      </c>
      <c r="E182" s="63"/>
      <c r="F182" s="63"/>
      <c r="G182" s="45"/>
      <c r="H182" s="61" t="str">
        <f aca="false">IF(OR($E182="",$F182=""),"",($F182-$E182)*24-N($G182))</f>
        <v/>
      </c>
      <c r="I182" s="8"/>
      <c r="J182" s="34"/>
      <c r="K182" s="34"/>
      <c r="L182" s="33"/>
      <c r="M182" s="8"/>
      <c r="N182" s="8"/>
    </row>
    <row r="183" customFormat="false" ht="18" hidden="false" customHeight="true" outlineLevel="0" collapsed="false">
      <c r="A183" s="33"/>
      <c r="B183" s="10" t="str">
        <f aca="false">IF($A183="","",IFERROR(INDEX(案件管理!$B$3:$B$202,MATCH($A183,案件管理!$A$3:$A$202,0)),"←IDが未登録です"))</f>
        <v/>
      </c>
      <c r="C183" s="37"/>
      <c r="D183" s="20" t="str">
        <f aca="false">IF($C183="","",CHOOSE(WEEKDAY($C183,1),"日","月","火","水","木","金","土"))</f>
        <v/>
      </c>
      <c r="E183" s="63"/>
      <c r="F183" s="63"/>
      <c r="G183" s="45"/>
      <c r="H183" s="61" t="str">
        <f aca="false">IF(OR($E183="",$F183=""),"",($F183-$E183)*24-N($G183))</f>
        <v/>
      </c>
      <c r="I183" s="8"/>
      <c r="J183" s="34"/>
      <c r="K183" s="34"/>
      <c r="L183" s="33"/>
      <c r="M183" s="8"/>
      <c r="N183" s="8"/>
    </row>
    <row r="184" customFormat="false" ht="18" hidden="false" customHeight="true" outlineLevel="0" collapsed="false">
      <c r="A184" s="33"/>
      <c r="B184" s="10" t="str">
        <f aca="false">IF($A184="","",IFERROR(INDEX(案件管理!$B$3:$B$202,MATCH($A184,案件管理!$A$3:$A$202,0)),"←IDが未登録です"))</f>
        <v/>
      </c>
      <c r="C184" s="37"/>
      <c r="D184" s="20" t="str">
        <f aca="false">IF($C184="","",CHOOSE(WEEKDAY($C184,1),"日","月","火","水","木","金","土"))</f>
        <v/>
      </c>
      <c r="E184" s="63"/>
      <c r="F184" s="63"/>
      <c r="G184" s="45"/>
      <c r="H184" s="61" t="str">
        <f aca="false">IF(OR($E184="",$F184=""),"",($F184-$E184)*24-N($G184))</f>
        <v/>
      </c>
      <c r="I184" s="8"/>
      <c r="J184" s="34"/>
      <c r="K184" s="34"/>
      <c r="L184" s="33"/>
      <c r="M184" s="8"/>
      <c r="N184" s="8"/>
    </row>
    <row r="185" customFormat="false" ht="18" hidden="false" customHeight="true" outlineLevel="0" collapsed="false">
      <c r="A185" s="33"/>
      <c r="B185" s="10" t="str">
        <f aca="false">IF($A185="","",IFERROR(INDEX(案件管理!$B$3:$B$202,MATCH($A185,案件管理!$A$3:$A$202,0)),"←IDが未登録です"))</f>
        <v/>
      </c>
      <c r="C185" s="37"/>
      <c r="D185" s="20" t="str">
        <f aca="false">IF($C185="","",CHOOSE(WEEKDAY($C185,1),"日","月","火","水","木","金","土"))</f>
        <v/>
      </c>
      <c r="E185" s="63"/>
      <c r="F185" s="63"/>
      <c r="G185" s="45"/>
      <c r="H185" s="61" t="str">
        <f aca="false">IF(OR($E185="",$F185=""),"",($F185-$E185)*24-N($G185))</f>
        <v/>
      </c>
      <c r="I185" s="8"/>
      <c r="J185" s="34"/>
      <c r="K185" s="34"/>
      <c r="L185" s="33"/>
      <c r="M185" s="8"/>
      <c r="N185" s="8"/>
    </row>
    <row r="186" customFormat="false" ht="18" hidden="false" customHeight="true" outlineLevel="0" collapsed="false">
      <c r="A186" s="33"/>
      <c r="B186" s="10" t="str">
        <f aca="false">IF($A186="","",IFERROR(INDEX(案件管理!$B$3:$B$202,MATCH($A186,案件管理!$A$3:$A$202,0)),"←IDが未登録です"))</f>
        <v/>
      </c>
      <c r="C186" s="37"/>
      <c r="D186" s="20" t="str">
        <f aca="false">IF($C186="","",CHOOSE(WEEKDAY($C186,1),"日","月","火","水","木","金","土"))</f>
        <v/>
      </c>
      <c r="E186" s="63"/>
      <c r="F186" s="63"/>
      <c r="G186" s="45"/>
      <c r="H186" s="61" t="str">
        <f aca="false">IF(OR($E186="",$F186=""),"",($F186-$E186)*24-N($G186))</f>
        <v/>
      </c>
      <c r="I186" s="8"/>
      <c r="J186" s="34"/>
      <c r="K186" s="34"/>
      <c r="L186" s="33"/>
      <c r="M186" s="8"/>
      <c r="N186" s="8"/>
    </row>
    <row r="187" customFormat="false" ht="18" hidden="false" customHeight="true" outlineLevel="0" collapsed="false">
      <c r="A187" s="33"/>
      <c r="B187" s="10" t="str">
        <f aca="false">IF($A187="","",IFERROR(INDEX(案件管理!$B$3:$B$202,MATCH($A187,案件管理!$A$3:$A$202,0)),"←IDが未登録です"))</f>
        <v/>
      </c>
      <c r="C187" s="37"/>
      <c r="D187" s="20" t="str">
        <f aca="false">IF($C187="","",CHOOSE(WEEKDAY($C187,1),"日","月","火","水","木","金","土"))</f>
        <v/>
      </c>
      <c r="E187" s="63"/>
      <c r="F187" s="63"/>
      <c r="G187" s="45"/>
      <c r="H187" s="61" t="str">
        <f aca="false">IF(OR($E187="",$F187=""),"",($F187-$E187)*24-N($G187))</f>
        <v/>
      </c>
      <c r="I187" s="8"/>
      <c r="J187" s="34"/>
      <c r="K187" s="34"/>
      <c r="L187" s="33"/>
      <c r="M187" s="8"/>
      <c r="N187" s="8"/>
    </row>
    <row r="188" customFormat="false" ht="18" hidden="false" customHeight="true" outlineLevel="0" collapsed="false">
      <c r="A188" s="33"/>
      <c r="B188" s="10" t="str">
        <f aca="false">IF($A188="","",IFERROR(INDEX(案件管理!$B$3:$B$202,MATCH($A188,案件管理!$A$3:$A$202,0)),"←IDが未登録です"))</f>
        <v/>
      </c>
      <c r="C188" s="37"/>
      <c r="D188" s="20" t="str">
        <f aca="false">IF($C188="","",CHOOSE(WEEKDAY($C188,1),"日","月","火","水","木","金","土"))</f>
        <v/>
      </c>
      <c r="E188" s="63"/>
      <c r="F188" s="63"/>
      <c r="G188" s="45"/>
      <c r="H188" s="61" t="str">
        <f aca="false">IF(OR($E188="",$F188=""),"",($F188-$E188)*24-N($G188))</f>
        <v/>
      </c>
      <c r="I188" s="8"/>
      <c r="J188" s="34"/>
      <c r="K188" s="34"/>
      <c r="L188" s="33"/>
      <c r="M188" s="8"/>
      <c r="N188" s="8"/>
    </row>
    <row r="189" customFormat="false" ht="18" hidden="false" customHeight="true" outlineLevel="0" collapsed="false">
      <c r="A189" s="33"/>
      <c r="B189" s="10" t="str">
        <f aca="false">IF($A189="","",IFERROR(INDEX(案件管理!$B$3:$B$202,MATCH($A189,案件管理!$A$3:$A$202,0)),"←IDが未登録です"))</f>
        <v/>
      </c>
      <c r="C189" s="37"/>
      <c r="D189" s="20" t="str">
        <f aca="false">IF($C189="","",CHOOSE(WEEKDAY($C189,1),"日","月","火","水","木","金","土"))</f>
        <v/>
      </c>
      <c r="E189" s="63"/>
      <c r="F189" s="63"/>
      <c r="G189" s="45"/>
      <c r="H189" s="61" t="str">
        <f aca="false">IF(OR($E189="",$F189=""),"",($F189-$E189)*24-N($G189))</f>
        <v/>
      </c>
      <c r="I189" s="8"/>
      <c r="J189" s="34"/>
      <c r="K189" s="34"/>
      <c r="L189" s="33"/>
      <c r="M189" s="8"/>
      <c r="N189" s="8"/>
    </row>
    <row r="190" customFormat="false" ht="18" hidden="false" customHeight="true" outlineLevel="0" collapsed="false">
      <c r="A190" s="33"/>
      <c r="B190" s="10" t="str">
        <f aca="false">IF($A190="","",IFERROR(INDEX(案件管理!$B$3:$B$202,MATCH($A190,案件管理!$A$3:$A$202,0)),"←IDが未登録です"))</f>
        <v/>
      </c>
      <c r="C190" s="37"/>
      <c r="D190" s="20" t="str">
        <f aca="false">IF($C190="","",CHOOSE(WEEKDAY($C190,1),"日","月","火","水","木","金","土"))</f>
        <v/>
      </c>
      <c r="E190" s="63"/>
      <c r="F190" s="63"/>
      <c r="G190" s="45"/>
      <c r="H190" s="61" t="str">
        <f aca="false">IF(OR($E190="",$F190=""),"",($F190-$E190)*24-N($G190))</f>
        <v/>
      </c>
      <c r="I190" s="8"/>
      <c r="J190" s="34"/>
      <c r="K190" s="34"/>
      <c r="L190" s="33"/>
      <c r="M190" s="8"/>
      <c r="N190" s="8"/>
    </row>
    <row r="191" customFormat="false" ht="18" hidden="false" customHeight="true" outlineLevel="0" collapsed="false">
      <c r="A191" s="33"/>
      <c r="B191" s="10" t="str">
        <f aca="false">IF($A191="","",IFERROR(INDEX(案件管理!$B$3:$B$202,MATCH($A191,案件管理!$A$3:$A$202,0)),"←IDが未登録です"))</f>
        <v/>
      </c>
      <c r="C191" s="37"/>
      <c r="D191" s="20" t="str">
        <f aca="false">IF($C191="","",CHOOSE(WEEKDAY($C191,1),"日","月","火","水","木","金","土"))</f>
        <v/>
      </c>
      <c r="E191" s="63"/>
      <c r="F191" s="63"/>
      <c r="G191" s="45"/>
      <c r="H191" s="61" t="str">
        <f aca="false">IF(OR($E191="",$F191=""),"",($F191-$E191)*24-N($G191))</f>
        <v/>
      </c>
      <c r="I191" s="8"/>
      <c r="J191" s="34"/>
      <c r="K191" s="34"/>
      <c r="L191" s="33"/>
      <c r="M191" s="8"/>
      <c r="N191" s="8"/>
    </row>
    <row r="192" customFormat="false" ht="18" hidden="false" customHeight="true" outlineLevel="0" collapsed="false">
      <c r="A192" s="33"/>
      <c r="B192" s="10" t="str">
        <f aca="false">IF($A192="","",IFERROR(INDEX(案件管理!$B$3:$B$202,MATCH($A192,案件管理!$A$3:$A$202,0)),"←IDが未登録です"))</f>
        <v/>
      </c>
      <c r="C192" s="37"/>
      <c r="D192" s="20" t="str">
        <f aca="false">IF($C192="","",CHOOSE(WEEKDAY($C192,1),"日","月","火","水","木","金","土"))</f>
        <v/>
      </c>
      <c r="E192" s="63"/>
      <c r="F192" s="63"/>
      <c r="G192" s="45"/>
      <c r="H192" s="61" t="str">
        <f aca="false">IF(OR($E192="",$F192=""),"",($F192-$E192)*24-N($G192))</f>
        <v/>
      </c>
      <c r="I192" s="8"/>
      <c r="J192" s="34"/>
      <c r="K192" s="34"/>
      <c r="L192" s="33"/>
      <c r="M192" s="8"/>
      <c r="N192" s="8"/>
    </row>
    <row r="193" customFormat="false" ht="18" hidden="false" customHeight="true" outlineLevel="0" collapsed="false">
      <c r="A193" s="33"/>
      <c r="B193" s="10" t="str">
        <f aca="false">IF($A193="","",IFERROR(INDEX(案件管理!$B$3:$B$202,MATCH($A193,案件管理!$A$3:$A$202,0)),"←IDが未登録です"))</f>
        <v/>
      </c>
      <c r="C193" s="37"/>
      <c r="D193" s="20" t="str">
        <f aca="false">IF($C193="","",CHOOSE(WEEKDAY($C193,1),"日","月","火","水","木","金","土"))</f>
        <v/>
      </c>
      <c r="E193" s="63"/>
      <c r="F193" s="63"/>
      <c r="G193" s="45"/>
      <c r="H193" s="61" t="str">
        <f aca="false">IF(OR($E193="",$F193=""),"",($F193-$E193)*24-N($G193))</f>
        <v/>
      </c>
      <c r="I193" s="8"/>
      <c r="J193" s="34"/>
      <c r="K193" s="34"/>
      <c r="L193" s="33"/>
      <c r="M193" s="8"/>
      <c r="N193" s="8"/>
    </row>
    <row r="194" customFormat="false" ht="18" hidden="false" customHeight="true" outlineLevel="0" collapsed="false">
      <c r="A194" s="33"/>
      <c r="B194" s="10" t="str">
        <f aca="false">IF($A194="","",IFERROR(INDEX(案件管理!$B$3:$B$202,MATCH($A194,案件管理!$A$3:$A$202,0)),"←IDが未登録です"))</f>
        <v/>
      </c>
      <c r="C194" s="37"/>
      <c r="D194" s="20" t="str">
        <f aca="false">IF($C194="","",CHOOSE(WEEKDAY($C194,1),"日","月","火","水","木","金","土"))</f>
        <v/>
      </c>
      <c r="E194" s="63"/>
      <c r="F194" s="63"/>
      <c r="G194" s="45"/>
      <c r="H194" s="61" t="str">
        <f aca="false">IF(OR($E194="",$F194=""),"",($F194-$E194)*24-N($G194))</f>
        <v/>
      </c>
      <c r="I194" s="8"/>
      <c r="J194" s="34"/>
      <c r="K194" s="34"/>
      <c r="L194" s="33"/>
      <c r="M194" s="8"/>
      <c r="N194" s="8"/>
    </row>
    <row r="195" customFormat="false" ht="18" hidden="false" customHeight="true" outlineLevel="0" collapsed="false">
      <c r="A195" s="33"/>
      <c r="B195" s="10" t="str">
        <f aca="false">IF($A195="","",IFERROR(INDEX(案件管理!$B$3:$B$202,MATCH($A195,案件管理!$A$3:$A$202,0)),"←IDが未登録です"))</f>
        <v/>
      </c>
      <c r="C195" s="37"/>
      <c r="D195" s="20" t="str">
        <f aca="false">IF($C195="","",CHOOSE(WEEKDAY($C195,1),"日","月","火","水","木","金","土"))</f>
        <v/>
      </c>
      <c r="E195" s="63"/>
      <c r="F195" s="63"/>
      <c r="G195" s="45"/>
      <c r="H195" s="61" t="str">
        <f aca="false">IF(OR($E195="",$F195=""),"",($F195-$E195)*24-N($G195))</f>
        <v/>
      </c>
      <c r="I195" s="8"/>
      <c r="J195" s="34"/>
      <c r="K195" s="34"/>
      <c r="L195" s="33"/>
      <c r="M195" s="8"/>
      <c r="N195" s="8"/>
    </row>
    <row r="196" customFormat="false" ht="18" hidden="false" customHeight="true" outlineLevel="0" collapsed="false">
      <c r="A196" s="33"/>
      <c r="B196" s="10" t="str">
        <f aca="false">IF($A196="","",IFERROR(INDEX(案件管理!$B$3:$B$202,MATCH($A196,案件管理!$A$3:$A$202,0)),"←IDが未登録です"))</f>
        <v/>
      </c>
      <c r="C196" s="37"/>
      <c r="D196" s="20" t="str">
        <f aca="false">IF($C196="","",CHOOSE(WEEKDAY($C196,1),"日","月","火","水","木","金","土"))</f>
        <v/>
      </c>
      <c r="E196" s="63"/>
      <c r="F196" s="63"/>
      <c r="G196" s="45"/>
      <c r="H196" s="61" t="str">
        <f aca="false">IF(OR($E196="",$F196=""),"",($F196-$E196)*24-N($G196))</f>
        <v/>
      </c>
      <c r="I196" s="8"/>
      <c r="J196" s="34"/>
      <c r="K196" s="34"/>
      <c r="L196" s="33"/>
      <c r="M196" s="8"/>
      <c r="N196" s="8"/>
    </row>
    <row r="197" customFormat="false" ht="18" hidden="false" customHeight="true" outlineLevel="0" collapsed="false">
      <c r="A197" s="33"/>
      <c r="B197" s="10" t="str">
        <f aca="false">IF($A197="","",IFERROR(INDEX(案件管理!$B$3:$B$202,MATCH($A197,案件管理!$A$3:$A$202,0)),"←IDが未登録です"))</f>
        <v/>
      </c>
      <c r="C197" s="37"/>
      <c r="D197" s="20" t="str">
        <f aca="false">IF($C197="","",CHOOSE(WEEKDAY($C197,1),"日","月","火","水","木","金","土"))</f>
        <v/>
      </c>
      <c r="E197" s="63"/>
      <c r="F197" s="63"/>
      <c r="G197" s="45"/>
      <c r="H197" s="61" t="str">
        <f aca="false">IF(OR($E197="",$F197=""),"",($F197-$E197)*24-N($G197))</f>
        <v/>
      </c>
      <c r="I197" s="8"/>
      <c r="J197" s="34"/>
      <c r="K197" s="34"/>
      <c r="L197" s="33"/>
      <c r="M197" s="8"/>
      <c r="N197" s="8"/>
    </row>
    <row r="198" customFormat="false" ht="18" hidden="false" customHeight="true" outlineLevel="0" collapsed="false">
      <c r="A198" s="33"/>
      <c r="B198" s="10" t="str">
        <f aca="false">IF($A198="","",IFERROR(INDEX(案件管理!$B$3:$B$202,MATCH($A198,案件管理!$A$3:$A$202,0)),"←IDが未登録です"))</f>
        <v/>
      </c>
      <c r="C198" s="37"/>
      <c r="D198" s="20" t="str">
        <f aca="false">IF($C198="","",CHOOSE(WEEKDAY($C198,1),"日","月","火","水","木","金","土"))</f>
        <v/>
      </c>
      <c r="E198" s="63"/>
      <c r="F198" s="63"/>
      <c r="G198" s="45"/>
      <c r="H198" s="61" t="str">
        <f aca="false">IF(OR($E198="",$F198=""),"",($F198-$E198)*24-N($G198))</f>
        <v/>
      </c>
      <c r="I198" s="8"/>
      <c r="J198" s="34"/>
      <c r="K198" s="34"/>
      <c r="L198" s="33"/>
      <c r="M198" s="8"/>
      <c r="N198" s="8"/>
    </row>
    <row r="199" customFormat="false" ht="18" hidden="false" customHeight="true" outlineLevel="0" collapsed="false">
      <c r="A199" s="33"/>
      <c r="B199" s="10" t="str">
        <f aca="false">IF($A199="","",IFERROR(INDEX(案件管理!$B$3:$B$202,MATCH($A199,案件管理!$A$3:$A$202,0)),"←IDが未登録です"))</f>
        <v/>
      </c>
      <c r="C199" s="37"/>
      <c r="D199" s="20" t="str">
        <f aca="false">IF($C199="","",CHOOSE(WEEKDAY($C199,1),"日","月","火","水","木","金","土"))</f>
        <v/>
      </c>
      <c r="E199" s="63"/>
      <c r="F199" s="63"/>
      <c r="G199" s="45"/>
      <c r="H199" s="61" t="str">
        <f aca="false">IF(OR($E199="",$F199=""),"",($F199-$E199)*24-N($G199))</f>
        <v/>
      </c>
      <c r="I199" s="8"/>
      <c r="J199" s="34"/>
      <c r="K199" s="34"/>
      <c r="L199" s="33"/>
      <c r="M199" s="8"/>
      <c r="N199" s="8"/>
    </row>
    <row r="200" customFormat="false" ht="18" hidden="false" customHeight="true" outlineLevel="0" collapsed="false">
      <c r="A200" s="33"/>
      <c r="B200" s="10" t="str">
        <f aca="false">IF($A200="","",IFERROR(INDEX(案件管理!$B$3:$B$202,MATCH($A200,案件管理!$A$3:$A$202,0)),"←IDが未登録です"))</f>
        <v/>
      </c>
      <c r="C200" s="37"/>
      <c r="D200" s="20" t="str">
        <f aca="false">IF($C200="","",CHOOSE(WEEKDAY($C200,1),"日","月","火","水","木","金","土"))</f>
        <v/>
      </c>
      <c r="E200" s="63"/>
      <c r="F200" s="63"/>
      <c r="G200" s="45"/>
      <c r="H200" s="61" t="str">
        <f aca="false">IF(OR($E200="",$F200=""),"",($F200-$E200)*24-N($G200))</f>
        <v/>
      </c>
      <c r="I200" s="8"/>
      <c r="J200" s="34"/>
      <c r="K200" s="34"/>
      <c r="L200" s="33"/>
      <c r="M200" s="8"/>
      <c r="N200" s="8"/>
    </row>
    <row r="201" customFormat="false" ht="18" hidden="false" customHeight="true" outlineLevel="0" collapsed="false">
      <c r="A201" s="33"/>
      <c r="B201" s="10" t="str">
        <f aca="false">IF($A201="","",IFERROR(INDEX(案件管理!$B$3:$B$202,MATCH($A201,案件管理!$A$3:$A$202,0)),"←IDが未登録です"))</f>
        <v/>
      </c>
      <c r="C201" s="37"/>
      <c r="D201" s="20" t="str">
        <f aca="false">IF($C201="","",CHOOSE(WEEKDAY($C201,1),"日","月","火","水","木","金","土"))</f>
        <v/>
      </c>
      <c r="E201" s="63"/>
      <c r="F201" s="63"/>
      <c r="G201" s="45"/>
      <c r="H201" s="61" t="str">
        <f aca="false">IF(OR($E201="",$F201=""),"",($F201-$E201)*24-N($G201))</f>
        <v/>
      </c>
      <c r="I201" s="8"/>
      <c r="J201" s="34"/>
      <c r="K201" s="34"/>
      <c r="L201" s="33"/>
      <c r="M201" s="8"/>
      <c r="N201" s="8"/>
    </row>
    <row r="202" customFormat="false" ht="18" hidden="false" customHeight="true" outlineLevel="0" collapsed="false">
      <c r="A202" s="33"/>
      <c r="B202" s="10" t="str">
        <f aca="false">IF($A202="","",IFERROR(INDEX(案件管理!$B$3:$B$202,MATCH($A202,案件管理!$A$3:$A$202,0)),"←IDが未登録です"))</f>
        <v/>
      </c>
      <c r="C202" s="37"/>
      <c r="D202" s="20" t="str">
        <f aca="false">IF($C202="","",CHOOSE(WEEKDAY($C202,1),"日","月","火","水","木","金","土"))</f>
        <v/>
      </c>
      <c r="E202" s="63"/>
      <c r="F202" s="63"/>
      <c r="G202" s="45"/>
      <c r="H202" s="61" t="str">
        <f aca="false">IF(OR($E202="",$F202=""),"",($F202-$E202)*24-N($G202))</f>
        <v/>
      </c>
      <c r="I202" s="8"/>
      <c r="J202" s="34"/>
      <c r="K202" s="34"/>
      <c r="L202" s="33"/>
      <c r="M202" s="8"/>
      <c r="N202" s="8"/>
    </row>
    <row r="204" customFormat="false" ht="15" hidden="false" customHeight="false" outlineLevel="0" collapsed="false">
      <c r="A204" s="42" t="s">
        <v>224</v>
      </c>
    </row>
  </sheetData>
  <autoFilter ref="A2:N202"/>
  <mergeCells count="1">
    <mergeCell ref="A1:N1"/>
  </mergeCells>
  <conditionalFormatting sqref="L3:L202">
    <cfRule type="cellIs" priority="2" operator="equal" aboveAverage="0" equalAverage="0" bottom="0" percent="0" rank="0" text="" dxfId="17">
      <formula>"完了"</formula>
    </cfRule>
    <cfRule type="cellIs" priority="3" operator="equal" aboveAverage="0" equalAverage="0" bottom="0" percent="0" rank="0" text="" dxfId="18">
      <formula>"予定"</formula>
    </cfRule>
    <cfRule type="cellIs" priority="4" operator="equal" aboveAverage="0" equalAverage="0" bottom="0" percent="0" rank="0" text="" dxfId="19">
      <formula>"延期"</formula>
    </cfRule>
    <cfRule type="cellIs" priority="5" operator="equal" aboveAverage="0" equalAverage="0" bottom="0" percent="0" rank="0" text="" dxfId="20">
      <formula>"中止"</formula>
    </cfRule>
  </conditionalFormatting>
  <conditionalFormatting sqref="C3:D202">
    <cfRule type="expression" priority="6" aboveAverage="0" equalAverage="0" bottom="0" percent="0" rank="0" text="" dxfId="26">
      <formula>AND($C3&lt;&gt;"",OR(WEEKDAY($C3,1)=1,WEEKDAY($C3,1)=7))</formula>
    </cfRule>
  </conditionalFormatting>
  <conditionalFormatting sqref="B3:B202">
    <cfRule type="cellIs" priority="7" operator="equal" aboveAverage="0" equalAverage="0" bottom="0" percent="0" rank="0" text="" dxfId="23">
      <formula>"←IDが未登録です"</formula>
    </cfRule>
  </conditionalFormatting>
  <dataValidations count="4">
    <dataValidation allowBlank="true" error="マスタシートのリストから選んでください。" errorStyle="stop" errorTitle="入力できない値です" operator="between" showDropDown="false" showErrorMessage="false" showInputMessage="false" sqref="K3:K202" type="list">
      <formula1>SiteTypeList</formula1>
      <formula2>0</formula2>
    </dataValidation>
    <dataValidation allowBlank="true" error="マスタシートのリストから選んでください。" errorStyle="stop" errorTitle="入力できない値です" operator="between" showDropDown="false" showErrorMessage="false" showInputMessage="false" sqref="L3:L202" type="list">
      <formula1>WorkStateList</formula1>
      <formula2>0</formula2>
    </dataValidation>
    <dataValidation allowBlank="true" error="マスタシートのリストから選んでください。" errorStyle="stop" errorTitle="入力できない値です" operator="between" showDropDown="false" showErrorMessage="false" showInputMessage="false" sqref="J3:J202" type="list">
      <formula1>OwnerList</formula1>
      <formula2>0</formula2>
    </dataValidation>
    <dataValidation allowBlank="true" error="案件管理シートに登録済みの案件IDを選んでください。" errorStyle="stop" errorTitle="案件IDの入力" operator="between" showDropDown="false" showErrorMessage="false" showInputMessage="false" sqref="A3:A202" type="list">
      <formula1>案件管理!$A$3:$A$202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9" min="3" style="0" width="15"/>
  </cols>
  <sheetData>
    <row r="1" customFormat="false" ht="25.5" hidden="false" customHeight="true" outlineLevel="0" collapsed="false">
      <c r="B1" s="1" t="s">
        <v>225</v>
      </c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B3" s="3" t="s">
        <v>226</v>
      </c>
      <c r="C3" s="64" t="n">
        <f aca="false">マスタ!$B$6</f>
        <v>2026</v>
      </c>
      <c r="D3" s="42" t="s">
        <v>227</v>
      </c>
    </row>
    <row r="5" customFormat="false" ht="15" hidden="false" customHeight="false" outlineLevel="0" collapsed="false">
      <c r="B5" s="65" t="s">
        <v>228</v>
      </c>
    </row>
    <row r="6" customFormat="false" ht="15" hidden="false" customHeight="false" outlineLevel="0" collapsed="false">
      <c r="B6" s="49" t="s">
        <v>229</v>
      </c>
      <c r="C6" s="66" t="s">
        <v>230</v>
      </c>
      <c r="D6" s="66" t="s">
        <v>231</v>
      </c>
      <c r="E6" s="66" t="s">
        <v>232</v>
      </c>
      <c r="F6" s="66" t="s">
        <v>233</v>
      </c>
      <c r="G6" s="49" t="s">
        <v>234</v>
      </c>
    </row>
    <row r="7" customFormat="false" ht="15" hidden="false" customHeight="false" outlineLevel="0" collapsed="false">
      <c r="B7" s="9" t="s">
        <v>235</v>
      </c>
      <c r="C7" s="67" t="n">
        <f aca="false">COUNTIFS(案件管理!$N$3:$N$202,$C$3,案件管理!$O$3:$O$202,C6,案件管理!$A$3:$A$202,"&lt;&gt;")</f>
        <v>2</v>
      </c>
      <c r="D7" s="67" t="n">
        <f aca="false">COUNTIFS(案件管理!$N$3:$N$202,$C$3,案件管理!$O$3:$O$202,D6,案件管理!$A$3:$A$202,"&lt;&gt;")</f>
        <v>0</v>
      </c>
      <c r="E7" s="67" t="n">
        <f aca="false">COUNTIFS(案件管理!$N$3:$N$202,$C$3,案件管理!$O$3:$O$202,E6,案件管理!$A$3:$A$202,"&lt;&gt;")</f>
        <v>1</v>
      </c>
      <c r="F7" s="67" t="n">
        <f aca="false">COUNTIFS(案件管理!$N$3:$N$202,$C$3,案件管理!$O$3:$O$202,F6,案件管理!$A$3:$A$202,"&lt;&gt;")</f>
        <v>0</v>
      </c>
      <c r="G7" s="68" t="n">
        <f aca="false">SUM(C7:F7)</f>
        <v>3</v>
      </c>
    </row>
    <row r="8" customFormat="false" ht="15" hidden="false" customHeight="false" outlineLevel="0" collapsed="false">
      <c r="B8" s="9" t="s">
        <v>103</v>
      </c>
      <c r="C8" s="69" t="n">
        <f aca="false">SUMIFS(案件管理!$Q$3:$Q$202,案件管理!$N$3:$N$202,$C$3,案件管理!$O$3:$O$202,C6)</f>
        <v>6000000</v>
      </c>
      <c r="D8" s="69" t="n">
        <f aca="false">SUMIFS(案件管理!$Q$3:$Q$202,案件管理!$N$3:$N$202,$C$3,案件管理!$O$3:$O$202,D6)</f>
        <v>0</v>
      </c>
      <c r="E8" s="69" t="n">
        <f aca="false">SUMIFS(案件管理!$Q$3:$Q$202,案件管理!$N$3:$N$202,$C$3,案件管理!$O$3:$O$202,E6)</f>
        <v>3000000</v>
      </c>
      <c r="F8" s="69" t="n">
        <f aca="false">SUMIFS(案件管理!$Q$3:$Q$202,案件管理!$N$3:$N$202,$C$3,案件管理!$O$3:$O$202,F6)</f>
        <v>0</v>
      </c>
      <c r="G8" s="70" t="n">
        <f aca="false">SUM(C8:F8)</f>
        <v>9000000</v>
      </c>
    </row>
    <row r="9" customFormat="false" ht="15" hidden="false" customHeight="false" outlineLevel="0" collapsed="false">
      <c r="B9" s="9" t="s">
        <v>236</v>
      </c>
      <c r="C9" s="69" t="n">
        <f aca="false">SUMIFS(案件管理!$R$3:$R$202,案件管理!$N$3:$N$202,$C$3,案件管理!$O$3:$O$202,C6)</f>
        <v>6000000</v>
      </c>
      <c r="D9" s="69" t="n">
        <f aca="false">SUMIFS(案件管理!$R$3:$R$202,案件管理!$N$3:$N$202,$C$3,案件管理!$O$3:$O$202,D6)</f>
        <v>0</v>
      </c>
      <c r="E9" s="69" t="n">
        <f aca="false">SUMIFS(案件管理!$R$3:$R$202,案件管理!$N$3:$N$202,$C$3,案件管理!$O$3:$O$202,E6)</f>
        <v>1500000</v>
      </c>
      <c r="F9" s="69" t="n">
        <f aca="false">SUMIFS(案件管理!$R$3:$R$202,案件管理!$N$3:$N$202,$C$3,案件管理!$O$3:$O$202,F6)</f>
        <v>0</v>
      </c>
      <c r="G9" s="70" t="n">
        <f aca="false">SUM(C9:F9)</f>
        <v>7500000</v>
      </c>
    </row>
    <row r="10" customFormat="false" ht="15" hidden="false" customHeight="false" outlineLevel="0" collapsed="false">
      <c r="B10" s="9" t="s">
        <v>106</v>
      </c>
      <c r="C10" s="69" t="n">
        <f aca="false">SUMIFS(案件管理!$T$3:$T$202,案件管理!$N$3:$N$202,$C$3,案件管理!$O$3:$O$202,C6)</f>
        <v>1820000</v>
      </c>
      <c r="D10" s="69" t="n">
        <f aca="false">SUMIFS(案件管理!$T$3:$T$202,案件管理!$N$3:$N$202,$C$3,案件管理!$O$3:$O$202,D6)</f>
        <v>0</v>
      </c>
      <c r="E10" s="69" t="n">
        <f aca="false">SUMIFS(案件管理!$T$3:$T$202,案件管理!$N$3:$N$202,$C$3,案件管理!$O$3:$O$202,E6)</f>
        <v>0</v>
      </c>
      <c r="F10" s="69" t="n">
        <f aca="false">SUMIFS(案件管理!$T$3:$T$202,案件管理!$N$3:$N$202,$C$3,案件管理!$O$3:$O$202,F6)</f>
        <v>0</v>
      </c>
      <c r="G10" s="70" t="n">
        <f aca="false">SUM(C10:F10)</f>
        <v>1820000</v>
      </c>
    </row>
    <row r="11" customFormat="false" ht="15" hidden="false" customHeight="false" outlineLevel="0" collapsed="false">
      <c r="B11" s="9" t="s">
        <v>107</v>
      </c>
      <c r="C11" s="69" t="n">
        <f aca="false">SUMIFS(案件管理!$U$3:$U$202,案件管理!$N$3:$N$202,$C$3,案件管理!$O$3:$O$202,C6)</f>
        <v>2900000</v>
      </c>
      <c r="D11" s="69" t="n">
        <f aca="false">SUMIFS(案件管理!$U$3:$U$202,案件管理!$N$3:$N$202,$C$3,案件管理!$O$3:$O$202,D6)</f>
        <v>0</v>
      </c>
      <c r="E11" s="69" t="n">
        <f aca="false">SUMIFS(案件管理!$U$3:$U$202,案件管理!$N$3:$N$202,$C$3,案件管理!$O$3:$O$202,E6)</f>
        <v>1500000</v>
      </c>
      <c r="F11" s="69" t="n">
        <f aca="false">SUMIFS(案件管理!$U$3:$U$202,案件管理!$N$3:$N$202,$C$3,案件管理!$O$3:$O$202,F6)</f>
        <v>0</v>
      </c>
      <c r="G11" s="70" t="n">
        <f aca="false">SUM(C11:F11)</f>
        <v>4400000</v>
      </c>
    </row>
    <row r="12" customFormat="false" ht="15" hidden="false" customHeight="false" outlineLevel="0" collapsed="false">
      <c r="B12" s="9" t="s">
        <v>108</v>
      </c>
      <c r="C12" s="69" t="n">
        <f aca="false">SUMIFS(案件管理!$V$3:$V$202,案件管理!$N$3:$N$202,$C$3,案件管理!$O$3:$O$202,C6)</f>
        <v>3100000</v>
      </c>
      <c r="D12" s="69" t="n">
        <f aca="false">SUMIFS(案件管理!$V$3:$V$202,案件管理!$N$3:$N$202,$C$3,案件管理!$O$3:$O$202,D6)</f>
        <v>0</v>
      </c>
      <c r="E12" s="69" t="n">
        <f aca="false">SUMIFS(案件管理!$V$3:$V$202,案件管理!$N$3:$N$202,$C$3,案件管理!$O$3:$O$202,E6)</f>
        <v>1500000</v>
      </c>
      <c r="F12" s="69" t="n">
        <f aca="false">SUMIFS(案件管理!$V$3:$V$202,案件管理!$N$3:$N$202,$C$3,案件管理!$O$3:$O$202,F6)</f>
        <v>0</v>
      </c>
      <c r="G12" s="70" t="n">
        <f aca="false">SUM(C12:F12)</f>
        <v>4600000</v>
      </c>
    </row>
    <row r="13" customFormat="false" ht="15" hidden="false" customHeight="false" outlineLevel="0" collapsed="false">
      <c r="B13" s="9" t="s">
        <v>109</v>
      </c>
      <c r="C13" s="71" t="n">
        <f aca="false">IF(N(C8)=0,"",C12/C8)</f>
        <v>0.516666666666667</v>
      </c>
      <c r="D13" s="71" t="str">
        <f aca="false">IF(N(D8)=0,"",D12/D8)</f>
        <v/>
      </c>
      <c r="E13" s="71" t="n">
        <f aca="false">IF(N(E8)=0,"",E12/E8)</f>
        <v>0.5</v>
      </c>
      <c r="F13" s="71" t="str">
        <f aca="false">IF(N(F8)=0,"",F12/F8)</f>
        <v/>
      </c>
      <c r="G13" s="72" t="n">
        <f aca="false">IF(N(G8)=0,"",G12/G8)</f>
        <v>0.511111111111111</v>
      </c>
    </row>
    <row r="14" customFormat="false" ht="15" hidden="false" customHeight="false" outlineLevel="0" collapsed="false">
      <c r="B14" s="9" t="s">
        <v>117</v>
      </c>
      <c r="C14" s="73" t="n">
        <f aca="false">SUMIFS(案件管理!$AE$3:$AE$202,案件管理!$N$3:$N$202,$C$3,案件管理!$O$3:$O$202,C6)</f>
        <v>57</v>
      </c>
      <c r="D14" s="73" t="n">
        <f aca="false">SUMIFS(案件管理!$AE$3:$AE$202,案件管理!$N$3:$N$202,$C$3,案件管理!$O$3:$O$202,D6)</f>
        <v>0</v>
      </c>
      <c r="E14" s="73" t="n">
        <f aca="false">SUMIFS(案件管理!$AE$3:$AE$202,案件管理!$N$3:$N$202,$C$3,案件管理!$O$3:$O$202,E6)</f>
        <v>30</v>
      </c>
      <c r="F14" s="73" t="n">
        <f aca="false">SUMIFS(案件管理!$AE$3:$AE$202,案件管理!$N$3:$N$202,$C$3,案件管理!$O$3:$O$202,F6)</f>
        <v>0</v>
      </c>
      <c r="G14" s="56" t="n">
        <f aca="false">SUM(C14:F14)</f>
        <v>87</v>
      </c>
    </row>
    <row r="15" customFormat="false" ht="15" hidden="false" customHeight="false" outlineLevel="0" collapsed="false">
      <c r="B15" s="9" t="s">
        <v>119</v>
      </c>
      <c r="C15" s="73" t="n">
        <f aca="false">SUMIFS(案件管理!$AG$3:$AG$202,案件管理!$N$3:$N$202,$C$3,案件管理!$O$3:$O$202,C6)</f>
        <v>2.75</v>
      </c>
      <c r="D15" s="73" t="n">
        <f aca="false">SUMIFS(案件管理!$AG$3:$AG$202,案件管理!$N$3:$N$202,$C$3,案件管理!$O$3:$O$202,D6)</f>
        <v>0</v>
      </c>
      <c r="E15" s="73" t="n">
        <f aca="false">SUMIFS(案件管理!$AG$3:$AG$202,案件管理!$N$3:$N$202,$C$3,案件管理!$O$3:$O$202,E6)</f>
        <v>0</v>
      </c>
      <c r="F15" s="73" t="n">
        <f aca="false">SUMIFS(案件管理!$AG$3:$AG$202,案件管理!$N$3:$N$202,$C$3,案件管理!$O$3:$O$202,F6)</f>
        <v>0</v>
      </c>
      <c r="G15" s="56" t="n">
        <f aca="false">SUM(C15:F15)</f>
        <v>2.75</v>
      </c>
    </row>
    <row r="16" customFormat="false" ht="15" hidden="false" customHeight="false" outlineLevel="0" collapsed="false">
      <c r="B16" s="9" t="s">
        <v>121</v>
      </c>
      <c r="C16" s="71" t="n">
        <f aca="false">IF(N(C14)=0,"",C15/C14)</f>
        <v>0.0482456140350877</v>
      </c>
      <c r="D16" s="71" t="str">
        <f aca="false">IF(N(D14)=0,"",D15/D14)</f>
        <v/>
      </c>
      <c r="E16" s="71" t="n">
        <f aca="false">IF(N(E14)=0,"",E15/E14)</f>
        <v>0</v>
      </c>
      <c r="F16" s="71" t="str">
        <f aca="false">IF(N(F14)=0,"",F15/F14)</f>
        <v/>
      </c>
      <c r="G16" s="72" t="n">
        <f aca="false">IF(N(G14)=0,"",G15/G14)</f>
        <v>0.0316091954022989</v>
      </c>
    </row>
    <row r="19" customFormat="false" ht="15" hidden="false" customHeight="false" outlineLevel="0" collapsed="false">
      <c r="B19" s="2" t="s">
        <v>237</v>
      </c>
    </row>
    <row r="20" customFormat="false" ht="15" hidden="false" customHeight="false" outlineLevel="0" collapsed="false">
      <c r="B20" s="49" t="s">
        <v>93</v>
      </c>
      <c r="C20" s="49" t="s">
        <v>235</v>
      </c>
      <c r="D20" s="49" t="s">
        <v>103</v>
      </c>
      <c r="E20" s="49" t="s">
        <v>108</v>
      </c>
      <c r="F20" s="49" t="s">
        <v>117</v>
      </c>
      <c r="G20" s="49" t="s">
        <v>119</v>
      </c>
    </row>
    <row r="21" customFormat="false" ht="15" hidden="false" customHeight="false" outlineLevel="0" collapsed="false">
      <c r="B21" s="74" t="s">
        <v>142</v>
      </c>
      <c r="C21" s="67" t="n">
        <f aca="false">COUNTIFS(案件管理!$N$3:$N$202,$C$3,案件管理!$G$3:$G$202,$B21)</f>
        <v>1</v>
      </c>
      <c r="D21" s="69" t="n">
        <f aca="false">SUMIFS(案件管理!$Q$3:$Q$202,案件管理!$N$3:$N$202,$C$3,案件管理!$G$3:$G$202,$B21)</f>
        <v>3000000</v>
      </c>
      <c r="E21" s="69" t="n">
        <f aca="false">SUMIFS(案件管理!$V$3:$V$202,案件管理!$N$3:$N$202,$C$3,案件管理!$G$3:$G$202,$B21)</f>
        <v>1500000</v>
      </c>
      <c r="F21" s="73" t="n">
        <f aca="false">SUMIFS(案件管理!$AE$3:$AE$202,案件管理!$N$3:$N$202,$C$3,案件管理!$G$3:$G$202,$B21)</f>
        <v>30</v>
      </c>
      <c r="G21" s="73" t="n">
        <f aca="false">SUMIFS(案件管理!$AG$3:$AG$202,案件管理!$N$3:$N$202,$C$3,案件管理!$G$3:$G$202,$B21)</f>
        <v>0</v>
      </c>
    </row>
    <row r="22" customFormat="false" ht="15" hidden="false" customHeight="false" outlineLevel="0" collapsed="false">
      <c r="B22" s="74" t="s">
        <v>129</v>
      </c>
      <c r="C22" s="67" t="n">
        <f aca="false">COUNTIFS(案件管理!$N$3:$N$202,$C$3,案件管理!$G$3:$G$202,$B22)</f>
        <v>1</v>
      </c>
      <c r="D22" s="69" t="n">
        <f aca="false">SUMIFS(案件管理!$Q$3:$Q$202,案件管理!$N$3:$N$202,$C$3,案件管理!$G$3:$G$202,$B22)</f>
        <v>4800000</v>
      </c>
      <c r="E22" s="69" t="n">
        <f aca="false">SUMIFS(案件管理!$V$3:$V$202,案件管理!$N$3:$N$202,$C$3,案件管理!$G$3:$G$202,$B22)</f>
        <v>2380000</v>
      </c>
      <c r="F22" s="73" t="n">
        <f aca="false">SUMIFS(案件管理!$AE$3:$AE$202,案件管理!$N$3:$N$202,$C$3,案件管理!$G$3:$G$202,$B22)</f>
        <v>45</v>
      </c>
      <c r="G22" s="73" t="n">
        <f aca="false">SUMIFS(案件管理!$AG$3:$AG$202,案件管理!$N$3:$N$202,$C$3,案件管理!$G$3:$G$202,$B22)</f>
        <v>2.25</v>
      </c>
    </row>
    <row r="23" customFormat="false" ht="15" hidden="false" customHeight="false" outlineLevel="0" collapsed="false">
      <c r="B23" s="74" t="s">
        <v>238</v>
      </c>
      <c r="C23" s="67" t="n">
        <f aca="false">COUNTIFS(案件管理!$N$3:$N$202,$C$3,案件管理!$G$3:$G$202,$B23)</f>
        <v>0</v>
      </c>
      <c r="D23" s="69" t="n">
        <f aca="false">SUMIFS(案件管理!$Q$3:$Q$202,案件管理!$N$3:$N$202,$C$3,案件管理!$G$3:$G$202,$B23)</f>
        <v>0</v>
      </c>
      <c r="E23" s="69" t="n">
        <f aca="false">SUMIFS(案件管理!$V$3:$V$202,案件管理!$N$3:$N$202,$C$3,案件管理!$G$3:$G$202,$B23)</f>
        <v>0</v>
      </c>
      <c r="F23" s="73" t="n">
        <f aca="false">SUMIFS(案件管理!$AE$3:$AE$202,案件管理!$N$3:$N$202,$C$3,案件管理!$G$3:$G$202,$B23)</f>
        <v>0</v>
      </c>
      <c r="G23" s="73" t="n">
        <f aca="false">SUMIFS(案件管理!$AG$3:$AG$202,案件管理!$N$3:$N$202,$C$3,案件管理!$G$3:$G$202,$B23)</f>
        <v>0</v>
      </c>
    </row>
    <row r="24" customFormat="false" ht="15" hidden="false" customHeight="false" outlineLevel="0" collapsed="false">
      <c r="B24" s="74" t="s">
        <v>136</v>
      </c>
      <c r="C24" s="67" t="n">
        <f aca="false">COUNTIFS(案件管理!$N$3:$N$202,$C$3,案件管理!$G$3:$G$202,$B24)</f>
        <v>1</v>
      </c>
      <c r="D24" s="69" t="n">
        <f aca="false">SUMIFS(案件管理!$Q$3:$Q$202,案件管理!$N$3:$N$202,$C$3,案件管理!$G$3:$G$202,$B24)</f>
        <v>1200000</v>
      </c>
      <c r="E24" s="69" t="n">
        <f aca="false">SUMIFS(案件管理!$V$3:$V$202,案件管理!$N$3:$N$202,$C$3,案件管理!$G$3:$G$202,$B24)</f>
        <v>720000</v>
      </c>
      <c r="F24" s="73" t="n">
        <f aca="false">SUMIFS(案件管理!$AE$3:$AE$202,案件管理!$N$3:$N$202,$C$3,案件管理!$G$3:$G$202,$B24)</f>
        <v>12</v>
      </c>
      <c r="G24" s="73" t="n">
        <f aca="false">SUMIFS(案件管理!$AG$3:$AG$202,案件管理!$N$3:$N$202,$C$3,案件管理!$G$3:$G$202,$B24)</f>
        <v>0.5</v>
      </c>
    </row>
    <row r="25" customFormat="false" ht="15" hidden="false" customHeight="false" outlineLevel="0" collapsed="false">
      <c r="B25" s="74" t="s">
        <v>239</v>
      </c>
      <c r="C25" s="67" t="n">
        <f aca="false">COUNTIFS(案件管理!$N$3:$N$202,$C$3,案件管理!$G$3:$G$202,$B25)</f>
        <v>0</v>
      </c>
      <c r="D25" s="69" t="n">
        <f aca="false">SUMIFS(案件管理!$Q$3:$Q$202,案件管理!$N$3:$N$202,$C$3,案件管理!$G$3:$G$202,$B25)</f>
        <v>0</v>
      </c>
      <c r="E25" s="69" t="n">
        <f aca="false">SUMIFS(案件管理!$V$3:$V$202,案件管理!$N$3:$N$202,$C$3,案件管理!$G$3:$G$202,$B25)</f>
        <v>0</v>
      </c>
      <c r="F25" s="73" t="n">
        <f aca="false">SUMIFS(案件管理!$AE$3:$AE$202,案件管理!$N$3:$N$202,$C$3,案件管理!$G$3:$G$202,$B25)</f>
        <v>0</v>
      </c>
      <c r="G25" s="73" t="n">
        <f aca="false">SUMIFS(案件管理!$AG$3:$AG$202,案件管理!$N$3:$N$202,$C$3,案件管理!$G$3:$G$202,$B25)</f>
        <v>0</v>
      </c>
    </row>
    <row r="28" customFormat="false" ht="15" hidden="false" customHeight="false" outlineLevel="0" collapsed="false">
      <c r="B28" s="2" t="s">
        <v>240</v>
      </c>
    </row>
    <row r="29" customFormat="false" ht="15" hidden="false" customHeight="false" outlineLevel="0" collapsed="false">
      <c r="B29" s="49" t="s">
        <v>90</v>
      </c>
      <c r="C29" s="49" t="s">
        <v>235</v>
      </c>
      <c r="D29" s="49" t="s">
        <v>103</v>
      </c>
      <c r="E29" s="49" t="s">
        <v>108</v>
      </c>
      <c r="F29" s="49" t="s">
        <v>117</v>
      </c>
      <c r="G29" s="49" t="s">
        <v>119</v>
      </c>
      <c r="H29" s="49" t="s">
        <v>121</v>
      </c>
    </row>
    <row r="30" customFormat="false" ht="15" hidden="false" customHeight="false" outlineLevel="0" collapsed="false">
      <c r="B30" s="74" t="s">
        <v>127</v>
      </c>
      <c r="C30" s="67" t="n">
        <f aca="false">COUNTIFS(案件管理!$N$3:$N$202,$C$3,案件管理!$D$3:$D$202,$B30)</f>
        <v>1</v>
      </c>
      <c r="D30" s="69" t="n">
        <f aca="false">SUMIFS(案件管理!$Q$3:$Q$202,案件管理!$N$3:$N$202,$C$3,案件管理!$D$3:$D$202,$B30)</f>
        <v>4800000</v>
      </c>
      <c r="E30" s="69" t="n">
        <f aca="false">SUMIFS(案件管理!$V$3:$V$202,案件管理!$N$3:$N$202,$C$3,案件管理!$D$3:$D$202,$B30)</f>
        <v>2380000</v>
      </c>
      <c r="F30" s="73" t="n">
        <f aca="false">SUMIFS(案件管理!$AE$3:$AE$202,案件管理!$N$3:$N$202,$C$3,案件管理!$D$3:$D$202,$B30)</f>
        <v>45</v>
      </c>
      <c r="G30" s="73" t="n">
        <f aca="false">SUMIFS(案件管理!$AG$3:$AG$202,案件管理!$N$3:$N$202,$C$3,案件管理!$D$3:$D$202,$B30)</f>
        <v>2.25</v>
      </c>
      <c r="H30" s="71" t="n">
        <f aca="false">IF(N($F30)=0,"",$G30/$F30)</f>
        <v>0.05</v>
      </c>
    </row>
    <row r="31" customFormat="false" ht="15" hidden="false" customHeight="false" outlineLevel="0" collapsed="false">
      <c r="B31" s="74" t="s">
        <v>134</v>
      </c>
      <c r="C31" s="67" t="n">
        <f aca="false">COUNTIFS(案件管理!$N$3:$N$202,$C$3,案件管理!$D$3:$D$202,$B31)</f>
        <v>1</v>
      </c>
      <c r="D31" s="69" t="n">
        <f aca="false">SUMIFS(案件管理!$Q$3:$Q$202,案件管理!$N$3:$N$202,$C$3,案件管理!$D$3:$D$202,$B31)</f>
        <v>1200000</v>
      </c>
      <c r="E31" s="69" t="n">
        <f aca="false">SUMIFS(案件管理!$V$3:$V$202,案件管理!$N$3:$N$202,$C$3,案件管理!$D$3:$D$202,$B31)</f>
        <v>720000</v>
      </c>
      <c r="F31" s="73" t="n">
        <f aca="false">SUMIFS(案件管理!$AE$3:$AE$202,案件管理!$N$3:$N$202,$C$3,案件管理!$D$3:$D$202,$B31)</f>
        <v>12</v>
      </c>
      <c r="G31" s="73" t="n">
        <f aca="false">SUMIFS(案件管理!$AG$3:$AG$202,案件管理!$N$3:$N$202,$C$3,案件管理!$D$3:$D$202,$B31)</f>
        <v>0.5</v>
      </c>
      <c r="H31" s="71" t="n">
        <f aca="false">IF(N($F31)=0,"",$G31/$F31)</f>
        <v>0.0416666666666667</v>
      </c>
    </row>
    <row r="32" customFormat="false" ht="15" hidden="false" customHeight="false" outlineLevel="0" collapsed="false">
      <c r="B32" s="74" t="s">
        <v>141</v>
      </c>
      <c r="C32" s="67" t="n">
        <f aca="false">COUNTIFS(案件管理!$N$3:$N$202,$C$3,案件管理!$D$3:$D$202,$B32)</f>
        <v>1</v>
      </c>
      <c r="D32" s="69" t="n">
        <f aca="false">SUMIFS(案件管理!$Q$3:$Q$202,案件管理!$N$3:$N$202,$C$3,案件管理!$D$3:$D$202,$B32)</f>
        <v>3000000</v>
      </c>
      <c r="E32" s="69" t="n">
        <f aca="false">SUMIFS(案件管理!$V$3:$V$202,案件管理!$N$3:$N$202,$C$3,案件管理!$D$3:$D$202,$B32)</f>
        <v>1500000</v>
      </c>
      <c r="F32" s="73" t="n">
        <f aca="false">SUMIFS(案件管理!$AE$3:$AE$202,案件管理!$N$3:$N$202,$C$3,案件管理!$D$3:$D$202,$B32)</f>
        <v>30</v>
      </c>
      <c r="G32" s="73" t="n">
        <f aca="false">SUMIFS(案件管理!$AG$3:$AG$202,案件管理!$N$3:$N$202,$C$3,案件管理!$D$3:$D$202,$B32)</f>
        <v>0</v>
      </c>
      <c r="H32" s="71" t="n">
        <f aca="false">IF(N($F32)=0,"",$G32/$F32)</f>
        <v>0</v>
      </c>
    </row>
    <row r="33" customFormat="false" ht="15" hidden="false" customHeight="false" outlineLevel="0" collapsed="false">
      <c r="B33" s="74" t="s">
        <v>241</v>
      </c>
      <c r="C33" s="67" t="n">
        <f aca="false">COUNTIFS(案件管理!$N$3:$N$202,$C$3,案件管理!$D$3:$D$202,$B33)</f>
        <v>0</v>
      </c>
      <c r="D33" s="69" t="n">
        <f aca="false">SUMIFS(案件管理!$Q$3:$Q$202,案件管理!$N$3:$N$202,$C$3,案件管理!$D$3:$D$202,$B33)</f>
        <v>0</v>
      </c>
      <c r="E33" s="69" t="n">
        <f aca="false">SUMIFS(案件管理!$V$3:$V$202,案件管理!$N$3:$N$202,$C$3,案件管理!$D$3:$D$202,$B33)</f>
        <v>0</v>
      </c>
      <c r="F33" s="73" t="n">
        <f aca="false">SUMIFS(案件管理!$AE$3:$AE$202,案件管理!$N$3:$N$202,$C$3,案件管理!$D$3:$D$202,$B33)</f>
        <v>0</v>
      </c>
      <c r="G33" s="73" t="n">
        <f aca="false">SUMIFS(案件管理!$AG$3:$AG$202,案件管理!$N$3:$N$202,$C$3,案件管理!$D$3:$D$202,$B33)</f>
        <v>0</v>
      </c>
      <c r="H33" s="71" t="str">
        <f aca="false">IF(N($F33)=0,"",$G33/$F33)</f>
        <v/>
      </c>
    </row>
    <row r="36" customFormat="false" ht="15" hidden="false" customHeight="false" outlineLevel="0" collapsed="false">
      <c r="B36" s="2" t="s">
        <v>242</v>
      </c>
    </row>
    <row r="37" customFormat="false" ht="15" hidden="false" customHeight="false" outlineLevel="0" collapsed="false">
      <c r="B37" s="49" t="s">
        <v>152</v>
      </c>
      <c r="C37" s="49" t="s">
        <v>235</v>
      </c>
      <c r="D37" s="49" t="s">
        <v>103</v>
      </c>
      <c r="E37" s="49" t="s">
        <v>119</v>
      </c>
    </row>
    <row r="38" customFormat="false" ht="15" hidden="false" customHeight="false" outlineLevel="0" collapsed="false">
      <c r="B38" s="74" t="s">
        <v>143</v>
      </c>
      <c r="C38" s="67" t="n">
        <f aca="false">COUNTIFS(案件管理!$N$3:$N$202,$C$3,案件管理!$H$3:$H$202,$B38,案件管理!$G$3:$G$202,"&lt;&gt;失注")</f>
        <v>1</v>
      </c>
      <c r="D38" s="69" t="n">
        <f aca="false">SUMIFS(案件管理!$Q$3:$Q$202,案件管理!$N$3:$N$202,$C$3,案件管理!$H$3:$H$202,$B38,案件管理!$G$3:$G$202,"&lt;&gt;失注")</f>
        <v>3000000</v>
      </c>
      <c r="E38" s="73" t="n">
        <f aca="false">SUMIFS(案件管理!$AG$3:$AG$202,案件管理!$N$3:$N$202,$C$3,案件管理!$H$3:$H$202,$B38,案件管理!$G$3:$G$202,"&lt;&gt;失注")</f>
        <v>0</v>
      </c>
    </row>
    <row r="39" customFormat="false" ht="15" hidden="false" customHeight="false" outlineLevel="0" collapsed="false">
      <c r="B39" s="74" t="s">
        <v>243</v>
      </c>
      <c r="C39" s="67" t="n">
        <f aca="false">COUNTIFS(案件管理!$N$3:$N$202,$C$3,案件管理!$H$3:$H$202,$B39,案件管理!$G$3:$G$202,"&lt;&gt;失注")</f>
        <v>0</v>
      </c>
      <c r="D39" s="69" t="n">
        <f aca="false">SUMIFS(案件管理!$Q$3:$Q$202,案件管理!$N$3:$N$202,$C$3,案件管理!$H$3:$H$202,$B39,案件管理!$G$3:$G$202,"&lt;&gt;失注")</f>
        <v>0</v>
      </c>
      <c r="E39" s="73" t="n">
        <f aca="false">SUMIFS(案件管理!$AG$3:$AG$202,案件管理!$N$3:$N$202,$C$3,案件管理!$H$3:$H$202,$B39,案件管理!$G$3:$G$202,"&lt;&gt;失注")</f>
        <v>0</v>
      </c>
    </row>
    <row r="40" customFormat="false" ht="15" hidden="false" customHeight="false" outlineLevel="0" collapsed="false">
      <c r="B40" s="74" t="s">
        <v>244</v>
      </c>
      <c r="C40" s="67" t="n">
        <f aca="false">COUNTIFS(案件管理!$N$3:$N$202,$C$3,案件管理!$H$3:$H$202,$B40,案件管理!$G$3:$G$202,"&lt;&gt;失注")</f>
        <v>0</v>
      </c>
      <c r="D40" s="69" t="n">
        <f aca="false">SUMIFS(案件管理!$Q$3:$Q$202,案件管理!$N$3:$N$202,$C$3,案件管理!$H$3:$H$202,$B40,案件管理!$G$3:$G$202,"&lt;&gt;失注")</f>
        <v>0</v>
      </c>
      <c r="E40" s="73" t="n">
        <f aca="false">SUMIFS(案件管理!$AG$3:$AG$202,案件管理!$N$3:$N$202,$C$3,案件管理!$H$3:$H$202,$B40,案件管理!$G$3:$G$202,"&lt;&gt;失注")</f>
        <v>0</v>
      </c>
    </row>
    <row r="41" customFormat="false" ht="15" hidden="false" customHeight="false" outlineLevel="0" collapsed="false">
      <c r="B41" s="74" t="s">
        <v>245</v>
      </c>
      <c r="C41" s="67" t="n">
        <f aca="false">COUNTIFS(案件管理!$N$3:$N$202,$C$3,案件管理!$H$3:$H$202,$B41,案件管理!$G$3:$G$202,"&lt;&gt;失注")</f>
        <v>0</v>
      </c>
      <c r="D41" s="69" t="n">
        <f aca="false">SUMIFS(案件管理!$Q$3:$Q$202,案件管理!$N$3:$N$202,$C$3,案件管理!$H$3:$H$202,$B41,案件管理!$G$3:$G$202,"&lt;&gt;失注")</f>
        <v>0</v>
      </c>
      <c r="E41" s="73" t="n">
        <f aca="false">SUMIFS(案件管理!$AG$3:$AG$202,案件管理!$N$3:$N$202,$C$3,案件管理!$H$3:$H$202,$B41,案件管理!$G$3:$G$202,"&lt;&gt;失注")</f>
        <v>0</v>
      </c>
    </row>
    <row r="42" customFormat="false" ht="15" hidden="false" customHeight="false" outlineLevel="0" collapsed="false">
      <c r="B42" s="74" t="s">
        <v>246</v>
      </c>
      <c r="C42" s="67" t="n">
        <f aca="false">COUNTIFS(案件管理!$N$3:$N$202,$C$3,案件管理!$H$3:$H$202,$B42,案件管理!$G$3:$G$202,"&lt;&gt;失注")</f>
        <v>0</v>
      </c>
      <c r="D42" s="69" t="n">
        <f aca="false">SUMIFS(案件管理!$Q$3:$Q$202,案件管理!$N$3:$N$202,$C$3,案件管理!$H$3:$H$202,$B42,案件管理!$G$3:$G$202,"&lt;&gt;失注")</f>
        <v>0</v>
      </c>
      <c r="E42" s="73" t="n">
        <f aca="false">SUMIFS(案件管理!$AG$3:$AG$202,案件管理!$N$3:$N$202,$C$3,案件管理!$H$3:$H$202,$B42,案件管理!$G$3:$G$202,"&lt;&gt;失注")</f>
        <v>0</v>
      </c>
    </row>
    <row r="43" customFormat="false" ht="15" hidden="false" customHeight="false" outlineLevel="0" collapsed="false">
      <c r="B43" s="74" t="s">
        <v>11</v>
      </c>
      <c r="C43" s="67" t="n">
        <f aca="false">COUNTIFS(案件管理!$N$3:$N$202,$C$3,案件管理!$H$3:$H$202,$B43,案件管理!$G$3:$G$202,"&lt;&gt;失注")</f>
        <v>1</v>
      </c>
      <c r="D43" s="69" t="n">
        <f aca="false">SUMIFS(案件管理!$Q$3:$Q$202,案件管理!$N$3:$N$202,$C$3,案件管理!$H$3:$H$202,$B43,案件管理!$G$3:$G$202,"&lt;&gt;失注")</f>
        <v>4800000</v>
      </c>
      <c r="E43" s="73" t="n">
        <f aca="false">SUMIFS(案件管理!$AG$3:$AG$202,案件管理!$N$3:$N$202,$C$3,案件管理!$H$3:$H$202,$B43,案件管理!$G$3:$G$202,"&lt;&gt;失注")</f>
        <v>2.25</v>
      </c>
    </row>
    <row r="44" customFormat="false" ht="15" hidden="false" customHeight="false" outlineLevel="0" collapsed="false">
      <c r="B44" s="74" t="s">
        <v>159</v>
      </c>
      <c r="C44" s="67" t="n">
        <f aca="false">COUNTIFS(案件管理!$N$3:$N$202,$C$3,案件管理!$H$3:$H$202,$B44,案件管理!$G$3:$G$202,"&lt;&gt;失注")</f>
        <v>0</v>
      </c>
      <c r="D44" s="69" t="n">
        <f aca="false">SUMIFS(案件管理!$Q$3:$Q$202,案件管理!$N$3:$N$202,$C$3,案件管理!$H$3:$H$202,$B44,案件管理!$G$3:$G$202,"&lt;&gt;失注")</f>
        <v>0</v>
      </c>
      <c r="E44" s="73" t="n">
        <f aca="false">SUMIFS(案件管理!$AG$3:$AG$202,案件管理!$N$3:$N$202,$C$3,案件管理!$H$3:$H$202,$B44,案件管理!$G$3:$G$202,"&lt;&gt;失注")</f>
        <v>0</v>
      </c>
    </row>
    <row r="45" customFormat="false" ht="15" hidden="false" customHeight="false" outlineLevel="0" collapsed="false">
      <c r="B45" s="74" t="s">
        <v>247</v>
      </c>
      <c r="C45" s="67" t="n">
        <f aca="false">COUNTIFS(案件管理!$N$3:$N$202,$C$3,案件管理!$H$3:$H$202,$B45,案件管理!$G$3:$G$202,"&lt;&gt;失注")</f>
        <v>0</v>
      </c>
      <c r="D45" s="69" t="n">
        <f aca="false">SUMIFS(案件管理!$Q$3:$Q$202,案件管理!$N$3:$N$202,$C$3,案件管理!$H$3:$H$202,$B45,案件管理!$G$3:$G$202,"&lt;&gt;失注")</f>
        <v>0</v>
      </c>
      <c r="E45" s="73" t="n">
        <f aca="false">SUMIFS(案件管理!$AG$3:$AG$202,案件管理!$N$3:$N$202,$C$3,案件管理!$H$3:$H$202,$B45,案件管理!$G$3:$G$202,"&lt;&gt;失注")</f>
        <v>0</v>
      </c>
    </row>
    <row r="46" customFormat="false" ht="15" hidden="false" customHeight="false" outlineLevel="0" collapsed="false">
      <c r="B46" s="74" t="s">
        <v>248</v>
      </c>
      <c r="C46" s="67" t="n">
        <f aca="false">COUNTIFS(案件管理!$N$3:$N$202,$C$3,案件管理!$H$3:$H$202,$B46,案件管理!$G$3:$G$202,"&lt;&gt;失注")</f>
        <v>0</v>
      </c>
      <c r="D46" s="69" t="n">
        <f aca="false">SUMIFS(案件管理!$Q$3:$Q$202,案件管理!$N$3:$N$202,$C$3,案件管理!$H$3:$H$202,$B46,案件管理!$G$3:$G$202,"&lt;&gt;失注")</f>
        <v>0</v>
      </c>
      <c r="E46" s="73" t="n">
        <f aca="false">SUMIFS(案件管理!$AG$3:$AG$202,案件管理!$N$3:$N$202,$C$3,案件管理!$H$3:$H$202,$B46,案件管理!$G$3:$G$202,"&lt;&gt;失注")</f>
        <v>0</v>
      </c>
    </row>
    <row r="47" customFormat="false" ht="15" hidden="false" customHeight="false" outlineLevel="0" collapsed="false">
      <c r="B47" s="74" t="s">
        <v>136</v>
      </c>
      <c r="C47" s="67" t="n">
        <f aca="false">COUNTIFS(案件管理!$N$3:$N$202,$C$3,案件管理!$H$3:$H$202,$B47,案件管理!$G$3:$G$202,"&lt;&gt;失注")</f>
        <v>1</v>
      </c>
      <c r="D47" s="69" t="n">
        <f aca="false">SUMIFS(案件管理!$Q$3:$Q$202,案件管理!$N$3:$N$202,$C$3,案件管理!$H$3:$H$202,$B47,案件管理!$G$3:$G$202,"&lt;&gt;失注")</f>
        <v>1200000</v>
      </c>
      <c r="E47" s="73" t="n">
        <f aca="false">SUMIFS(案件管理!$AG$3:$AG$202,案件管理!$N$3:$N$202,$C$3,案件管理!$H$3:$H$202,$B47,案件管理!$G$3:$G$202,"&lt;&gt;失注")</f>
        <v>0.5</v>
      </c>
    </row>
    <row r="50" customFormat="false" ht="15" hidden="false" customHeight="false" outlineLevel="0" collapsed="false">
      <c r="B50" s="65" t="s">
        <v>249</v>
      </c>
    </row>
    <row r="51" customFormat="false" ht="15" hidden="false" customHeight="false" outlineLevel="0" collapsed="false">
      <c r="B51" s="49" t="s">
        <v>229</v>
      </c>
      <c r="C51" s="49" t="s">
        <v>250</v>
      </c>
      <c r="D51" s="49" t="s">
        <v>74</v>
      </c>
    </row>
    <row r="52" customFormat="false" ht="15" hidden="false" customHeight="false" outlineLevel="0" collapsed="false">
      <c r="B52" s="74" t="s">
        <v>251</v>
      </c>
      <c r="C52" s="67" t="n">
        <f aca="false">COUNTIFS(発注・納品!$O$3:$O$202,$B52)</f>
        <v>0</v>
      </c>
      <c r="D52" s="69" t="n">
        <f aca="false">SUMIFS(発注・納品!$H$3:$H$202,発注・納品!$O$3:$O$202,$B52)</f>
        <v>0</v>
      </c>
    </row>
    <row r="53" customFormat="false" ht="15" hidden="false" customHeight="false" outlineLevel="0" collapsed="false">
      <c r="B53" s="74" t="s">
        <v>252</v>
      </c>
      <c r="C53" s="67" t="n">
        <f aca="false">COUNTIFS(発注・納品!$O$3:$O$202,$B53)</f>
        <v>1</v>
      </c>
      <c r="D53" s="69" t="n">
        <f aca="false">SUMIFS(発注・納品!$H$3:$H$202,発注・納品!$O$3:$O$202,$B53)</f>
        <v>360000</v>
      </c>
    </row>
    <row r="54" customFormat="false" ht="15" hidden="false" customHeight="false" outlineLevel="0" collapsed="false">
      <c r="B54" s="74" t="s">
        <v>253</v>
      </c>
      <c r="C54" s="67" t="n">
        <f aca="false">COUNTIFS(発注・納品!$O$3:$O$202,$B54)</f>
        <v>1</v>
      </c>
      <c r="D54" s="69" t="n">
        <f aca="false">SUMIFS(発注・納品!$H$3:$H$202,発注・納品!$O$3:$O$202,$B54)</f>
        <v>180000</v>
      </c>
    </row>
    <row r="55" customFormat="false" ht="15" hidden="false" customHeight="false" outlineLevel="0" collapsed="false">
      <c r="B55" s="74" t="s">
        <v>254</v>
      </c>
      <c r="C55" s="67" t="n">
        <f aca="false">COUNTIFS(発注・納品!$O$3:$O$202,$B55)</f>
        <v>1</v>
      </c>
      <c r="D55" s="69" t="n">
        <f aca="false">SUMIFS(発注・納品!$H$3:$H$202,発注・納品!$O$3:$O$202,$B55)</f>
        <v>1280000</v>
      </c>
    </row>
    <row r="56" customFormat="false" ht="15" hidden="false" customHeight="false" outlineLevel="0" collapsed="false">
      <c r="B56" s="75" t="s">
        <v>255</v>
      </c>
      <c r="C56" s="76" t="n">
        <f aca="false">COUNTIF(発注・納品!$P$3:$P$202,"&gt;0")</f>
        <v>1</v>
      </c>
      <c r="D56" s="77"/>
    </row>
    <row r="58" customFormat="false" ht="15" hidden="false" customHeight="false" outlineLevel="0" collapsed="false">
      <c r="B58" s="65" t="s">
        <v>256</v>
      </c>
    </row>
    <row r="59" customFormat="false" ht="15" hidden="false" customHeight="false" outlineLevel="0" collapsed="false">
      <c r="B59" s="49" t="s">
        <v>229</v>
      </c>
      <c r="C59" s="49" t="s">
        <v>250</v>
      </c>
      <c r="D59" s="49" t="s">
        <v>207</v>
      </c>
    </row>
    <row r="60" customFormat="false" ht="15" hidden="false" customHeight="false" outlineLevel="0" collapsed="false">
      <c r="B60" s="74" t="s">
        <v>221</v>
      </c>
      <c r="C60" s="67" t="n">
        <f aca="false">COUNTIFS(現地作業!$L$3:$L$202,$B60)</f>
        <v>1</v>
      </c>
      <c r="D60" s="78" t="n">
        <f aca="false">SUMIFS(現地作業!$H$3:$H$202,現地作業!$L$3:$L$202,$B60)</f>
        <v>6</v>
      </c>
    </row>
    <row r="61" customFormat="false" ht="15" hidden="false" customHeight="false" outlineLevel="0" collapsed="false">
      <c r="B61" s="74" t="s">
        <v>136</v>
      </c>
      <c r="C61" s="67" t="n">
        <f aca="false">COUNTIFS(現地作業!$L$3:$L$202,$B61)</f>
        <v>2</v>
      </c>
      <c r="D61" s="78" t="n">
        <f aca="false">SUMIFS(現地作業!$H$3:$H$202,現地作業!$L$3:$L$202,$B61)</f>
        <v>14</v>
      </c>
    </row>
    <row r="62" customFormat="false" ht="15" hidden="false" customHeight="false" outlineLevel="0" collapsed="false">
      <c r="B62" s="74" t="s">
        <v>257</v>
      </c>
      <c r="C62" s="67" t="n">
        <f aca="false">COUNTIFS(現地作業!$L$3:$L$202,$B62)</f>
        <v>0</v>
      </c>
      <c r="D62" s="78" t="n">
        <f aca="false">SUMIFS(現地作業!$H$3:$H$202,現地作業!$L$3:$L$202,$B62)</f>
        <v>0</v>
      </c>
    </row>
    <row r="63" customFormat="false" ht="15" hidden="false" customHeight="false" outlineLevel="0" collapsed="false">
      <c r="B63" s="74" t="s">
        <v>258</v>
      </c>
      <c r="C63" s="67" t="n">
        <f aca="false">COUNTIFS(現地作業!$L$3:$L$202,$B63)</f>
        <v>0</v>
      </c>
      <c r="D63" s="78" t="n">
        <f aca="false">SUMIFS(現地作業!$H$3:$H$202,現地作業!$L$3:$L$202,$B63)</f>
        <v>0</v>
      </c>
    </row>
    <row r="64" customFormat="false" ht="15" hidden="false" customHeight="false" outlineLevel="0" collapsed="false">
      <c r="B64" s="75" t="s">
        <v>259</v>
      </c>
      <c r="C64" s="79" t="n">
        <f aca="true">COUNTIFS(現地作業!$L$3:$L$202,"予定",現地作業!$C$3:$C$202,"&gt;="&amp;TODAY(),現地作業!$C$3:$C$202,"&lt;="&amp;TODAY()+30)</f>
        <v>1</v>
      </c>
      <c r="D64" s="77"/>
    </row>
    <row r="66" customFormat="false" ht="15" hidden="false" customHeight="false" outlineLevel="0" collapsed="false">
      <c r="B66" s="42" t="s">
        <v>260</v>
      </c>
    </row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12" min="5" style="0" width="14"/>
  </cols>
  <sheetData>
    <row r="1" customFormat="false" ht="25.5" hidden="false" customHeight="true" outlineLevel="0" collapsed="false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" t="s">
        <v>262</v>
      </c>
      <c r="E2" s="3" t="s">
        <v>263</v>
      </c>
    </row>
    <row r="3" customFormat="false" ht="15" hidden="false" customHeight="false" outlineLevel="0" collapsed="false">
      <c r="A3" s="13" t="s">
        <v>264</v>
      </c>
      <c r="B3" s="13" t="s">
        <v>265</v>
      </c>
      <c r="C3" s="13" t="s">
        <v>266</v>
      </c>
      <c r="E3" s="13" t="s">
        <v>93</v>
      </c>
      <c r="F3" s="13" t="s">
        <v>152</v>
      </c>
      <c r="G3" s="13" t="s">
        <v>90</v>
      </c>
      <c r="H3" s="13" t="s">
        <v>91</v>
      </c>
      <c r="I3" s="13" t="s">
        <v>92</v>
      </c>
      <c r="J3" s="13" t="s">
        <v>267</v>
      </c>
      <c r="K3" s="13" t="s">
        <v>268</v>
      </c>
      <c r="L3" s="13" t="s">
        <v>182</v>
      </c>
    </row>
    <row r="4" customFormat="false" ht="15" hidden="false" customHeight="false" outlineLevel="0" collapsed="false">
      <c r="A4" s="74" t="s">
        <v>68</v>
      </c>
      <c r="B4" s="80" t="n">
        <v>4</v>
      </c>
      <c r="C4" s="81" t="s">
        <v>269</v>
      </c>
      <c r="E4" s="82" t="s">
        <v>142</v>
      </c>
      <c r="F4" s="82" t="s">
        <v>143</v>
      </c>
      <c r="G4" s="82" t="s">
        <v>127</v>
      </c>
      <c r="H4" s="82" t="s">
        <v>128</v>
      </c>
      <c r="I4" s="83" t="n">
        <v>1</v>
      </c>
      <c r="J4" s="82" t="s">
        <v>270</v>
      </c>
      <c r="K4" s="82" t="s">
        <v>221</v>
      </c>
      <c r="L4" s="82" t="s">
        <v>241</v>
      </c>
    </row>
    <row r="5" customFormat="false" ht="15" hidden="false" customHeight="false" outlineLevel="0" collapsed="false">
      <c r="A5" s="84" t="s">
        <v>271</v>
      </c>
      <c r="B5" s="85" t="n">
        <v>8</v>
      </c>
      <c r="C5" s="81" t="s">
        <v>272</v>
      </c>
      <c r="E5" s="82" t="s">
        <v>129</v>
      </c>
      <c r="F5" s="82" t="s">
        <v>243</v>
      </c>
      <c r="G5" s="82" t="s">
        <v>134</v>
      </c>
      <c r="H5" s="82" t="s">
        <v>273</v>
      </c>
      <c r="I5" s="83" t="n">
        <v>0.8</v>
      </c>
      <c r="J5" s="82" t="s">
        <v>214</v>
      </c>
      <c r="K5" s="82" t="s">
        <v>136</v>
      </c>
      <c r="L5" s="86" t="s">
        <v>274</v>
      </c>
    </row>
    <row r="6" customFormat="false" ht="15" hidden="false" customHeight="false" outlineLevel="0" collapsed="false">
      <c r="A6" s="74" t="s">
        <v>275</v>
      </c>
      <c r="B6" s="87" t="n">
        <v>2026</v>
      </c>
      <c r="C6" s="81" t="s">
        <v>276</v>
      </c>
      <c r="E6" s="82" t="s">
        <v>238</v>
      </c>
      <c r="F6" s="82" t="s">
        <v>244</v>
      </c>
      <c r="G6" s="82" t="s">
        <v>141</v>
      </c>
      <c r="H6" s="82" t="s">
        <v>135</v>
      </c>
      <c r="I6" s="83" t="n">
        <v>0.5</v>
      </c>
      <c r="J6" s="82" t="s">
        <v>217</v>
      </c>
      <c r="K6" s="82" t="s">
        <v>257</v>
      </c>
      <c r="L6" s="86" t="s">
        <v>277</v>
      </c>
    </row>
    <row r="7" customFormat="false" ht="15" hidden="false" customHeight="false" outlineLevel="0" collapsed="false">
      <c r="A7" s="74" t="s">
        <v>278</v>
      </c>
      <c r="B7" s="88" t="n">
        <v>46113</v>
      </c>
      <c r="C7" s="81" t="s">
        <v>279</v>
      </c>
      <c r="E7" s="82" t="s">
        <v>136</v>
      </c>
      <c r="F7" s="82" t="s">
        <v>245</v>
      </c>
      <c r="G7" s="82" t="s">
        <v>241</v>
      </c>
      <c r="H7" s="82" t="s">
        <v>280</v>
      </c>
      <c r="I7" s="83" t="n">
        <v>0.3</v>
      </c>
      <c r="J7" s="82" t="s">
        <v>281</v>
      </c>
      <c r="K7" s="82" t="s">
        <v>258</v>
      </c>
      <c r="L7" s="86" t="s">
        <v>282</v>
      </c>
    </row>
    <row r="8" customFormat="false" ht="15" hidden="false" customHeight="false" outlineLevel="0" collapsed="false">
      <c r="E8" s="82" t="s">
        <v>239</v>
      </c>
      <c r="F8" s="82" t="s">
        <v>246</v>
      </c>
      <c r="I8" s="83" t="n">
        <v>0.1</v>
      </c>
      <c r="J8" s="82" t="s">
        <v>283</v>
      </c>
    </row>
    <row r="9" customFormat="false" ht="15" hidden="false" customHeight="false" outlineLevel="0" collapsed="false">
      <c r="F9" s="82" t="s">
        <v>11</v>
      </c>
      <c r="I9" s="83" t="n">
        <v>0</v>
      </c>
      <c r="J9" s="82" t="s">
        <v>284</v>
      </c>
    </row>
    <row r="10" customFormat="false" ht="15" hidden="false" customHeight="false" outlineLevel="0" collapsed="false">
      <c r="F10" s="82" t="s">
        <v>159</v>
      </c>
      <c r="J10" s="82" t="s">
        <v>220</v>
      </c>
    </row>
    <row r="11" customFormat="false" ht="15" hidden="false" customHeight="false" outlineLevel="0" collapsed="false">
      <c r="F11" s="82" t="s">
        <v>247</v>
      </c>
      <c r="J11" s="82" t="s">
        <v>285</v>
      </c>
    </row>
    <row r="12" customFormat="false" ht="15" hidden="false" customHeight="false" outlineLevel="0" collapsed="false">
      <c r="F12" s="82" t="s">
        <v>248</v>
      </c>
      <c r="J12" s="82" t="s">
        <v>286</v>
      </c>
    </row>
    <row r="13" customFormat="false" ht="15" hidden="false" customHeight="false" outlineLevel="0" collapsed="false">
      <c r="F13" s="82" t="s">
        <v>136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2026-09-15T04:16:50Z</dcterms:created>
  <dc:creator>openpyxl</dc:creator>
  <dc:description/>
  <dc:language>en-US</dc:language>
  <cp:lastModifiedBy/>
  <dcterms:modified xsi:type="dcterms:W3CDTF">2026-09-15T04:16:52Z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